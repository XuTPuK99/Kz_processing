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ORK\LAB\2023\Отчет\Lena\"/>
    </mc:Choice>
  </mc:AlternateContent>
  <bookViews>
    <workbookView xWindow="-105" yWindow="-105" windowWidth="19425" windowHeight="10425" tabRatio="818" activeTab="14"/>
  </bookViews>
  <sheets>
    <sheet name="1996" sheetId="1" r:id="rId1"/>
    <sheet name="2000" sheetId="2" r:id="rId2"/>
    <sheet name="2001" sheetId="3" r:id="rId3"/>
    <sheet name="2002" sheetId="4" r:id="rId4"/>
    <sheet name="2003" sheetId="5" r:id="rId5"/>
    <sheet name="2005" sheetId="6" r:id="rId6"/>
    <sheet name="2007" sheetId="7" r:id="rId7"/>
    <sheet name="2009" sheetId="8" r:id="rId8"/>
    <sheet name="2010" sheetId="9" r:id="rId9"/>
    <sheet name="2011" sheetId="10" r:id="rId10"/>
    <sheet name="2012" sheetId="11" r:id="rId11"/>
    <sheet name="2013" sheetId="12" r:id="rId12"/>
    <sheet name="2016" sheetId="13" r:id="rId13"/>
    <sheet name="2017" sheetId="14" r:id="rId14"/>
    <sheet name="2018" sheetId="15" r:id="rId15"/>
    <sheet name="2019" sheetId="16" r:id="rId16"/>
    <sheet name="2020" sheetId="17" r:id="rId17"/>
    <sheet name="2021" sheetId="18" r:id="rId18"/>
    <sheet name="2022" sheetId="19" r:id="rId19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5" l="1"/>
  <c r="P5" i="15"/>
  <c r="P6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26" i="15"/>
  <c r="P27" i="15"/>
  <c r="P28" i="15"/>
  <c r="P29" i="15"/>
  <c r="P30" i="15"/>
  <c r="P31" i="15"/>
  <c r="P32" i="15"/>
  <c r="P33" i="15"/>
  <c r="P34" i="15"/>
  <c r="P35" i="15"/>
  <c r="P36" i="15"/>
  <c r="P37" i="15"/>
  <c r="P3" i="15"/>
  <c r="M1" i="13" l="1"/>
  <c r="N29" i="19" l="1"/>
  <c r="N31" i="19"/>
  <c r="N33" i="19"/>
  <c r="N36" i="19"/>
  <c r="N37" i="19"/>
  <c r="N26" i="18"/>
  <c r="N28" i="18"/>
  <c r="N30" i="18"/>
  <c r="N34" i="18"/>
  <c r="N36" i="18"/>
  <c r="N37" i="18"/>
  <c r="N27" i="17"/>
  <c r="N31" i="17"/>
  <c r="N35" i="17"/>
  <c r="N26" i="16"/>
  <c r="N28" i="16"/>
  <c r="N30" i="16"/>
  <c r="N32" i="16"/>
  <c r="N34" i="16"/>
  <c r="N36" i="16"/>
  <c r="N29" i="15"/>
  <c r="N34" i="15"/>
  <c r="N37" i="15"/>
  <c r="N26" i="14"/>
  <c r="N34" i="14"/>
  <c r="N25" i="11"/>
  <c r="N33" i="11"/>
  <c r="N30" i="10"/>
  <c r="N35" i="10"/>
  <c r="N38" i="10"/>
  <c r="N25" i="9"/>
  <c r="N31" i="9"/>
  <c r="N33" i="9"/>
  <c r="N27" i="5"/>
  <c r="N35" i="5"/>
  <c r="N31" i="4"/>
  <c r="N29" i="3"/>
  <c r="N37" i="3"/>
  <c r="N26" i="2"/>
  <c r="N34" i="2"/>
  <c r="L38" i="19"/>
  <c r="K38" i="19"/>
  <c r="M38" i="19" s="1"/>
  <c r="E38" i="19"/>
  <c r="H38" i="19" s="1"/>
  <c r="I38" i="19" s="1"/>
  <c r="J38" i="19" s="1"/>
  <c r="N38" i="19" s="1"/>
  <c r="D38" i="19"/>
  <c r="M37" i="19"/>
  <c r="L37" i="19"/>
  <c r="K37" i="19"/>
  <c r="E37" i="19"/>
  <c r="H37" i="19" s="1"/>
  <c r="I37" i="19" s="1"/>
  <c r="J37" i="19" s="1"/>
  <c r="D37" i="19"/>
  <c r="L36" i="19"/>
  <c r="K36" i="19"/>
  <c r="M36" i="19" s="1"/>
  <c r="E36" i="19"/>
  <c r="H36" i="19" s="1"/>
  <c r="I36" i="19" s="1"/>
  <c r="J36" i="19" s="1"/>
  <c r="D36" i="19"/>
  <c r="M35" i="19"/>
  <c r="L35" i="19"/>
  <c r="K35" i="19"/>
  <c r="D35" i="19"/>
  <c r="E35" i="19" s="1"/>
  <c r="H35" i="19" s="1"/>
  <c r="I35" i="19" s="1"/>
  <c r="J35" i="19" s="1"/>
  <c r="L34" i="19"/>
  <c r="K34" i="19"/>
  <c r="M34" i="19" s="1"/>
  <c r="E34" i="19"/>
  <c r="H34" i="19" s="1"/>
  <c r="I34" i="19" s="1"/>
  <c r="J34" i="19" s="1"/>
  <c r="N34" i="19" s="1"/>
  <c r="D34" i="19"/>
  <c r="M33" i="19"/>
  <c r="L33" i="19"/>
  <c r="K33" i="19"/>
  <c r="E33" i="19"/>
  <c r="H33" i="19" s="1"/>
  <c r="I33" i="19" s="1"/>
  <c r="J33" i="19" s="1"/>
  <c r="D33" i="19"/>
  <c r="L32" i="19"/>
  <c r="K32" i="19"/>
  <c r="M32" i="19" s="1"/>
  <c r="E32" i="19"/>
  <c r="H32" i="19" s="1"/>
  <c r="I32" i="19" s="1"/>
  <c r="J32" i="19" s="1"/>
  <c r="N32" i="19" s="1"/>
  <c r="D32" i="19"/>
  <c r="M31" i="19"/>
  <c r="L31" i="19"/>
  <c r="K31" i="19"/>
  <c r="D31" i="19"/>
  <c r="E31" i="19" s="1"/>
  <c r="H31" i="19" s="1"/>
  <c r="I31" i="19" s="1"/>
  <c r="J31" i="19" s="1"/>
  <c r="L30" i="19"/>
  <c r="K30" i="19"/>
  <c r="M30" i="19" s="1"/>
  <c r="E30" i="19"/>
  <c r="H30" i="19" s="1"/>
  <c r="I30" i="19" s="1"/>
  <c r="J30" i="19" s="1"/>
  <c r="N30" i="19" s="1"/>
  <c r="D30" i="19"/>
  <c r="M29" i="19"/>
  <c r="L29" i="19"/>
  <c r="K29" i="19"/>
  <c r="E29" i="19"/>
  <c r="H29" i="19" s="1"/>
  <c r="I29" i="19" s="1"/>
  <c r="J29" i="19" s="1"/>
  <c r="D29" i="19"/>
  <c r="L28" i="19"/>
  <c r="K28" i="19"/>
  <c r="M28" i="19" s="1"/>
  <c r="E28" i="19"/>
  <c r="H28" i="19" s="1"/>
  <c r="I28" i="19" s="1"/>
  <c r="J28" i="19" s="1"/>
  <c r="N28" i="19" s="1"/>
  <c r="D28" i="19"/>
  <c r="M27" i="19"/>
  <c r="L27" i="19"/>
  <c r="K27" i="19"/>
  <c r="D27" i="19"/>
  <c r="E27" i="19" s="1"/>
  <c r="H27" i="19" s="1"/>
  <c r="I27" i="19" s="1"/>
  <c r="J27" i="19" s="1"/>
  <c r="L26" i="19"/>
  <c r="K26" i="19"/>
  <c r="M26" i="19" s="1"/>
  <c r="E26" i="19"/>
  <c r="H26" i="19" s="1"/>
  <c r="I26" i="19" s="1"/>
  <c r="J26" i="19" s="1"/>
  <c r="N26" i="19" s="1"/>
  <c r="D26" i="19"/>
  <c r="M25" i="19"/>
  <c r="L25" i="19"/>
  <c r="K25" i="19"/>
  <c r="E25" i="19"/>
  <c r="H25" i="19" s="1"/>
  <c r="I25" i="19" s="1"/>
  <c r="J25" i="19" s="1"/>
  <c r="D25" i="19"/>
  <c r="L24" i="19"/>
  <c r="K24" i="19"/>
  <c r="M24" i="19" s="1"/>
  <c r="E24" i="19"/>
  <c r="H24" i="19" s="1"/>
  <c r="I24" i="19" s="1"/>
  <c r="D24" i="19"/>
  <c r="M23" i="19"/>
  <c r="L23" i="19"/>
  <c r="K23" i="19"/>
  <c r="D23" i="19"/>
  <c r="E23" i="19" s="1"/>
  <c r="H23" i="19" s="1"/>
  <c r="L22" i="19"/>
  <c r="K22" i="19"/>
  <c r="M22" i="19" s="1"/>
  <c r="E22" i="19"/>
  <c r="H22" i="19" s="1"/>
  <c r="D22" i="19"/>
  <c r="M21" i="19"/>
  <c r="L21" i="19"/>
  <c r="K21" i="19"/>
  <c r="E21" i="19"/>
  <c r="H21" i="19" s="1"/>
  <c r="D21" i="19"/>
  <c r="L20" i="19"/>
  <c r="K20" i="19"/>
  <c r="M20" i="19" s="1"/>
  <c r="E20" i="19"/>
  <c r="H20" i="19" s="1"/>
  <c r="D20" i="19"/>
  <c r="M19" i="19"/>
  <c r="L19" i="19"/>
  <c r="K19" i="19"/>
  <c r="D19" i="19"/>
  <c r="E19" i="19" s="1"/>
  <c r="H19" i="19" s="1"/>
  <c r="L18" i="19"/>
  <c r="K18" i="19"/>
  <c r="M18" i="19" s="1"/>
  <c r="E18" i="19"/>
  <c r="H18" i="19" s="1"/>
  <c r="D18" i="19"/>
  <c r="M17" i="19"/>
  <c r="L17" i="19"/>
  <c r="K17" i="19"/>
  <c r="E17" i="19"/>
  <c r="H17" i="19" s="1"/>
  <c r="D17" i="19"/>
  <c r="L16" i="19"/>
  <c r="K16" i="19"/>
  <c r="M16" i="19" s="1"/>
  <c r="E16" i="19"/>
  <c r="H16" i="19" s="1"/>
  <c r="D16" i="19"/>
  <c r="M15" i="19"/>
  <c r="L15" i="19"/>
  <c r="K15" i="19"/>
  <c r="D15" i="19"/>
  <c r="E15" i="19" s="1"/>
  <c r="H15" i="19" s="1"/>
  <c r="L14" i="19"/>
  <c r="K14" i="19"/>
  <c r="M14" i="19" s="1"/>
  <c r="E14" i="19"/>
  <c r="H14" i="19" s="1"/>
  <c r="D14" i="19"/>
  <c r="M13" i="19"/>
  <c r="L13" i="19"/>
  <c r="K13" i="19"/>
  <c r="E13" i="19"/>
  <c r="H13" i="19" s="1"/>
  <c r="D13" i="19"/>
  <c r="L12" i="19"/>
  <c r="K12" i="19"/>
  <c r="M12" i="19" s="1"/>
  <c r="E12" i="19"/>
  <c r="H12" i="19" s="1"/>
  <c r="D12" i="19"/>
  <c r="M11" i="19"/>
  <c r="L11" i="19"/>
  <c r="K11" i="19"/>
  <c r="D11" i="19"/>
  <c r="E11" i="19" s="1"/>
  <c r="H11" i="19" s="1"/>
  <c r="L10" i="19"/>
  <c r="K10" i="19"/>
  <c r="M10" i="19" s="1"/>
  <c r="E10" i="19"/>
  <c r="H10" i="19" s="1"/>
  <c r="D10" i="19"/>
  <c r="M9" i="19"/>
  <c r="L9" i="19"/>
  <c r="K9" i="19"/>
  <c r="E9" i="19"/>
  <c r="H9" i="19" s="1"/>
  <c r="D9" i="19"/>
  <c r="L8" i="19"/>
  <c r="K8" i="19"/>
  <c r="M8" i="19" s="1"/>
  <c r="E8" i="19"/>
  <c r="H8" i="19" s="1"/>
  <c r="D8" i="19"/>
  <c r="M7" i="19"/>
  <c r="L7" i="19"/>
  <c r="K7" i="19"/>
  <c r="D7" i="19"/>
  <c r="E7" i="19" s="1"/>
  <c r="H7" i="19" s="1"/>
  <c r="L6" i="19"/>
  <c r="K6" i="19"/>
  <c r="M6" i="19" s="1"/>
  <c r="E6" i="19"/>
  <c r="H6" i="19" s="1"/>
  <c r="D6" i="19"/>
  <c r="M5" i="19"/>
  <c r="L5" i="19"/>
  <c r="K5" i="19"/>
  <c r="E5" i="19"/>
  <c r="H5" i="19" s="1"/>
  <c r="D5" i="19"/>
  <c r="L4" i="19"/>
  <c r="K4" i="19"/>
  <c r="M4" i="19" s="1"/>
  <c r="E4" i="19"/>
  <c r="H4" i="19" s="1"/>
  <c r="D4" i="19"/>
  <c r="D3" i="19"/>
  <c r="E3" i="19" s="1"/>
  <c r="H3" i="19" s="1"/>
  <c r="L1" i="19"/>
  <c r="L38" i="18"/>
  <c r="K38" i="18"/>
  <c r="M38" i="18" s="1"/>
  <c r="E38" i="18"/>
  <c r="H38" i="18" s="1"/>
  <c r="I38" i="18" s="1"/>
  <c r="J38" i="18" s="1"/>
  <c r="D38" i="18"/>
  <c r="M37" i="18"/>
  <c r="L37" i="18"/>
  <c r="K37" i="18"/>
  <c r="E37" i="18"/>
  <c r="H37" i="18" s="1"/>
  <c r="I37" i="18" s="1"/>
  <c r="J37" i="18" s="1"/>
  <c r="D37" i="18"/>
  <c r="L36" i="18"/>
  <c r="K36" i="18"/>
  <c r="M36" i="18" s="1"/>
  <c r="E36" i="18"/>
  <c r="H36" i="18" s="1"/>
  <c r="I36" i="18" s="1"/>
  <c r="J36" i="18" s="1"/>
  <c r="D36" i="18"/>
  <c r="M35" i="18"/>
  <c r="L35" i="18"/>
  <c r="K35" i="18"/>
  <c r="D35" i="18"/>
  <c r="E35" i="18" s="1"/>
  <c r="H35" i="18" s="1"/>
  <c r="I35" i="18" s="1"/>
  <c r="J35" i="18" s="1"/>
  <c r="N35" i="18" s="1"/>
  <c r="L34" i="18"/>
  <c r="K34" i="18"/>
  <c r="M34" i="18" s="1"/>
  <c r="E34" i="18"/>
  <c r="H34" i="18" s="1"/>
  <c r="I34" i="18" s="1"/>
  <c r="J34" i="18" s="1"/>
  <c r="D34" i="18"/>
  <c r="M33" i="18"/>
  <c r="L33" i="18"/>
  <c r="K33" i="18"/>
  <c r="E33" i="18"/>
  <c r="H33" i="18" s="1"/>
  <c r="I33" i="18" s="1"/>
  <c r="J33" i="18" s="1"/>
  <c r="D33" i="18"/>
  <c r="L32" i="18"/>
  <c r="K32" i="18"/>
  <c r="M32" i="18" s="1"/>
  <c r="E32" i="18"/>
  <c r="H32" i="18" s="1"/>
  <c r="I32" i="18" s="1"/>
  <c r="J32" i="18" s="1"/>
  <c r="N32" i="18" s="1"/>
  <c r="D32" i="18"/>
  <c r="M31" i="18"/>
  <c r="L31" i="18"/>
  <c r="K31" i="18"/>
  <c r="D31" i="18"/>
  <c r="E31" i="18" s="1"/>
  <c r="H31" i="18" s="1"/>
  <c r="I31" i="18" s="1"/>
  <c r="J31" i="18" s="1"/>
  <c r="N31" i="18" s="1"/>
  <c r="L30" i="18"/>
  <c r="K30" i="18"/>
  <c r="M30" i="18" s="1"/>
  <c r="E30" i="18"/>
  <c r="H30" i="18" s="1"/>
  <c r="I30" i="18" s="1"/>
  <c r="J30" i="18" s="1"/>
  <c r="D30" i="18"/>
  <c r="M29" i="18"/>
  <c r="L29" i="18"/>
  <c r="K29" i="18"/>
  <c r="E29" i="18"/>
  <c r="H29" i="18" s="1"/>
  <c r="I29" i="18" s="1"/>
  <c r="J29" i="18" s="1"/>
  <c r="D29" i="18"/>
  <c r="L28" i="18"/>
  <c r="K28" i="18"/>
  <c r="M28" i="18" s="1"/>
  <c r="E28" i="18"/>
  <c r="H28" i="18" s="1"/>
  <c r="I28" i="18" s="1"/>
  <c r="J28" i="18" s="1"/>
  <c r="D28" i="18"/>
  <c r="M27" i="18"/>
  <c r="L27" i="18"/>
  <c r="K27" i="18"/>
  <c r="D27" i="18"/>
  <c r="E27" i="18" s="1"/>
  <c r="H27" i="18" s="1"/>
  <c r="I27" i="18" s="1"/>
  <c r="J27" i="18" s="1"/>
  <c r="N27" i="18" s="1"/>
  <c r="L26" i="18"/>
  <c r="K26" i="18"/>
  <c r="M26" i="18" s="1"/>
  <c r="E26" i="18"/>
  <c r="H26" i="18" s="1"/>
  <c r="I26" i="18" s="1"/>
  <c r="J26" i="18" s="1"/>
  <c r="D26" i="18"/>
  <c r="M25" i="18"/>
  <c r="L25" i="18"/>
  <c r="K25" i="18"/>
  <c r="E25" i="18"/>
  <c r="H25" i="18" s="1"/>
  <c r="I25" i="18" s="1"/>
  <c r="J25" i="18" s="1"/>
  <c r="N25" i="18" s="1"/>
  <c r="D25" i="18"/>
  <c r="L24" i="18"/>
  <c r="K24" i="18"/>
  <c r="M24" i="18" s="1"/>
  <c r="E24" i="18"/>
  <c r="H24" i="18" s="1"/>
  <c r="I24" i="18" s="1"/>
  <c r="D24" i="18"/>
  <c r="M23" i="18"/>
  <c r="L23" i="18"/>
  <c r="K23" i="18"/>
  <c r="D23" i="18"/>
  <c r="E23" i="18" s="1"/>
  <c r="H23" i="18" s="1"/>
  <c r="L22" i="18"/>
  <c r="K22" i="18"/>
  <c r="M22" i="18" s="1"/>
  <c r="E22" i="18"/>
  <c r="H22" i="18" s="1"/>
  <c r="D22" i="18"/>
  <c r="M21" i="18"/>
  <c r="L21" i="18"/>
  <c r="K21" i="18"/>
  <c r="D21" i="18"/>
  <c r="E21" i="18" s="1"/>
  <c r="H21" i="18" s="1"/>
  <c r="L20" i="18"/>
  <c r="K20" i="18"/>
  <c r="M20" i="18" s="1"/>
  <c r="E20" i="18"/>
  <c r="H20" i="18" s="1"/>
  <c r="D20" i="18"/>
  <c r="M19" i="18"/>
  <c r="L19" i="18"/>
  <c r="K19" i="18"/>
  <c r="D19" i="18"/>
  <c r="E19" i="18" s="1"/>
  <c r="H19" i="18" s="1"/>
  <c r="L18" i="18"/>
  <c r="K18" i="18"/>
  <c r="M18" i="18" s="1"/>
  <c r="E18" i="18"/>
  <c r="H18" i="18" s="1"/>
  <c r="D18" i="18"/>
  <c r="M17" i="18"/>
  <c r="L17" i="18"/>
  <c r="K17" i="18"/>
  <c r="D17" i="18"/>
  <c r="E17" i="18" s="1"/>
  <c r="H17" i="18" s="1"/>
  <c r="L16" i="18"/>
  <c r="K16" i="18"/>
  <c r="M16" i="18" s="1"/>
  <c r="E16" i="18"/>
  <c r="H16" i="18" s="1"/>
  <c r="D16" i="18"/>
  <c r="M15" i="18"/>
  <c r="L15" i="18"/>
  <c r="K15" i="18"/>
  <c r="D15" i="18"/>
  <c r="E15" i="18" s="1"/>
  <c r="H15" i="18" s="1"/>
  <c r="L14" i="18"/>
  <c r="K14" i="18"/>
  <c r="M14" i="18" s="1"/>
  <c r="E14" i="18"/>
  <c r="H14" i="18" s="1"/>
  <c r="D14" i="18"/>
  <c r="M13" i="18"/>
  <c r="L13" i="18"/>
  <c r="K13" i="18"/>
  <c r="D13" i="18"/>
  <c r="E13" i="18" s="1"/>
  <c r="H13" i="18" s="1"/>
  <c r="L12" i="18"/>
  <c r="K12" i="18"/>
  <c r="M12" i="18" s="1"/>
  <c r="E12" i="18"/>
  <c r="H12" i="18" s="1"/>
  <c r="D12" i="18"/>
  <c r="M11" i="18"/>
  <c r="L11" i="18"/>
  <c r="K11" i="18"/>
  <c r="D11" i="18"/>
  <c r="E11" i="18" s="1"/>
  <c r="H11" i="18" s="1"/>
  <c r="L10" i="18"/>
  <c r="K10" i="18"/>
  <c r="M10" i="18" s="1"/>
  <c r="E10" i="18"/>
  <c r="H10" i="18" s="1"/>
  <c r="D10" i="18"/>
  <c r="M9" i="18"/>
  <c r="L9" i="18"/>
  <c r="K9" i="18"/>
  <c r="D9" i="18"/>
  <c r="E9" i="18" s="1"/>
  <c r="H9" i="18" s="1"/>
  <c r="L8" i="18"/>
  <c r="K8" i="18"/>
  <c r="M8" i="18" s="1"/>
  <c r="E8" i="18"/>
  <c r="H8" i="18" s="1"/>
  <c r="D8" i="18"/>
  <c r="M7" i="18"/>
  <c r="L7" i="18"/>
  <c r="K7" i="18"/>
  <c r="D7" i="18"/>
  <c r="E7" i="18" s="1"/>
  <c r="H7" i="18" s="1"/>
  <c r="L6" i="18"/>
  <c r="K6" i="18"/>
  <c r="M6" i="18" s="1"/>
  <c r="E6" i="18"/>
  <c r="H6" i="18" s="1"/>
  <c r="D6" i="18"/>
  <c r="M5" i="18"/>
  <c r="L5" i="18"/>
  <c r="K5" i="18"/>
  <c r="D5" i="18"/>
  <c r="E5" i="18" s="1"/>
  <c r="H5" i="18" s="1"/>
  <c r="L4" i="18"/>
  <c r="K4" i="18"/>
  <c r="M4" i="18" s="1"/>
  <c r="E4" i="18"/>
  <c r="H4" i="18" s="1"/>
  <c r="D4" i="18"/>
  <c r="D3" i="18"/>
  <c r="E3" i="18" s="1"/>
  <c r="H3" i="18" s="1"/>
  <c r="L1" i="18"/>
  <c r="L38" i="17"/>
  <c r="K38" i="17"/>
  <c r="M38" i="17" s="1"/>
  <c r="D38" i="17"/>
  <c r="E38" i="17" s="1"/>
  <c r="H38" i="17" s="1"/>
  <c r="I38" i="17" s="1"/>
  <c r="J38" i="17" s="1"/>
  <c r="N38" i="17" s="1"/>
  <c r="M37" i="17"/>
  <c r="L37" i="17"/>
  <c r="K37" i="17"/>
  <c r="D37" i="17"/>
  <c r="E37" i="17" s="1"/>
  <c r="H37" i="17" s="1"/>
  <c r="I37" i="17" s="1"/>
  <c r="J37" i="17" s="1"/>
  <c r="N37" i="17" s="1"/>
  <c r="L36" i="17"/>
  <c r="M36" i="17" s="1"/>
  <c r="K36" i="17"/>
  <c r="E36" i="17"/>
  <c r="H36" i="17" s="1"/>
  <c r="I36" i="17" s="1"/>
  <c r="J36" i="17" s="1"/>
  <c r="N36" i="17" s="1"/>
  <c r="D36" i="17"/>
  <c r="L35" i="17"/>
  <c r="K35" i="17"/>
  <c r="M35" i="17" s="1"/>
  <c r="D35" i="17"/>
  <c r="E35" i="17" s="1"/>
  <c r="H35" i="17" s="1"/>
  <c r="I35" i="17" s="1"/>
  <c r="J35" i="17" s="1"/>
  <c r="L34" i="17"/>
  <c r="K34" i="17"/>
  <c r="M34" i="17" s="1"/>
  <c r="D34" i="17"/>
  <c r="E34" i="17" s="1"/>
  <c r="H34" i="17" s="1"/>
  <c r="I34" i="17" s="1"/>
  <c r="J34" i="17" s="1"/>
  <c r="N34" i="17" s="1"/>
  <c r="M33" i="17"/>
  <c r="L33" i="17"/>
  <c r="K33" i="17"/>
  <c r="D33" i="17"/>
  <c r="L32" i="17"/>
  <c r="M32" i="17" s="1"/>
  <c r="K32" i="17"/>
  <c r="E32" i="17"/>
  <c r="H32" i="17" s="1"/>
  <c r="I32" i="17" s="1"/>
  <c r="J32" i="17" s="1"/>
  <c r="N32" i="17" s="1"/>
  <c r="D32" i="17"/>
  <c r="L31" i="17"/>
  <c r="K31" i="17"/>
  <c r="M31" i="17" s="1"/>
  <c r="D31" i="17"/>
  <c r="E31" i="17" s="1"/>
  <c r="H31" i="17" s="1"/>
  <c r="I31" i="17" s="1"/>
  <c r="J31" i="17" s="1"/>
  <c r="L30" i="17"/>
  <c r="K30" i="17"/>
  <c r="M30" i="17" s="1"/>
  <c r="D30" i="17"/>
  <c r="E30" i="17" s="1"/>
  <c r="H30" i="17" s="1"/>
  <c r="I30" i="17" s="1"/>
  <c r="J30" i="17" s="1"/>
  <c r="M29" i="17"/>
  <c r="L29" i="17"/>
  <c r="K29" i="17"/>
  <c r="D29" i="17"/>
  <c r="L28" i="17"/>
  <c r="M28" i="17" s="1"/>
  <c r="K28" i="17"/>
  <c r="E28" i="17"/>
  <c r="H28" i="17" s="1"/>
  <c r="I28" i="17" s="1"/>
  <c r="J28" i="17" s="1"/>
  <c r="N28" i="17" s="1"/>
  <c r="D28" i="17"/>
  <c r="L27" i="17"/>
  <c r="K27" i="17"/>
  <c r="M27" i="17" s="1"/>
  <c r="D27" i="17"/>
  <c r="E27" i="17" s="1"/>
  <c r="H27" i="17" s="1"/>
  <c r="I27" i="17" s="1"/>
  <c r="J27" i="17" s="1"/>
  <c r="L26" i="17"/>
  <c r="K26" i="17"/>
  <c r="M26" i="17" s="1"/>
  <c r="D26" i="17"/>
  <c r="E26" i="17" s="1"/>
  <c r="H26" i="17" s="1"/>
  <c r="I26" i="17" s="1"/>
  <c r="J26" i="17" s="1"/>
  <c r="N26" i="17" s="1"/>
  <c r="M25" i="17"/>
  <c r="L25" i="17"/>
  <c r="K25" i="17"/>
  <c r="D25" i="17"/>
  <c r="L24" i="17"/>
  <c r="M24" i="17" s="1"/>
  <c r="K24" i="17"/>
  <c r="E24" i="17"/>
  <c r="H24" i="17" s="1"/>
  <c r="I24" i="17" s="1"/>
  <c r="D24" i="17"/>
  <c r="L23" i="17"/>
  <c r="K23" i="17"/>
  <c r="M23" i="17" s="1"/>
  <c r="D23" i="17"/>
  <c r="E23" i="17" s="1"/>
  <c r="H23" i="17" s="1"/>
  <c r="L22" i="17"/>
  <c r="K22" i="17"/>
  <c r="M22" i="17" s="1"/>
  <c r="D22" i="17"/>
  <c r="E22" i="17" s="1"/>
  <c r="H22" i="17" s="1"/>
  <c r="M21" i="17"/>
  <c r="L21" i="17"/>
  <c r="K21" i="17"/>
  <c r="D21" i="17"/>
  <c r="L20" i="17"/>
  <c r="M20" i="17" s="1"/>
  <c r="K20" i="17"/>
  <c r="E20" i="17"/>
  <c r="H20" i="17" s="1"/>
  <c r="D20" i="17"/>
  <c r="L19" i="17"/>
  <c r="K19" i="17"/>
  <c r="M19" i="17" s="1"/>
  <c r="D19" i="17"/>
  <c r="E19" i="17" s="1"/>
  <c r="H19" i="17" s="1"/>
  <c r="L18" i="17"/>
  <c r="K18" i="17"/>
  <c r="M18" i="17" s="1"/>
  <c r="D18" i="17"/>
  <c r="E18" i="17" s="1"/>
  <c r="H18" i="17" s="1"/>
  <c r="M17" i="17"/>
  <c r="L17" i="17"/>
  <c r="K17" i="17"/>
  <c r="D17" i="17"/>
  <c r="L16" i="17"/>
  <c r="M16" i="17" s="1"/>
  <c r="K16" i="17"/>
  <c r="E16" i="17"/>
  <c r="H16" i="17" s="1"/>
  <c r="D16" i="17"/>
  <c r="L15" i="17"/>
  <c r="K15" i="17"/>
  <c r="M15" i="17" s="1"/>
  <c r="D15" i="17"/>
  <c r="E15" i="17" s="1"/>
  <c r="H15" i="17" s="1"/>
  <c r="L14" i="17"/>
  <c r="K14" i="17"/>
  <c r="M14" i="17" s="1"/>
  <c r="D14" i="17"/>
  <c r="E14" i="17" s="1"/>
  <c r="H14" i="17" s="1"/>
  <c r="M13" i="17"/>
  <c r="L13" i="17"/>
  <c r="K13" i="17"/>
  <c r="D13" i="17"/>
  <c r="L12" i="17"/>
  <c r="M12" i="17" s="1"/>
  <c r="K12" i="17"/>
  <c r="E12" i="17"/>
  <c r="H12" i="17" s="1"/>
  <c r="D12" i="17"/>
  <c r="L11" i="17"/>
  <c r="K11" i="17"/>
  <c r="M11" i="17" s="1"/>
  <c r="D11" i="17"/>
  <c r="E11" i="17" s="1"/>
  <c r="H11" i="17" s="1"/>
  <c r="L10" i="17"/>
  <c r="K10" i="17"/>
  <c r="M10" i="17" s="1"/>
  <c r="D10" i="17"/>
  <c r="E10" i="17" s="1"/>
  <c r="H10" i="17" s="1"/>
  <c r="M9" i="17"/>
  <c r="L9" i="17"/>
  <c r="K9" i="17"/>
  <c r="D9" i="17"/>
  <c r="L8" i="17"/>
  <c r="M8" i="17" s="1"/>
  <c r="K8" i="17"/>
  <c r="E8" i="17"/>
  <c r="H8" i="17" s="1"/>
  <c r="D8" i="17"/>
  <c r="L7" i="17"/>
  <c r="K7" i="17"/>
  <c r="M7" i="17" s="1"/>
  <c r="D7" i="17"/>
  <c r="E7" i="17" s="1"/>
  <c r="H7" i="17" s="1"/>
  <c r="L6" i="17"/>
  <c r="K6" i="17"/>
  <c r="M6" i="17" s="1"/>
  <c r="D6" i="17"/>
  <c r="E6" i="17" s="1"/>
  <c r="H6" i="17" s="1"/>
  <c r="M5" i="17"/>
  <c r="L5" i="17"/>
  <c r="K5" i="17"/>
  <c r="D5" i="17"/>
  <c r="L4" i="17"/>
  <c r="M4" i="17" s="1"/>
  <c r="K4" i="17"/>
  <c r="E4" i="17"/>
  <c r="H4" i="17" s="1"/>
  <c r="D4" i="17"/>
  <c r="E3" i="17"/>
  <c r="H3" i="17" s="1"/>
  <c r="D3" i="17"/>
  <c r="L1" i="17"/>
  <c r="L36" i="16"/>
  <c r="K36" i="16"/>
  <c r="M36" i="16" s="1"/>
  <c r="E36" i="16"/>
  <c r="H36" i="16" s="1"/>
  <c r="I36" i="16" s="1"/>
  <c r="J36" i="16" s="1"/>
  <c r="D36" i="16"/>
  <c r="M35" i="16"/>
  <c r="L35" i="16"/>
  <c r="K35" i="16"/>
  <c r="D35" i="16"/>
  <c r="E35" i="16" s="1"/>
  <c r="H35" i="16" s="1"/>
  <c r="I35" i="16" s="1"/>
  <c r="J35" i="16" s="1"/>
  <c r="N35" i="16" s="1"/>
  <c r="L34" i="16"/>
  <c r="K34" i="16"/>
  <c r="M34" i="16" s="1"/>
  <c r="E34" i="16"/>
  <c r="H34" i="16" s="1"/>
  <c r="I34" i="16" s="1"/>
  <c r="J34" i="16" s="1"/>
  <c r="D34" i="16"/>
  <c r="M33" i="16"/>
  <c r="L33" i="16"/>
  <c r="K33" i="16"/>
  <c r="D33" i="16"/>
  <c r="E33" i="16" s="1"/>
  <c r="H33" i="16" s="1"/>
  <c r="I33" i="16" s="1"/>
  <c r="J33" i="16" s="1"/>
  <c r="N33" i="16" s="1"/>
  <c r="L32" i="16"/>
  <c r="K32" i="16"/>
  <c r="M32" i="16" s="1"/>
  <c r="E32" i="16"/>
  <c r="H32" i="16" s="1"/>
  <c r="I32" i="16" s="1"/>
  <c r="J32" i="16" s="1"/>
  <c r="D32" i="16"/>
  <c r="M31" i="16"/>
  <c r="L31" i="16"/>
  <c r="K31" i="16"/>
  <c r="D31" i="16"/>
  <c r="E31" i="16" s="1"/>
  <c r="H31" i="16" s="1"/>
  <c r="I31" i="16" s="1"/>
  <c r="J31" i="16" s="1"/>
  <c r="L30" i="16"/>
  <c r="K30" i="16"/>
  <c r="M30" i="16" s="1"/>
  <c r="E30" i="16"/>
  <c r="H30" i="16" s="1"/>
  <c r="I30" i="16" s="1"/>
  <c r="J30" i="16" s="1"/>
  <c r="D30" i="16"/>
  <c r="M29" i="16"/>
  <c r="L29" i="16"/>
  <c r="K29" i="16"/>
  <c r="D29" i="16"/>
  <c r="E29" i="16" s="1"/>
  <c r="H29" i="16" s="1"/>
  <c r="I29" i="16" s="1"/>
  <c r="J29" i="16" s="1"/>
  <c r="N29" i="16" s="1"/>
  <c r="L28" i="16"/>
  <c r="K28" i="16"/>
  <c r="M28" i="16" s="1"/>
  <c r="E28" i="16"/>
  <c r="H28" i="16" s="1"/>
  <c r="I28" i="16" s="1"/>
  <c r="J28" i="16" s="1"/>
  <c r="D28" i="16"/>
  <c r="M27" i="16"/>
  <c r="L27" i="16"/>
  <c r="K27" i="16"/>
  <c r="D27" i="16"/>
  <c r="E27" i="16" s="1"/>
  <c r="H27" i="16" s="1"/>
  <c r="I27" i="16" s="1"/>
  <c r="J27" i="16" s="1"/>
  <c r="N27" i="16" s="1"/>
  <c r="L26" i="16"/>
  <c r="K26" i="16"/>
  <c r="M26" i="16" s="1"/>
  <c r="E26" i="16"/>
  <c r="H26" i="16" s="1"/>
  <c r="I26" i="16" s="1"/>
  <c r="J26" i="16" s="1"/>
  <c r="D26" i="16"/>
  <c r="M25" i="16"/>
  <c r="L25" i="16"/>
  <c r="K25" i="16"/>
  <c r="D25" i="16"/>
  <c r="E25" i="16" s="1"/>
  <c r="H25" i="16" s="1"/>
  <c r="I25" i="16" s="1"/>
  <c r="J25" i="16" s="1"/>
  <c r="N25" i="16" s="1"/>
  <c r="L24" i="16"/>
  <c r="K24" i="16"/>
  <c r="M24" i="16" s="1"/>
  <c r="E24" i="16"/>
  <c r="H24" i="16" s="1"/>
  <c r="I24" i="16" s="1"/>
  <c r="D24" i="16"/>
  <c r="M23" i="16"/>
  <c r="L23" i="16"/>
  <c r="K23" i="16"/>
  <c r="D23" i="16"/>
  <c r="E23" i="16" s="1"/>
  <c r="H23" i="16" s="1"/>
  <c r="L22" i="16"/>
  <c r="K22" i="16"/>
  <c r="M22" i="16" s="1"/>
  <c r="E22" i="16"/>
  <c r="H22" i="16" s="1"/>
  <c r="D22" i="16"/>
  <c r="M21" i="16"/>
  <c r="L21" i="16"/>
  <c r="K21" i="16"/>
  <c r="D21" i="16"/>
  <c r="E21" i="16" s="1"/>
  <c r="H21" i="16" s="1"/>
  <c r="L20" i="16"/>
  <c r="K20" i="16"/>
  <c r="M20" i="16" s="1"/>
  <c r="E20" i="16"/>
  <c r="H20" i="16" s="1"/>
  <c r="D20" i="16"/>
  <c r="M19" i="16"/>
  <c r="L19" i="16"/>
  <c r="K19" i="16"/>
  <c r="D19" i="16"/>
  <c r="E19" i="16" s="1"/>
  <c r="H19" i="16" s="1"/>
  <c r="L18" i="16"/>
  <c r="K18" i="16"/>
  <c r="M18" i="16" s="1"/>
  <c r="E18" i="16"/>
  <c r="H18" i="16" s="1"/>
  <c r="D18" i="16"/>
  <c r="M17" i="16"/>
  <c r="L17" i="16"/>
  <c r="K17" i="16"/>
  <c r="D17" i="16"/>
  <c r="E17" i="16" s="1"/>
  <c r="H17" i="16" s="1"/>
  <c r="L16" i="16"/>
  <c r="K16" i="16"/>
  <c r="M16" i="16" s="1"/>
  <c r="E16" i="16"/>
  <c r="H16" i="16" s="1"/>
  <c r="D16" i="16"/>
  <c r="M15" i="16"/>
  <c r="L15" i="16"/>
  <c r="K15" i="16"/>
  <c r="D15" i="16"/>
  <c r="E15" i="16" s="1"/>
  <c r="H15" i="16" s="1"/>
  <c r="L14" i="16"/>
  <c r="K14" i="16"/>
  <c r="M14" i="16" s="1"/>
  <c r="E14" i="16"/>
  <c r="H14" i="16" s="1"/>
  <c r="D14" i="16"/>
  <c r="M13" i="16"/>
  <c r="L13" i="16"/>
  <c r="K13" i="16"/>
  <c r="D13" i="16"/>
  <c r="E13" i="16" s="1"/>
  <c r="H13" i="16" s="1"/>
  <c r="L12" i="16"/>
  <c r="K12" i="16"/>
  <c r="M12" i="16" s="1"/>
  <c r="E12" i="16"/>
  <c r="H12" i="16" s="1"/>
  <c r="D12" i="16"/>
  <c r="M11" i="16"/>
  <c r="L11" i="16"/>
  <c r="K11" i="16"/>
  <c r="D11" i="16"/>
  <c r="E11" i="16" s="1"/>
  <c r="H11" i="16" s="1"/>
  <c r="L10" i="16"/>
  <c r="K10" i="16"/>
  <c r="M10" i="16" s="1"/>
  <c r="E10" i="16"/>
  <c r="H10" i="16" s="1"/>
  <c r="D10" i="16"/>
  <c r="M9" i="16"/>
  <c r="L9" i="16"/>
  <c r="K9" i="16"/>
  <c r="D9" i="16"/>
  <c r="E9" i="16" s="1"/>
  <c r="H9" i="16" s="1"/>
  <c r="L8" i="16"/>
  <c r="K8" i="16"/>
  <c r="M8" i="16" s="1"/>
  <c r="E8" i="16"/>
  <c r="H8" i="16" s="1"/>
  <c r="D8" i="16"/>
  <c r="M7" i="16"/>
  <c r="L7" i="16"/>
  <c r="K7" i="16"/>
  <c r="D7" i="16"/>
  <c r="E7" i="16" s="1"/>
  <c r="H7" i="16" s="1"/>
  <c r="L6" i="16"/>
  <c r="K6" i="16"/>
  <c r="M6" i="16" s="1"/>
  <c r="E6" i="16"/>
  <c r="H6" i="16" s="1"/>
  <c r="D6" i="16"/>
  <c r="M5" i="16"/>
  <c r="L5" i="16"/>
  <c r="K5" i="16"/>
  <c r="D5" i="16"/>
  <c r="E5" i="16" s="1"/>
  <c r="H5" i="16" s="1"/>
  <c r="L4" i="16"/>
  <c r="K4" i="16"/>
  <c r="M4" i="16" s="1"/>
  <c r="E4" i="16"/>
  <c r="H4" i="16" s="1"/>
  <c r="D4" i="16"/>
  <c r="H3" i="16"/>
  <c r="E3" i="16"/>
  <c r="D3" i="16"/>
  <c r="L1" i="16"/>
  <c r="L37" i="15"/>
  <c r="M37" i="15" s="1"/>
  <c r="K37" i="15"/>
  <c r="E37" i="15"/>
  <c r="H37" i="15" s="1"/>
  <c r="I37" i="15" s="1"/>
  <c r="J37" i="15" s="1"/>
  <c r="D37" i="15"/>
  <c r="L36" i="15"/>
  <c r="M36" i="15" s="1"/>
  <c r="K36" i="15"/>
  <c r="D36" i="15"/>
  <c r="E36" i="15" s="1"/>
  <c r="H36" i="15" s="1"/>
  <c r="I36" i="15" s="1"/>
  <c r="J36" i="15" s="1"/>
  <c r="N36" i="15" s="1"/>
  <c r="L35" i="15"/>
  <c r="K35" i="15"/>
  <c r="M35" i="15" s="1"/>
  <c r="D35" i="15"/>
  <c r="E35" i="15" s="1"/>
  <c r="H35" i="15" s="1"/>
  <c r="I35" i="15" s="1"/>
  <c r="J35" i="15" s="1"/>
  <c r="N35" i="15" s="1"/>
  <c r="L34" i="15"/>
  <c r="K34" i="15"/>
  <c r="M34" i="15" s="1"/>
  <c r="D34" i="15"/>
  <c r="E34" i="15" s="1"/>
  <c r="H34" i="15" s="1"/>
  <c r="I34" i="15" s="1"/>
  <c r="J34" i="15" s="1"/>
  <c r="L33" i="15"/>
  <c r="M33" i="15" s="1"/>
  <c r="K33" i="15"/>
  <c r="E33" i="15"/>
  <c r="H33" i="15" s="1"/>
  <c r="I33" i="15" s="1"/>
  <c r="J33" i="15" s="1"/>
  <c r="N33" i="15" s="1"/>
  <c r="D33" i="15"/>
  <c r="L32" i="15"/>
  <c r="M32" i="15" s="1"/>
  <c r="K32" i="15"/>
  <c r="D32" i="15"/>
  <c r="E32" i="15" s="1"/>
  <c r="H32" i="15" s="1"/>
  <c r="I32" i="15" s="1"/>
  <c r="J32" i="15" s="1"/>
  <c r="N32" i="15" s="1"/>
  <c r="L31" i="15"/>
  <c r="K31" i="15"/>
  <c r="M31" i="15" s="1"/>
  <c r="D31" i="15"/>
  <c r="E31" i="15" s="1"/>
  <c r="H31" i="15" s="1"/>
  <c r="I31" i="15" s="1"/>
  <c r="J31" i="15" s="1"/>
  <c r="N31" i="15" s="1"/>
  <c r="L30" i="15"/>
  <c r="K30" i="15"/>
  <c r="M30" i="15" s="1"/>
  <c r="D30" i="15"/>
  <c r="E30" i="15" s="1"/>
  <c r="H30" i="15" s="1"/>
  <c r="I30" i="15" s="1"/>
  <c r="J30" i="15" s="1"/>
  <c r="L29" i="15"/>
  <c r="M29" i="15" s="1"/>
  <c r="K29" i="15"/>
  <c r="E29" i="15"/>
  <c r="H29" i="15" s="1"/>
  <c r="I29" i="15" s="1"/>
  <c r="J29" i="15" s="1"/>
  <c r="D29" i="15"/>
  <c r="L28" i="15"/>
  <c r="M28" i="15" s="1"/>
  <c r="K28" i="15"/>
  <c r="D28" i="15"/>
  <c r="E28" i="15" s="1"/>
  <c r="H28" i="15" s="1"/>
  <c r="I28" i="15" s="1"/>
  <c r="J28" i="15" s="1"/>
  <c r="N28" i="15" s="1"/>
  <c r="L27" i="15"/>
  <c r="K27" i="15"/>
  <c r="M27" i="15" s="1"/>
  <c r="D27" i="15"/>
  <c r="E27" i="15" s="1"/>
  <c r="H27" i="15" s="1"/>
  <c r="I27" i="15" s="1"/>
  <c r="J27" i="15" s="1"/>
  <c r="N27" i="15" s="1"/>
  <c r="L26" i="15"/>
  <c r="K26" i="15"/>
  <c r="M26" i="15" s="1"/>
  <c r="D26" i="15"/>
  <c r="E26" i="15" s="1"/>
  <c r="H26" i="15" s="1"/>
  <c r="I26" i="15" s="1"/>
  <c r="J26" i="15" s="1"/>
  <c r="N26" i="15" s="1"/>
  <c r="L25" i="15"/>
  <c r="M25" i="15" s="1"/>
  <c r="K25" i="15"/>
  <c r="E25" i="15"/>
  <c r="H25" i="15" s="1"/>
  <c r="I25" i="15" s="1"/>
  <c r="J25" i="15" s="1"/>
  <c r="N25" i="15" s="1"/>
  <c r="D25" i="15"/>
  <c r="L24" i="15"/>
  <c r="M24" i="15" s="1"/>
  <c r="K24" i="15"/>
  <c r="D24" i="15"/>
  <c r="E24" i="15" s="1"/>
  <c r="H24" i="15" s="1"/>
  <c r="I24" i="15" s="1"/>
  <c r="L23" i="15"/>
  <c r="K23" i="15"/>
  <c r="M23" i="15" s="1"/>
  <c r="D23" i="15"/>
  <c r="E23" i="15" s="1"/>
  <c r="H23" i="15" s="1"/>
  <c r="L22" i="15"/>
  <c r="K22" i="15"/>
  <c r="M22" i="15" s="1"/>
  <c r="D22" i="15"/>
  <c r="E22" i="15" s="1"/>
  <c r="H22" i="15" s="1"/>
  <c r="L21" i="15"/>
  <c r="M21" i="15" s="1"/>
  <c r="K21" i="15"/>
  <c r="E21" i="15"/>
  <c r="H21" i="15" s="1"/>
  <c r="D21" i="15"/>
  <c r="L20" i="15"/>
  <c r="M20" i="15" s="1"/>
  <c r="K20" i="15"/>
  <c r="D20" i="15"/>
  <c r="E20" i="15" s="1"/>
  <c r="H20" i="15" s="1"/>
  <c r="L19" i="15"/>
  <c r="K19" i="15"/>
  <c r="M19" i="15" s="1"/>
  <c r="D19" i="15"/>
  <c r="E19" i="15" s="1"/>
  <c r="H19" i="15" s="1"/>
  <c r="L18" i="15"/>
  <c r="K18" i="15"/>
  <c r="M18" i="15" s="1"/>
  <c r="D18" i="15"/>
  <c r="E18" i="15" s="1"/>
  <c r="H18" i="15" s="1"/>
  <c r="L17" i="15"/>
  <c r="M17" i="15" s="1"/>
  <c r="K17" i="15"/>
  <c r="E17" i="15"/>
  <c r="H17" i="15" s="1"/>
  <c r="D17" i="15"/>
  <c r="L16" i="15"/>
  <c r="M16" i="15" s="1"/>
  <c r="K16" i="15"/>
  <c r="D16" i="15"/>
  <c r="E16" i="15" s="1"/>
  <c r="H16" i="15" s="1"/>
  <c r="L15" i="15"/>
  <c r="K15" i="15"/>
  <c r="M15" i="15" s="1"/>
  <c r="D15" i="15"/>
  <c r="E15" i="15" s="1"/>
  <c r="H15" i="15" s="1"/>
  <c r="L14" i="15"/>
  <c r="K14" i="15"/>
  <c r="M14" i="15" s="1"/>
  <c r="D14" i="15"/>
  <c r="E14" i="15" s="1"/>
  <c r="H14" i="15" s="1"/>
  <c r="L13" i="15"/>
  <c r="M13" i="15" s="1"/>
  <c r="K13" i="15"/>
  <c r="E13" i="15"/>
  <c r="H13" i="15" s="1"/>
  <c r="D13" i="15"/>
  <c r="L12" i="15"/>
  <c r="M12" i="15" s="1"/>
  <c r="K12" i="15"/>
  <c r="D12" i="15"/>
  <c r="E12" i="15" s="1"/>
  <c r="H12" i="15" s="1"/>
  <c r="L11" i="15"/>
  <c r="K11" i="15"/>
  <c r="M11" i="15" s="1"/>
  <c r="D11" i="15"/>
  <c r="E11" i="15" s="1"/>
  <c r="H11" i="15" s="1"/>
  <c r="L10" i="15"/>
  <c r="K10" i="15"/>
  <c r="M10" i="15" s="1"/>
  <c r="D10" i="15"/>
  <c r="E10" i="15" s="1"/>
  <c r="H10" i="15" s="1"/>
  <c r="L9" i="15"/>
  <c r="M9" i="15" s="1"/>
  <c r="K9" i="15"/>
  <c r="E9" i="15"/>
  <c r="H9" i="15" s="1"/>
  <c r="D9" i="15"/>
  <c r="L8" i="15"/>
  <c r="M8" i="15" s="1"/>
  <c r="K8" i="15"/>
  <c r="D8" i="15"/>
  <c r="E8" i="15" s="1"/>
  <c r="H8" i="15" s="1"/>
  <c r="L7" i="15"/>
  <c r="K7" i="15"/>
  <c r="M7" i="15" s="1"/>
  <c r="D7" i="15"/>
  <c r="E7" i="15" s="1"/>
  <c r="H7" i="15" s="1"/>
  <c r="L6" i="15"/>
  <c r="K6" i="15"/>
  <c r="M6" i="15" s="1"/>
  <c r="D6" i="15"/>
  <c r="E6" i="15" s="1"/>
  <c r="H6" i="15" s="1"/>
  <c r="L5" i="15"/>
  <c r="M5" i="15" s="1"/>
  <c r="K5" i="15"/>
  <c r="E5" i="15"/>
  <c r="H5" i="15" s="1"/>
  <c r="D5" i="15"/>
  <c r="L4" i="15"/>
  <c r="M4" i="15" s="1"/>
  <c r="K4" i="15"/>
  <c r="D4" i="15"/>
  <c r="E4" i="15" s="1"/>
  <c r="H4" i="15" s="1"/>
  <c r="D3" i="15"/>
  <c r="E3" i="15" s="1"/>
  <c r="H3" i="15" s="1"/>
  <c r="L1" i="15"/>
  <c r="L38" i="14"/>
  <c r="K38" i="14"/>
  <c r="M38" i="14" s="1"/>
  <c r="D38" i="14"/>
  <c r="E38" i="14" s="1"/>
  <c r="H38" i="14" s="1"/>
  <c r="I38" i="14" s="1"/>
  <c r="J38" i="14" s="1"/>
  <c r="N38" i="14" s="1"/>
  <c r="M37" i="14"/>
  <c r="L37" i="14"/>
  <c r="K37" i="14"/>
  <c r="D37" i="14"/>
  <c r="E37" i="14" s="1"/>
  <c r="H37" i="14" s="1"/>
  <c r="I37" i="14" s="1"/>
  <c r="J37" i="14" s="1"/>
  <c r="N37" i="14" s="1"/>
  <c r="L36" i="14"/>
  <c r="K36" i="14"/>
  <c r="M36" i="14" s="1"/>
  <c r="E36" i="14"/>
  <c r="H36" i="14" s="1"/>
  <c r="I36" i="14" s="1"/>
  <c r="J36" i="14" s="1"/>
  <c r="D36" i="14"/>
  <c r="L35" i="14"/>
  <c r="K35" i="14"/>
  <c r="M35" i="14" s="1"/>
  <c r="D35" i="14"/>
  <c r="E35" i="14" s="1"/>
  <c r="H35" i="14" s="1"/>
  <c r="I35" i="14" s="1"/>
  <c r="J35" i="14" s="1"/>
  <c r="N35" i="14" s="1"/>
  <c r="L34" i="14"/>
  <c r="K34" i="14"/>
  <c r="M34" i="14" s="1"/>
  <c r="D34" i="14"/>
  <c r="E34" i="14" s="1"/>
  <c r="H34" i="14" s="1"/>
  <c r="I34" i="14" s="1"/>
  <c r="J34" i="14" s="1"/>
  <c r="M33" i="14"/>
  <c r="L33" i="14"/>
  <c r="K33" i="14"/>
  <c r="D33" i="14"/>
  <c r="E33" i="14" s="1"/>
  <c r="H33" i="14" s="1"/>
  <c r="I33" i="14" s="1"/>
  <c r="J33" i="14" s="1"/>
  <c r="N33" i="14" s="1"/>
  <c r="L32" i="14"/>
  <c r="K32" i="14"/>
  <c r="M32" i="14" s="1"/>
  <c r="E32" i="14"/>
  <c r="H32" i="14" s="1"/>
  <c r="I32" i="14" s="1"/>
  <c r="J32" i="14" s="1"/>
  <c r="N32" i="14" s="1"/>
  <c r="D32" i="14"/>
  <c r="L31" i="14"/>
  <c r="M31" i="14" s="1"/>
  <c r="K31" i="14"/>
  <c r="D31" i="14"/>
  <c r="E31" i="14" s="1"/>
  <c r="H31" i="14" s="1"/>
  <c r="I31" i="14" s="1"/>
  <c r="J31" i="14" s="1"/>
  <c r="N31" i="14" s="1"/>
  <c r="L30" i="14"/>
  <c r="K30" i="14"/>
  <c r="M30" i="14" s="1"/>
  <c r="D30" i="14"/>
  <c r="E30" i="14" s="1"/>
  <c r="H30" i="14" s="1"/>
  <c r="I30" i="14" s="1"/>
  <c r="J30" i="14" s="1"/>
  <c r="N30" i="14" s="1"/>
  <c r="M29" i="14"/>
  <c r="L29" i="14"/>
  <c r="K29" i="14"/>
  <c r="D29" i="14"/>
  <c r="E29" i="14" s="1"/>
  <c r="H29" i="14" s="1"/>
  <c r="I29" i="14" s="1"/>
  <c r="J29" i="14" s="1"/>
  <c r="L28" i="14"/>
  <c r="K28" i="14"/>
  <c r="M28" i="14" s="1"/>
  <c r="E28" i="14"/>
  <c r="H28" i="14" s="1"/>
  <c r="I28" i="14" s="1"/>
  <c r="J28" i="14" s="1"/>
  <c r="N28" i="14" s="1"/>
  <c r="D28" i="14"/>
  <c r="L27" i="14"/>
  <c r="M27" i="14" s="1"/>
  <c r="K27" i="14"/>
  <c r="D27" i="14"/>
  <c r="E27" i="14" s="1"/>
  <c r="H27" i="14" s="1"/>
  <c r="I27" i="14" s="1"/>
  <c r="J27" i="14" s="1"/>
  <c r="N27" i="14" s="1"/>
  <c r="L26" i="14"/>
  <c r="K26" i="14"/>
  <c r="M26" i="14" s="1"/>
  <c r="D26" i="14"/>
  <c r="E26" i="14" s="1"/>
  <c r="H26" i="14" s="1"/>
  <c r="I26" i="14" s="1"/>
  <c r="J26" i="14" s="1"/>
  <c r="M25" i="14"/>
  <c r="L25" i="14"/>
  <c r="K25" i="14"/>
  <c r="D25" i="14"/>
  <c r="E25" i="14" s="1"/>
  <c r="H25" i="14" s="1"/>
  <c r="I25" i="14" s="1"/>
  <c r="J25" i="14" s="1"/>
  <c r="N25" i="14" s="1"/>
  <c r="L24" i="14"/>
  <c r="K24" i="14"/>
  <c r="M24" i="14" s="1"/>
  <c r="E24" i="14"/>
  <c r="H24" i="14" s="1"/>
  <c r="I24" i="14" s="1"/>
  <c r="D24" i="14"/>
  <c r="L23" i="14"/>
  <c r="M23" i="14" s="1"/>
  <c r="K23" i="14"/>
  <c r="D23" i="14"/>
  <c r="E23" i="14" s="1"/>
  <c r="H23" i="14" s="1"/>
  <c r="L22" i="14"/>
  <c r="K22" i="14"/>
  <c r="M22" i="14" s="1"/>
  <c r="D22" i="14"/>
  <c r="E22" i="14" s="1"/>
  <c r="H22" i="14" s="1"/>
  <c r="M21" i="14"/>
  <c r="L21" i="14"/>
  <c r="K21" i="14"/>
  <c r="D21" i="14"/>
  <c r="E21" i="14" s="1"/>
  <c r="H21" i="14" s="1"/>
  <c r="L20" i="14"/>
  <c r="K20" i="14"/>
  <c r="M20" i="14" s="1"/>
  <c r="E20" i="14"/>
  <c r="H20" i="14" s="1"/>
  <c r="D20" i="14"/>
  <c r="L19" i="14"/>
  <c r="M19" i="14" s="1"/>
  <c r="K19" i="14"/>
  <c r="D19" i="14"/>
  <c r="E19" i="14" s="1"/>
  <c r="H19" i="14" s="1"/>
  <c r="L18" i="14"/>
  <c r="K18" i="14"/>
  <c r="M18" i="14" s="1"/>
  <c r="D18" i="14"/>
  <c r="E18" i="14" s="1"/>
  <c r="H18" i="14" s="1"/>
  <c r="M17" i="14"/>
  <c r="L17" i="14"/>
  <c r="K17" i="14"/>
  <c r="D17" i="14"/>
  <c r="E17" i="14" s="1"/>
  <c r="H17" i="14" s="1"/>
  <c r="L16" i="14"/>
  <c r="K16" i="14"/>
  <c r="M16" i="14" s="1"/>
  <c r="E16" i="14"/>
  <c r="H16" i="14" s="1"/>
  <c r="D16" i="14"/>
  <c r="L15" i="14"/>
  <c r="M15" i="14" s="1"/>
  <c r="K15" i="14"/>
  <c r="D15" i="14"/>
  <c r="E15" i="14" s="1"/>
  <c r="H15" i="14" s="1"/>
  <c r="L14" i="14"/>
  <c r="K14" i="14"/>
  <c r="M14" i="14" s="1"/>
  <c r="D14" i="14"/>
  <c r="E14" i="14" s="1"/>
  <c r="H14" i="14" s="1"/>
  <c r="M13" i="14"/>
  <c r="L13" i="14"/>
  <c r="K13" i="14"/>
  <c r="D13" i="14"/>
  <c r="E13" i="14" s="1"/>
  <c r="H13" i="14" s="1"/>
  <c r="L12" i="14"/>
  <c r="K12" i="14"/>
  <c r="M12" i="14" s="1"/>
  <c r="E12" i="14"/>
  <c r="H12" i="14" s="1"/>
  <c r="D12" i="14"/>
  <c r="L11" i="14"/>
  <c r="M11" i="14" s="1"/>
  <c r="K11" i="14"/>
  <c r="D11" i="14"/>
  <c r="E11" i="14" s="1"/>
  <c r="H11" i="14" s="1"/>
  <c r="L10" i="14"/>
  <c r="K10" i="14"/>
  <c r="M10" i="14" s="1"/>
  <c r="D10" i="14"/>
  <c r="E10" i="14" s="1"/>
  <c r="H10" i="14" s="1"/>
  <c r="M9" i="14"/>
  <c r="L9" i="14"/>
  <c r="K9" i="14"/>
  <c r="D9" i="14"/>
  <c r="E9" i="14" s="1"/>
  <c r="H9" i="14" s="1"/>
  <c r="L8" i="14"/>
  <c r="K8" i="14"/>
  <c r="M8" i="14" s="1"/>
  <c r="E8" i="14"/>
  <c r="H8" i="14" s="1"/>
  <c r="D8" i="14"/>
  <c r="L7" i="14"/>
  <c r="M7" i="14" s="1"/>
  <c r="K7" i="14"/>
  <c r="D7" i="14"/>
  <c r="E7" i="14" s="1"/>
  <c r="H7" i="14" s="1"/>
  <c r="L6" i="14"/>
  <c r="K6" i="14"/>
  <c r="M6" i="14" s="1"/>
  <c r="D6" i="14"/>
  <c r="E6" i="14" s="1"/>
  <c r="H6" i="14" s="1"/>
  <c r="M5" i="14"/>
  <c r="L5" i="14"/>
  <c r="K5" i="14"/>
  <c r="D5" i="14"/>
  <c r="E5" i="14" s="1"/>
  <c r="H5" i="14" s="1"/>
  <c r="L4" i="14"/>
  <c r="K4" i="14"/>
  <c r="M4" i="14" s="1"/>
  <c r="E4" i="14"/>
  <c r="H4" i="14" s="1"/>
  <c r="D4" i="14"/>
  <c r="E3" i="14" s="1"/>
  <c r="H3" i="14" s="1"/>
  <c r="D3" i="14"/>
  <c r="L1" i="14"/>
  <c r="L36" i="12"/>
  <c r="M36" i="12" s="1"/>
  <c r="K36" i="12"/>
  <c r="D36" i="12"/>
  <c r="E36" i="12" s="1"/>
  <c r="H36" i="12" s="1"/>
  <c r="I36" i="12" s="1"/>
  <c r="J36" i="12" s="1"/>
  <c r="N36" i="12" s="1"/>
  <c r="L35" i="12"/>
  <c r="K35" i="12"/>
  <c r="M35" i="12" s="1"/>
  <c r="D35" i="12"/>
  <c r="E35" i="12" s="1"/>
  <c r="H35" i="12" s="1"/>
  <c r="I35" i="12" s="1"/>
  <c r="J35" i="12" s="1"/>
  <c r="N35" i="12" s="1"/>
  <c r="L34" i="12"/>
  <c r="M34" i="12" s="1"/>
  <c r="K34" i="12"/>
  <c r="D34" i="12"/>
  <c r="E34" i="12" s="1"/>
  <c r="H34" i="12" s="1"/>
  <c r="I34" i="12" s="1"/>
  <c r="J34" i="12" s="1"/>
  <c r="L33" i="12"/>
  <c r="K33" i="12"/>
  <c r="M33" i="12" s="1"/>
  <c r="D33" i="12"/>
  <c r="E33" i="12" s="1"/>
  <c r="H33" i="12" s="1"/>
  <c r="I33" i="12" s="1"/>
  <c r="J33" i="12" s="1"/>
  <c r="N33" i="12" s="1"/>
  <c r="L32" i="12"/>
  <c r="M32" i="12" s="1"/>
  <c r="K32" i="12"/>
  <c r="D32" i="12"/>
  <c r="E32" i="12" s="1"/>
  <c r="H32" i="12" s="1"/>
  <c r="I32" i="12" s="1"/>
  <c r="J32" i="12" s="1"/>
  <c r="N32" i="12" s="1"/>
  <c r="L31" i="12"/>
  <c r="K31" i="12"/>
  <c r="M31" i="12" s="1"/>
  <c r="D31" i="12"/>
  <c r="E31" i="12" s="1"/>
  <c r="H31" i="12" s="1"/>
  <c r="I31" i="12" s="1"/>
  <c r="J31" i="12" s="1"/>
  <c r="N31" i="12" s="1"/>
  <c r="L30" i="12"/>
  <c r="M30" i="12" s="1"/>
  <c r="K30" i="12"/>
  <c r="D30" i="12"/>
  <c r="E30" i="12" s="1"/>
  <c r="H30" i="12" s="1"/>
  <c r="I30" i="12" s="1"/>
  <c r="J30" i="12" s="1"/>
  <c r="N30" i="12" s="1"/>
  <c r="L29" i="12"/>
  <c r="K29" i="12"/>
  <c r="M29" i="12" s="1"/>
  <c r="D29" i="12"/>
  <c r="E29" i="12" s="1"/>
  <c r="H29" i="12" s="1"/>
  <c r="I29" i="12" s="1"/>
  <c r="J29" i="12" s="1"/>
  <c r="N29" i="12" s="1"/>
  <c r="L28" i="12"/>
  <c r="M28" i="12" s="1"/>
  <c r="K28" i="12"/>
  <c r="D28" i="12"/>
  <c r="E28" i="12" s="1"/>
  <c r="H28" i="12" s="1"/>
  <c r="I28" i="12" s="1"/>
  <c r="J28" i="12" s="1"/>
  <c r="N28" i="12" s="1"/>
  <c r="L27" i="12"/>
  <c r="K27" i="12"/>
  <c r="M27" i="12" s="1"/>
  <c r="D27" i="12"/>
  <c r="E27" i="12" s="1"/>
  <c r="H27" i="12" s="1"/>
  <c r="I27" i="12" s="1"/>
  <c r="J27" i="12" s="1"/>
  <c r="N27" i="12" s="1"/>
  <c r="L26" i="12"/>
  <c r="M26" i="12" s="1"/>
  <c r="K26" i="12"/>
  <c r="D26" i="12"/>
  <c r="E26" i="12" s="1"/>
  <c r="H26" i="12" s="1"/>
  <c r="I26" i="12" s="1"/>
  <c r="J26" i="12" s="1"/>
  <c r="L25" i="12"/>
  <c r="K25" i="12"/>
  <c r="M25" i="12" s="1"/>
  <c r="D25" i="12"/>
  <c r="E25" i="12" s="1"/>
  <c r="H25" i="12" s="1"/>
  <c r="I25" i="12" s="1"/>
  <c r="J25" i="12" s="1"/>
  <c r="N25" i="12" s="1"/>
  <c r="L24" i="12"/>
  <c r="M24" i="12" s="1"/>
  <c r="K24" i="12"/>
  <c r="D24" i="12"/>
  <c r="E24" i="12" s="1"/>
  <c r="H24" i="12" s="1"/>
  <c r="I24" i="12" s="1"/>
  <c r="L23" i="12"/>
  <c r="K23" i="12"/>
  <c r="M23" i="12" s="1"/>
  <c r="D23" i="12"/>
  <c r="E23" i="12" s="1"/>
  <c r="H23" i="12" s="1"/>
  <c r="L22" i="12"/>
  <c r="M22" i="12" s="1"/>
  <c r="K22" i="12"/>
  <c r="D22" i="12"/>
  <c r="E22" i="12" s="1"/>
  <c r="H22" i="12" s="1"/>
  <c r="L21" i="12"/>
  <c r="K21" i="12"/>
  <c r="M21" i="12" s="1"/>
  <c r="D21" i="12"/>
  <c r="E21" i="12" s="1"/>
  <c r="H21" i="12" s="1"/>
  <c r="L20" i="12"/>
  <c r="M20" i="12" s="1"/>
  <c r="K20" i="12"/>
  <c r="D20" i="12"/>
  <c r="E20" i="12" s="1"/>
  <c r="H20" i="12" s="1"/>
  <c r="L19" i="12"/>
  <c r="K19" i="12"/>
  <c r="M19" i="12" s="1"/>
  <c r="D19" i="12"/>
  <c r="E19" i="12" s="1"/>
  <c r="H19" i="12" s="1"/>
  <c r="L18" i="12"/>
  <c r="M18" i="12" s="1"/>
  <c r="K18" i="12"/>
  <c r="D18" i="12"/>
  <c r="E18" i="12" s="1"/>
  <c r="H18" i="12" s="1"/>
  <c r="L17" i="12"/>
  <c r="K17" i="12"/>
  <c r="M17" i="12" s="1"/>
  <c r="D17" i="12"/>
  <c r="E17" i="12" s="1"/>
  <c r="H17" i="12" s="1"/>
  <c r="L16" i="12"/>
  <c r="M16" i="12" s="1"/>
  <c r="K16" i="12"/>
  <c r="D16" i="12"/>
  <c r="E16" i="12" s="1"/>
  <c r="H16" i="12" s="1"/>
  <c r="L15" i="12"/>
  <c r="K15" i="12"/>
  <c r="M15" i="12" s="1"/>
  <c r="D15" i="12"/>
  <c r="E15" i="12" s="1"/>
  <c r="H15" i="12" s="1"/>
  <c r="L14" i="12"/>
  <c r="M14" i="12" s="1"/>
  <c r="K14" i="12"/>
  <c r="D14" i="12"/>
  <c r="E14" i="12" s="1"/>
  <c r="H14" i="12" s="1"/>
  <c r="L13" i="12"/>
  <c r="K13" i="12"/>
  <c r="M13" i="12" s="1"/>
  <c r="D13" i="12"/>
  <c r="E13" i="12" s="1"/>
  <c r="H13" i="12" s="1"/>
  <c r="L12" i="12"/>
  <c r="M12" i="12" s="1"/>
  <c r="K12" i="12"/>
  <c r="D12" i="12"/>
  <c r="E12" i="12" s="1"/>
  <c r="H12" i="12" s="1"/>
  <c r="L11" i="12"/>
  <c r="K11" i="12"/>
  <c r="M11" i="12" s="1"/>
  <c r="D11" i="12"/>
  <c r="E11" i="12" s="1"/>
  <c r="H11" i="12" s="1"/>
  <c r="L10" i="12"/>
  <c r="M10" i="12" s="1"/>
  <c r="K10" i="12"/>
  <c r="D10" i="12"/>
  <c r="E10" i="12" s="1"/>
  <c r="H10" i="12" s="1"/>
  <c r="L9" i="12"/>
  <c r="K9" i="12"/>
  <c r="M9" i="12" s="1"/>
  <c r="D9" i="12"/>
  <c r="E9" i="12" s="1"/>
  <c r="H9" i="12" s="1"/>
  <c r="L8" i="12"/>
  <c r="M8" i="12" s="1"/>
  <c r="K8" i="12"/>
  <c r="D8" i="12"/>
  <c r="E8" i="12" s="1"/>
  <c r="H8" i="12" s="1"/>
  <c r="L7" i="12"/>
  <c r="K7" i="12"/>
  <c r="M7" i="12" s="1"/>
  <c r="D7" i="12"/>
  <c r="E7" i="12" s="1"/>
  <c r="H7" i="12" s="1"/>
  <c r="L6" i="12"/>
  <c r="M6" i="12" s="1"/>
  <c r="K6" i="12"/>
  <c r="D6" i="12"/>
  <c r="E6" i="12" s="1"/>
  <c r="H6" i="12" s="1"/>
  <c r="L5" i="12"/>
  <c r="K5" i="12"/>
  <c r="M5" i="12" s="1"/>
  <c r="D5" i="12"/>
  <c r="E5" i="12" s="1"/>
  <c r="H5" i="12" s="1"/>
  <c r="L4" i="12"/>
  <c r="M4" i="12" s="1"/>
  <c r="K4" i="12"/>
  <c r="D4" i="12"/>
  <c r="E4" i="12" s="1"/>
  <c r="H4" i="12" s="1"/>
  <c r="D3" i="12"/>
  <c r="E3" i="12" s="1"/>
  <c r="H3" i="12" s="1"/>
  <c r="L1" i="12"/>
  <c r="L38" i="11"/>
  <c r="K38" i="11"/>
  <c r="M38" i="11" s="1"/>
  <c r="E38" i="11"/>
  <c r="H38" i="11" s="1"/>
  <c r="I38" i="11" s="1"/>
  <c r="J38" i="11" s="1"/>
  <c r="N38" i="11" s="1"/>
  <c r="D38" i="11"/>
  <c r="M37" i="11"/>
  <c r="L37" i="11"/>
  <c r="K37" i="11"/>
  <c r="D37" i="11"/>
  <c r="E37" i="11" s="1"/>
  <c r="H37" i="11" s="1"/>
  <c r="I37" i="11" s="1"/>
  <c r="J37" i="11" s="1"/>
  <c r="L36" i="11"/>
  <c r="K36" i="11"/>
  <c r="M36" i="11" s="1"/>
  <c r="E36" i="11"/>
  <c r="H36" i="11" s="1"/>
  <c r="I36" i="11" s="1"/>
  <c r="J36" i="11" s="1"/>
  <c r="N36" i="11" s="1"/>
  <c r="D36" i="11"/>
  <c r="M35" i="11"/>
  <c r="L35" i="11"/>
  <c r="K35" i="11"/>
  <c r="D35" i="11"/>
  <c r="E35" i="11" s="1"/>
  <c r="H35" i="11" s="1"/>
  <c r="I35" i="11" s="1"/>
  <c r="J35" i="11" s="1"/>
  <c r="L34" i="11"/>
  <c r="K34" i="11"/>
  <c r="M34" i="11" s="1"/>
  <c r="E34" i="11"/>
  <c r="H34" i="11" s="1"/>
  <c r="I34" i="11" s="1"/>
  <c r="J34" i="11" s="1"/>
  <c r="N34" i="11" s="1"/>
  <c r="D34" i="11"/>
  <c r="M33" i="11"/>
  <c r="L33" i="11"/>
  <c r="K33" i="11"/>
  <c r="D33" i="11"/>
  <c r="E33" i="11" s="1"/>
  <c r="H33" i="11" s="1"/>
  <c r="I33" i="11" s="1"/>
  <c r="J33" i="11" s="1"/>
  <c r="L32" i="11"/>
  <c r="K32" i="11"/>
  <c r="M32" i="11" s="1"/>
  <c r="E32" i="11"/>
  <c r="H32" i="11" s="1"/>
  <c r="I32" i="11" s="1"/>
  <c r="J32" i="11" s="1"/>
  <c r="N32" i="11" s="1"/>
  <c r="D32" i="11"/>
  <c r="M31" i="11"/>
  <c r="L31" i="11"/>
  <c r="K31" i="11"/>
  <c r="D31" i="11"/>
  <c r="E31" i="11" s="1"/>
  <c r="H31" i="11" s="1"/>
  <c r="I31" i="11" s="1"/>
  <c r="J31" i="11" s="1"/>
  <c r="N31" i="11" s="1"/>
  <c r="L30" i="11"/>
  <c r="K30" i="11"/>
  <c r="M30" i="11" s="1"/>
  <c r="E30" i="11"/>
  <c r="H30" i="11" s="1"/>
  <c r="I30" i="11" s="1"/>
  <c r="J30" i="11" s="1"/>
  <c r="N30" i="11" s="1"/>
  <c r="D30" i="11"/>
  <c r="M29" i="11"/>
  <c r="L29" i="11"/>
  <c r="K29" i="11"/>
  <c r="D29" i="11"/>
  <c r="E29" i="11" s="1"/>
  <c r="H29" i="11" s="1"/>
  <c r="I29" i="11" s="1"/>
  <c r="J29" i="11" s="1"/>
  <c r="L28" i="11"/>
  <c r="K28" i="11"/>
  <c r="M28" i="11" s="1"/>
  <c r="E28" i="11"/>
  <c r="H28" i="11" s="1"/>
  <c r="I28" i="11" s="1"/>
  <c r="J28" i="11" s="1"/>
  <c r="N28" i="11" s="1"/>
  <c r="D28" i="11"/>
  <c r="M27" i="11"/>
  <c r="L27" i="11"/>
  <c r="K27" i="11"/>
  <c r="D27" i="11"/>
  <c r="E27" i="11" s="1"/>
  <c r="H27" i="11" s="1"/>
  <c r="I27" i="11" s="1"/>
  <c r="J27" i="11" s="1"/>
  <c r="L26" i="11"/>
  <c r="K26" i="11"/>
  <c r="M26" i="11" s="1"/>
  <c r="E26" i="11"/>
  <c r="H26" i="11" s="1"/>
  <c r="I26" i="11" s="1"/>
  <c r="J26" i="11" s="1"/>
  <c r="N26" i="11" s="1"/>
  <c r="D26" i="11"/>
  <c r="M25" i="11"/>
  <c r="L25" i="11"/>
  <c r="K25" i="11"/>
  <c r="D25" i="11"/>
  <c r="E25" i="11" s="1"/>
  <c r="H25" i="11" s="1"/>
  <c r="I25" i="11" s="1"/>
  <c r="J25" i="11" s="1"/>
  <c r="L24" i="11"/>
  <c r="K24" i="11"/>
  <c r="M24" i="11" s="1"/>
  <c r="E24" i="11"/>
  <c r="H24" i="11" s="1"/>
  <c r="I24" i="11" s="1"/>
  <c r="D24" i="11"/>
  <c r="M23" i="11"/>
  <c r="L23" i="11"/>
  <c r="K23" i="11"/>
  <c r="D23" i="11"/>
  <c r="E23" i="11" s="1"/>
  <c r="H23" i="11" s="1"/>
  <c r="L22" i="11"/>
  <c r="K22" i="11"/>
  <c r="M22" i="11" s="1"/>
  <c r="E22" i="11"/>
  <c r="H22" i="11" s="1"/>
  <c r="D22" i="11"/>
  <c r="M21" i="11"/>
  <c r="L21" i="11"/>
  <c r="K21" i="11"/>
  <c r="D21" i="11"/>
  <c r="E21" i="11" s="1"/>
  <c r="H21" i="11" s="1"/>
  <c r="L20" i="11"/>
  <c r="K20" i="11"/>
  <c r="M20" i="11" s="1"/>
  <c r="E20" i="11"/>
  <c r="H20" i="11" s="1"/>
  <c r="D20" i="11"/>
  <c r="M19" i="11"/>
  <c r="L19" i="11"/>
  <c r="K19" i="11"/>
  <c r="D19" i="11"/>
  <c r="E19" i="11" s="1"/>
  <c r="H19" i="11" s="1"/>
  <c r="L18" i="11"/>
  <c r="K18" i="11"/>
  <c r="M18" i="11" s="1"/>
  <c r="E18" i="11"/>
  <c r="H18" i="11" s="1"/>
  <c r="D18" i="11"/>
  <c r="M17" i="11"/>
  <c r="L17" i="11"/>
  <c r="K17" i="11"/>
  <c r="D17" i="11"/>
  <c r="E17" i="11" s="1"/>
  <c r="H17" i="11" s="1"/>
  <c r="L16" i="11"/>
  <c r="K16" i="11"/>
  <c r="M16" i="11" s="1"/>
  <c r="E16" i="11"/>
  <c r="H16" i="11" s="1"/>
  <c r="D16" i="11"/>
  <c r="M15" i="11"/>
  <c r="L15" i="11"/>
  <c r="K15" i="11"/>
  <c r="D15" i="11"/>
  <c r="E15" i="11" s="1"/>
  <c r="H15" i="11" s="1"/>
  <c r="L14" i="11"/>
  <c r="K14" i="11"/>
  <c r="M14" i="11" s="1"/>
  <c r="E14" i="11"/>
  <c r="H14" i="11" s="1"/>
  <c r="D14" i="11"/>
  <c r="M13" i="11"/>
  <c r="L13" i="11"/>
  <c r="K13" i="11"/>
  <c r="D13" i="11"/>
  <c r="E13" i="11" s="1"/>
  <c r="H13" i="11" s="1"/>
  <c r="L12" i="11"/>
  <c r="K12" i="11"/>
  <c r="M12" i="11" s="1"/>
  <c r="E12" i="11"/>
  <c r="H12" i="11" s="1"/>
  <c r="D12" i="11"/>
  <c r="M11" i="11"/>
  <c r="L11" i="11"/>
  <c r="K11" i="11"/>
  <c r="D11" i="11"/>
  <c r="E11" i="11" s="1"/>
  <c r="H11" i="11" s="1"/>
  <c r="L10" i="11"/>
  <c r="K10" i="11"/>
  <c r="M10" i="11" s="1"/>
  <c r="E10" i="11"/>
  <c r="H10" i="11" s="1"/>
  <c r="D10" i="11"/>
  <c r="M9" i="11"/>
  <c r="L9" i="11"/>
  <c r="K9" i="11"/>
  <c r="D9" i="11"/>
  <c r="E9" i="11" s="1"/>
  <c r="H9" i="11" s="1"/>
  <c r="L8" i="11"/>
  <c r="K8" i="11"/>
  <c r="M8" i="11" s="1"/>
  <c r="E8" i="11"/>
  <c r="H8" i="11" s="1"/>
  <c r="D8" i="11"/>
  <c r="M7" i="11"/>
  <c r="L7" i="11"/>
  <c r="K7" i="11"/>
  <c r="D7" i="11"/>
  <c r="E7" i="11" s="1"/>
  <c r="H7" i="11" s="1"/>
  <c r="L6" i="11"/>
  <c r="K6" i="11"/>
  <c r="M6" i="11" s="1"/>
  <c r="E6" i="11"/>
  <c r="H6" i="11" s="1"/>
  <c r="D6" i="11"/>
  <c r="M5" i="11"/>
  <c r="L5" i="11"/>
  <c r="K5" i="11"/>
  <c r="D5" i="11"/>
  <c r="E5" i="11" s="1"/>
  <c r="H5" i="11" s="1"/>
  <c r="L4" i="11"/>
  <c r="K4" i="11"/>
  <c r="M4" i="11" s="1"/>
  <c r="E4" i="11"/>
  <c r="H4" i="11" s="1"/>
  <c r="D4" i="11"/>
  <c r="E3" i="11" s="1"/>
  <c r="H3" i="11" s="1"/>
  <c r="D3" i="11"/>
  <c r="L1" i="11"/>
  <c r="L38" i="10"/>
  <c r="K38" i="10"/>
  <c r="M38" i="10" s="1"/>
  <c r="D38" i="10"/>
  <c r="E38" i="10" s="1"/>
  <c r="H38" i="10" s="1"/>
  <c r="I38" i="10" s="1"/>
  <c r="J38" i="10" s="1"/>
  <c r="M37" i="10"/>
  <c r="L37" i="10"/>
  <c r="K37" i="10"/>
  <c r="D37" i="10"/>
  <c r="E37" i="10" s="1"/>
  <c r="H37" i="10" s="1"/>
  <c r="I37" i="10" s="1"/>
  <c r="J37" i="10" s="1"/>
  <c r="L36" i="10"/>
  <c r="K36" i="10"/>
  <c r="M36" i="10" s="1"/>
  <c r="E36" i="10"/>
  <c r="H36" i="10" s="1"/>
  <c r="I36" i="10" s="1"/>
  <c r="J36" i="10" s="1"/>
  <c r="N36" i="10" s="1"/>
  <c r="D36" i="10"/>
  <c r="L35" i="10"/>
  <c r="M35" i="10" s="1"/>
  <c r="K35" i="10"/>
  <c r="D35" i="10"/>
  <c r="E35" i="10" s="1"/>
  <c r="H35" i="10" s="1"/>
  <c r="I35" i="10" s="1"/>
  <c r="J35" i="10" s="1"/>
  <c r="L34" i="10"/>
  <c r="K34" i="10"/>
  <c r="M34" i="10" s="1"/>
  <c r="D34" i="10"/>
  <c r="E34" i="10" s="1"/>
  <c r="H34" i="10" s="1"/>
  <c r="I34" i="10" s="1"/>
  <c r="J34" i="10" s="1"/>
  <c r="M33" i="10"/>
  <c r="L33" i="10"/>
  <c r="K33" i="10"/>
  <c r="D33" i="10"/>
  <c r="E33" i="10" s="1"/>
  <c r="H33" i="10" s="1"/>
  <c r="I33" i="10" s="1"/>
  <c r="J33" i="10" s="1"/>
  <c r="N33" i="10" s="1"/>
  <c r="L32" i="10"/>
  <c r="K32" i="10"/>
  <c r="M32" i="10" s="1"/>
  <c r="E32" i="10"/>
  <c r="H32" i="10" s="1"/>
  <c r="I32" i="10" s="1"/>
  <c r="J32" i="10" s="1"/>
  <c r="N32" i="10" s="1"/>
  <c r="D32" i="10"/>
  <c r="L31" i="10"/>
  <c r="M31" i="10" s="1"/>
  <c r="K31" i="10"/>
  <c r="D31" i="10"/>
  <c r="E31" i="10" s="1"/>
  <c r="H31" i="10" s="1"/>
  <c r="I31" i="10" s="1"/>
  <c r="J31" i="10" s="1"/>
  <c r="N31" i="10" s="1"/>
  <c r="L30" i="10"/>
  <c r="K30" i="10"/>
  <c r="M30" i="10" s="1"/>
  <c r="D30" i="10"/>
  <c r="E30" i="10" s="1"/>
  <c r="H30" i="10" s="1"/>
  <c r="I30" i="10" s="1"/>
  <c r="J30" i="10" s="1"/>
  <c r="M29" i="10"/>
  <c r="L29" i="10"/>
  <c r="K29" i="10"/>
  <c r="D29" i="10"/>
  <c r="E29" i="10" s="1"/>
  <c r="H29" i="10" s="1"/>
  <c r="I29" i="10" s="1"/>
  <c r="J29" i="10" s="1"/>
  <c r="L28" i="10"/>
  <c r="K28" i="10"/>
  <c r="M28" i="10" s="1"/>
  <c r="E28" i="10"/>
  <c r="H28" i="10" s="1"/>
  <c r="I28" i="10" s="1"/>
  <c r="J28" i="10" s="1"/>
  <c r="N28" i="10" s="1"/>
  <c r="D28" i="10"/>
  <c r="L27" i="10"/>
  <c r="M27" i="10" s="1"/>
  <c r="K27" i="10"/>
  <c r="D27" i="10"/>
  <c r="E27" i="10" s="1"/>
  <c r="H27" i="10" s="1"/>
  <c r="I27" i="10" s="1"/>
  <c r="J27" i="10" s="1"/>
  <c r="N27" i="10" s="1"/>
  <c r="L26" i="10"/>
  <c r="K26" i="10"/>
  <c r="M26" i="10" s="1"/>
  <c r="D26" i="10"/>
  <c r="E26" i="10" s="1"/>
  <c r="H26" i="10" s="1"/>
  <c r="I26" i="10" s="1"/>
  <c r="J26" i="10" s="1"/>
  <c r="N26" i="10" s="1"/>
  <c r="M25" i="10"/>
  <c r="L25" i="10"/>
  <c r="K25" i="10"/>
  <c r="D25" i="10"/>
  <c r="E25" i="10" s="1"/>
  <c r="H25" i="10" s="1"/>
  <c r="I25" i="10" s="1"/>
  <c r="J25" i="10" s="1"/>
  <c r="L24" i="10"/>
  <c r="K24" i="10"/>
  <c r="M24" i="10" s="1"/>
  <c r="E24" i="10"/>
  <c r="H24" i="10" s="1"/>
  <c r="I24" i="10" s="1"/>
  <c r="D24" i="10"/>
  <c r="L23" i="10"/>
  <c r="M23" i="10" s="1"/>
  <c r="K23" i="10"/>
  <c r="D23" i="10"/>
  <c r="E23" i="10" s="1"/>
  <c r="H23" i="10" s="1"/>
  <c r="L22" i="10"/>
  <c r="K22" i="10"/>
  <c r="M22" i="10" s="1"/>
  <c r="D22" i="10"/>
  <c r="E22" i="10" s="1"/>
  <c r="H22" i="10" s="1"/>
  <c r="M21" i="10"/>
  <c r="L21" i="10"/>
  <c r="K21" i="10"/>
  <c r="D21" i="10"/>
  <c r="E21" i="10" s="1"/>
  <c r="H21" i="10" s="1"/>
  <c r="L20" i="10"/>
  <c r="K20" i="10"/>
  <c r="M20" i="10" s="1"/>
  <c r="E20" i="10"/>
  <c r="H20" i="10" s="1"/>
  <c r="D20" i="10"/>
  <c r="L19" i="10"/>
  <c r="M19" i="10" s="1"/>
  <c r="K19" i="10"/>
  <c r="D19" i="10"/>
  <c r="E19" i="10" s="1"/>
  <c r="H19" i="10" s="1"/>
  <c r="L18" i="10"/>
  <c r="K18" i="10"/>
  <c r="M18" i="10" s="1"/>
  <c r="D18" i="10"/>
  <c r="E18" i="10" s="1"/>
  <c r="H18" i="10" s="1"/>
  <c r="M17" i="10"/>
  <c r="L17" i="10"/>
  <c r="K17" i="10"/>
  <c r="D17" i="10"/>
  <c r="E17" i="10" s="1"/>
  <c r="H17" i="10" s="1"/>
  <c r="L16" i="10"/>
  <c r="K16" i="10"/>
  <c r="M16" i="10" s="1"/>
  <c r="E16" i="10"/>
  <c r="H16" i="10" s="1"/>
  <c r="D16" i="10"/>
  <c r="M15" i="10"/>
  <c r="L15" i="10"/>
  <c r="K15" i="10"/>
  <c r="D15" i="10"/>
  <c r="E15" i="10" s="1"/>
  <c r="H15" i="10" s="1"/>
  <c r="L14" i="10"/>
  <c r="K14" i="10"/>
  <c r="M14" i="10" s="1"/>
  <c r="E14" i="10"/>
  <c r="H14" i="10" s="1"/>
  <c r="D14" i="10"/>
  <c r="M13" i="10"/>
  <c r="L13" i="10"/>
  <c r="K13" i="10"/>
  <c r="D13" i="10"/>
  <c r="E13" i="10" s="1"/>
  <c r="H13" i="10" s="1"/>
  <c r="L12" i="10"/>
  <c r="K12" i="10"/>
  <c r="M12" i="10" s="1"/>
  <c r="E12" i="10"/>
  <c r="H12" i="10" s="1"/>
  <c r="D12" i="10"/>
  <c r="M11" i="10"/>
  <c r="L11" i="10"/>
  <c r="K11" i="10"/>
  <c r="D11" i="10"/>
  <c r="E11" i="10" s="1"/>
  <c r="H11" i="10" s="1"/>
  <c r="L10" i="10"/>
  <c r="K10" i="10"/>
  <c r="M10" i="10" s="1"/>
  <c r="E10" i="10"/>
  <c r="H10" i="10" s="1"/>
  <c r="D10" i="10"/>
  <c r="M9" i="10"/>
  <c r="L9" i="10"/>
  <c r="K9" i="10"/>
  <c r="D9" i="10"/>
  <c r="E9" i="10" s="1"/>
  <c r="H9" i="10" s="1"/>
  <c r="L8" i="10"/>
  <c r="K8" i="10"/>
  <c r="M8" i="10" s="1"/>
  <c r="E8" i="10"/>
  <c r="H8" i="10" s="1"/>
  <c r="D8" i="10"/>
  <c r="M7" i="10"/>
  <c r="L7" i="10"/>
  <c r="K7" i="10"/>
  <c r="D7" i="10"/>
  <c r="E7" i="10" s="1"/>
  <c r="H7" i="10" s="1"/>
  <c r="L6" i="10"/>
  <c r="K6" i="10"/>
  <c r="M6" i="10" s="1"/>
  <c r="E6" i="10"/>
  <c r="H6" i="10" s="1"/>
  <c r="D6" i="10"/>
  <c r="M5" i="10"/>
  <c r="L5" i="10"/>
  <c r="K5" i="10"/>
  <c r="D5" i="10"/>
  <c r="E5" i="10" s="1"/>
  <c r="H5" i="10" s="1"/>
  <c r="L4" i="10"/>
  <c r="K4" i="10"/>
  <c r="M4" i="10" s="1"/>
  <c r="E4" i="10"/>
  <c r="H4" i="10" s="1"/>
  <c r="D4" i="10"/>
  <c r="E3" i="10" s="1"/>
  <c r="H3" i="10" s="1"/>
  <c r="D3" i="10"/>
  <c r="L1" i="10"/>
  <c r="M38" i="9"/>
  <c r="L38" i="9"/>
  <c r="K38" i="9"/>
  <c r="D38" i="9"/>
  <c r="E38" i="9" s="1"/>
  <c r="H38" i="9" s="1"/>
  <c r="I38" i="9" s="1"/>
  <c r="J38" i="9" s="1"/>
  <c r="N38" i="9" s="1"/>
  <c r="L37" i="9"/>
  <c r="K37" i="9"/>
  <c r="M37" i="9" s="1"/>
  <c r="E37" i="9"/>
  <c r="H37" i="9" s="1"/>
  <c r="I37" i="9" s="1"/>
  <c r="J37" i="9" s="1"/>
  <c r="D37" i="9"/>
  <c r="L36" i="9"/>
  <c r="M36" i="9" s="1"/>
  <c r="K36" i="9"/>
  <c r="D36" i="9"/>
  <c r="E36" i="9" s="1"/>
  <c r="H36" i="9" s="1"/>
  <c r="I36" i="9" s="1"/>
  <c r="J36" i="9" s="1"/>
  <c r="N36" i="9" s="1"/>
  <c r="L35" i="9"/>
  <c r="K35" i="9"/>
  <c r="M35" i="9" s="1"/>
  <c r="D35" i="9"/>
  <c r="E35" i="9" s="1"/>
  <c r="H35" i="9" s="1"/>
  <c r="I35" i="9" s="1"/>
  <c r="J35" i="9" s="1"/>
  <c r="N35" i="9" s="1"/>
  <c r="M34" i="9"/>
  <c r="L34" i="9"/>
  <c r="K34" i="9"/>
  <c r="D34" i="9"/>
  <c r="E34" i="9" s="1"/>
  <c r="H34" i="9" s="1"/>
  <c r="I34" i="9" s="1"/>
  <c r="J34" i="9" s="1"/>
  <c r="L33" i="9"/>
  <c r="K33" i="9"/>
  <c r="M33" i="9" s="1"/>
  <c r="E33" i="9"/>
  <c r="H33" i="9" s="1"/>
  <c r="I33" i="9" s="1"/>
  <c r="J33" i="9" s="1"/>
  <c r="D33" i="9"/>
  <c r="L32" i="9"/>
  <c r="M32" i="9" s="1"/>
  <c r="K32" i="9"/>
  <c r="D32" i="9"/>
  <c r="E32" i="9" s="1"/>
  <c r="H32" i="9" s="1"/>
  <c r="I32" i="9" s="1"/>
  <c r="J32" i="9" s="1"/>
  <c r="N32" i="9" s="1"/>
  <c r="L31" i="9"/>
  <c r="K31" i="9"/>
  <c r="M31" i="9" s="1"/>
  <c r="D31" i="9"/>
  <c r="E31" i="9" s="1"/>
  <c r="H31" i="9" s="1"/>
  <c r="I31" i="9" s="1"/>
  <c r="J31" i="9" s="1"/>
  <c r="M30" i="9"/>
  <c r="L30" i="9"/>
  <c r="K30" i="9"/>
  <c r="D30" i="9"/>
  <c r="E30" i="9" s="1"/>
  <c r="H30" i="9" s="1"/>
  <c r="I30" i="9" s="1"/>
  <c r="J30" i="9" s="1"/>
  <c r="N30" i="9" s="1"/>
  <c r="L29" i="9"/>
  <c r="K29" i="9"/>
  <c r="M29" i="9" s="1"/>
  <c r="E29" i="9"/>
  <c r="H29" i="9" s="1"/>
  <c r="I29" i="9" s="1"/>
  <c r="J29" i="9" s="1"/>
  <c r="N29" i="9" s="1"/>
  <c r="D29" i="9"/>
  <c r="L28" i="9"/>
  <c r="M28" i="9" s="1"/>
  <c r="K28" i="9"/>
  <c r="D28" i="9"/>
  <c r="E28" i="9" s="1"/>
  <c r="H28" i="9" s="1"/>
  <c r="I28" i="9" s="1"/>
  <c r="J28" i="9" s="1"/>
  <c r="N28" i="9" s="1"/>
  <c r="L27" i="9"/>
  <c r="K27" i="9"/>
  <c r="M27" i="9" s="1"/>
  <c r="D27" i="9"/>
  <c r="E27" i="9" s="1"/>
  <c r="H27" i="9" s="1"/>
  <c r="I27" i="9" s="1"/>
  <c r="J27" i="9" s="1"/>
  <c r="M26" i="9"/>
  <c r="L26" i="9"/>
  <c r="K26" i="9"/>
  <c r="D26" i="9"/>
  <c r="E26" i="9" s="1"/>
  <c r="H26" i="9" s="1"/>
  <c r="I26" i="9" s="1"/>
  <c r="J26" i="9" s="1"/>
  <c r="L25" i="9"/>
  <c r="K25" i="9"/>
  <c r="M25" i="9" s="1"/>
  <c r="E25" i="9"/>
  <c r="H25" i="9" s="1"/>
  <c r="I25" i="9" s="1"/>
  <c r="J25" i="9" s="1"/>
  <c r="D25" i="9"/>
  <c r="L24" i="9"/>
  <c r="M24" i="9" s="1"/>
  <c r="K24" i="9"/>
  <c r="D24" i="9"/>
  <c r="E24" i="9" s="1"/>
  <c r="H24" i="9" s="1"/>
  <c r="I24" i="9" s="1"/>
  <c r="L23" i="9"/>
  <c r="K23" i="9"/>
  <c r="M23" i="9" s="1"/>
  <c r="D23" i="9"/>
  <c r="E23" i="9" s="1"/>
  <c r="H23" i="9" s="1"/>
  <c r="M22" i="9"/>
  <c r="L22" i="9"/>
  <c r="K22" i="9"/>
  <c r="D22" i="9"/>
  <c r="E22" i="9" s="1"/>
  <c r="H22" i="9" s="1"/>
  <c r="L21" i="9"/>
  <c r="K21" i="9"/>
  <c r="M21" i="9" s="1"/>
  <c r="E21" i="9"/>
  <c r="H21" i="9" s="1"/>
  <c r="D21" i="9"/>
  <c r="L20" i="9"/>
  <c r="M20" i="9" s="1"/>
  <c r="K20" i="9"/>
  <c r="D20" i="9"/>
  <c r="E20" i="9" s="1"/>
  <c r="H20" i="9" s="1"/>
  <c r="L19" i="9"/>
  <c r="K19" i="9"/>
  <c r="M19" i="9" s="1"/>
  <c r="D19" i="9"/>
  <c r="E19" i="9" s="1"/>
  <c r="H19" i="9" s="1"/>
  <c r="M18" i="9"/>
  <c r="L18" i="9"/>
  <c r="K18" i="9"/>
  <c r="D18" i="9"/>
  <c r="E18" i="9" s="1"/>
  <c r="H18" i="9" s="1"/>
  <c r="L17" i="9"/>
  <c r="K17" i="9"/>
  <c r="M17" i="9" s="1"/>
  <c r="E17" i="9"/>
  <c r="H17" i="9" s="1"/>
  <c r="D17" i="9"/>
  <c r="L16" i="9"/>
  <c r="M16" i="9" s="1"/>
  <c r="K16" i="9"/>
  <c r="D16" i="9"/>
  <c r="E16" i="9" s="1"/>
  <c r="H16" i="9" s="1"/>
  <c r="L15" i="9"/>
  <c r="K15" i="9"/>
  <c r="M15" i="9" s="1"/>
  <c r="D15" i="9"/>
  <c r="E15" i="9" s="1"/>
  <c r="H15" i="9" s="1"/>
  <c r="M14" i="9"/>
  <c r="L14" i="9"/>
  <c r="K14" i="9"/>
  <c r="D14" i="9"/>
  <c r="E14" i="9" s="1"/>
  <c r="H14" i="9" s="1"/>
  <c r="L13" i="9"/>
  <c r="K13" i="9"/>
  <c r="M13" i="9" s="1"/>
  <c r="E13" i="9"/>
  <c r="H13" i="9" s="1"/>
  <c r="D13" i="9"/>
  <c r="L12" i="9"/>
  <c r="M12" i="9" s="1"/>
  <c r="K12" i="9"/>
  <c r="D12" i="9"/>
  <c r="E12" i="9" s="1"/>
  <c r="H12" i="9" s="1"/>
  <c r="L11" i="9"/>
  <c r="K11" i="9"/>
  <c r="M11" i="9" s="1"/>
  <c r="D11" i="9"/>
  <c r="E11" i="9" s="1"/>
  <c r="H11" i="9" s="1"/>
  <c r="M10" i="9"/>
  <c r="L10" i="9"/>
  <c r="K10" i="9"/>
  <c r="D10" i="9"/>
  <c r="E10" i="9" s="1"/>
  <c r="H10" i="9" s="1"/>
  <c r="L9" i="9"/>
  <c r="K9" i="9"/>
  <c r="M9" i="9" s="1"/>
  <c r="E9" i="9"/>
  <c r="H9" i="9" s="1"/>
  <c r="D9" i="9"/>
  <c r="L8" i="9"/>
  <c r="M8" i="9" s="1"/>
  <c r="K8" i="9"/>
  <c r="D8" i="9"/>
  <c r="E8" i="9" s="1"/>
  <c r="H8" i="9" s="1"/>
  <c r="L7" i="9"/>
  <c r="K7" i="9"/>
  <c r="M7" i="9" s="1"/>
  <c r="D7" i="9"/>
  <c r="E7" i="9" s="1"/>
  <c r="H7" i="9" s="1"/>
  <c r="M6" i="9"/>
  <c r="L6" i="9"/>
  <c r="K6" i="9"/>
  <c r="D6" i="9"/>
  <c r="E6" i="9" s="1"/>
  <c r="H6" i="9" s="1"/>
  <c r="L5" i="9"/>
  <c r="K5" i="9"/>
  <c r="M5" i="9" s="1"/>
  <c r="E5" i="9"/>
  <c r="H5" i="9" s="1"/>
  <c r="D5" i="9"/>
  <c r="L4" i="9"/>
  <c r="M4" i="9" s="1"/>
  <c r="K4" i="9"/>
  <c r="D4" i="9"/>
  <c r="E4" i="9" s="1"/>
  <c r="H4" i="9" s="1"/>
  <c r="D3" i="9"/>
  <c r="E3" i="9" s="1"/>
  <c r="H3" i="9" s="1"/>
  <c r="L1" i="9"/>
  <c r="L38" i="8"/>
  <c r="K38" i="8"/>
  <c r="M38" i="8" s="1"/>
  <c r="E38" i="8"/>
  <c r="H38" i="8" s="1"/>
  <c r="I38" i="8" s="1"/>
  <c r="J38" i="8" s="1"/>
  <c r="N38" i="8" s="1"/>
  <c r="D38" i="8"/>
  <c r="M37" i="8"/>
  <c r="L37" i="8"/>
  <c r="K37" i="8"/>
  <c r="D37" i="8"/>
  <c r="E37" i="8" s="1"/>
  <c r="H37" i="8" s="1"/>
  <c r="I37" i="8" s="1"/>
  <c r="J37" i="8" s="1"/>
  <c r="N37" i="8" s="1"/>
  <c r="L36" i="8"/>
  <c r="K36" i="8"/>
  <c r="M36" i="8" s="1"/>
  <c r="E36" i="8"/>
  <c r="H36" i="8" s="1"/>
  <c r="I36" i="8" s="1"/>
  <c r="J36" i="8" s="1"/>
  <c r="N36" i="8" s="1"/>
  <c r="D36" i="8"/>
  <c r="M35" i="8"/>
  <c r="L35" i="8"/>
  <c r="K35" i="8"/>
  <c r="D35" i="8"/>
  <c r="E35" i="8" s="1"/>
  <c r="H35" i="8" s="1"/>
  <c r="I35" i="8" s="1"/>
  <c r="J35" i="8" s="1"/>
  <c r="L34" i="8"/>
  <c r="K34" i="8"/>
  <c r="M34" i="8" s="1"/>
  <c r="E34" i="8"/>
  <c r="H34" i="8" s="1"/>
  <c r="I34" i="8" s="1"/>
  <c r="J34" i="8" s="1"/>
  <c r="N34" i="8" s="1"/>
  <c r="D34" i="8"/>
  <c r="M33" i="8"/>
  <c r="L33" i="8"/>
  <c r="K33" i="8"/>
  <c r="D33" i="8"/>
  <c r="E33" i="8" s="1"/>
  <c r="H33" i="8" s="1"/>
  <c r="I33" i="8" s="1"/>
  <c r="J33" i="8" s="1"/>
  <c r="L32" i="8"/>
  <c r="K32" i="8"/>
  <c r="M32" i="8" s="1"/>
  <c r="E32" i="8"/>
  <c r="H32" i="8" s="1"/>
  <c r="I32" i="8" s="1"/>
  <c r="J32" i="8" s="1"/>
  <c r="N32" i="8" s="1"/>
  <c r="D32" i="8"/>
  <c r="M31" i="8"/>
  <c r="L31" i="8"/>
  <c r="K31" i="8"/>
  <c r="D31" i="8"/>
  <c r="E31" i="8" s="1"/>
  <c r="H31" i="8" s="1"/>
  <c r="I31" i="8" s="1"/>
  <c r="J31" i="8" s="1"/>
  <c r="L30" i="8"/>
  <c r="K30" i="8"/>
  <c r="M30" i="8" s="1"/>
  <c r="E30" i="8"/>
  <c r="H30" i="8" s="1"/>
  <c r="I30" i="8" s="1"/>
  <c r="J30" i="8" s="1"/>
  <c r="N30" i="8" s="1"/>
  <c r="D30" i="8"/>
  <c r="M29" i="8"/>
  <c r="L29" i="8"/>
  <c r="K29" i="8"/>
  <c r="D29" i="8"/>
  <c r="E29" i="8" s="1"/>
  <c r="H29" i="8" s="1"/>
  <c r="I29" i="8" s="1"/>
  <c r="J29" i="8" s="1"/>
  <c r="N29" i="8" s="1"/>
  <c r="L28" i="8"/>
  <c r="K28" i="8"/>
  <c r="M28" i="8" s="1"/>
  <c r="E28" i="8"/>
  <c r="H28" i="8" s="1"/>
  <c r="I28" i="8" s="1"/>
  <c r="J28" i="8" s="1"/>
  <c r="N28" i="8" s="1"/>
  <c r="D28" i="8"/>
  <c r="M27" i="8"/>
  <c r="L27" i="8"/>
  <c r="K27" i="8"/>
  <c r="D27" i="8"/>
  <c r="E27" i="8" s="1"/>
  <c r="H27" i="8" s="1"/>
  <c r="I27" i="8" s="1"/>
  <c r="J27" i="8" s="1"/>
  <c r="L26" i="8"/>
  <c r="K26" i="8"/>
  <c r="M26" i="8" s="1"/>
  <c r="E26" i="8"/>
  <c r="H26" i="8" s="1"/>
  <c r="I26" i="8" s="1"/>
  <c r="J26" i="8" s="1"/>
  <c r="N26" i="8" s="1"/>
  <c r="D26" i="8"/>
  <c r="M25" i="8"/>
  <c r="L25" i="8"/>
  <c r="K25" i="8"/>
  <c r="D25" i="8"/>
  <c r="E25" i="8" s="1"/>
  <c r="H25" i="8" s="1"/>
  <c r="I25" i="8" s="1"/>
  <c r="J25" i="8" s="1"/>
  <c r="L24" i="8"/>
  <c r="K24" i="8"/>
  <c r="M24" i="8" s="1"/>
  <c r="E24" i="8"/>
  <c r="H24" i="8" s="1"/>
  <c r="I24" i="8" s="1"/>
  <c r="D24" i="8"/>
  <c r="M23" i="8"/>
  <c r="L23" i="8"/>
  <c r="K23" i="8"/>
  <c r="D23" i="8"/>
  <c r="E23" i="8" s="1"/>
  <c r="H23" i="8" s="1"/>
  <c r="L22" i="8"/>
  <c r="K22" i="8"/>
  <c r="M22" i="8" s="1"/>
  <c r="E22" i="8"/>
  <c r="H22" i="8" s="1"/>
  <c r="D22" i="8"/>
  <c r="M21" i="8"/>
  <c r="L21" i="8"/>
  <c r="K21" i="8"/>
  <c r="D21" i="8"/>
  <c r="E21" i="8" s="1"/>
  <c r="H21" i="8" s="1"/>
  <c r="L20" i="8"/>
  <c r="K20" i="8"/>
  <c r="M20" i="8" s="1"/>
  <c r="E20" i="8"/>
  <c r="H20" i="8" s="1"/>
  <c r="D20" i="8"/>
  <c r="M19" i="8"/>
  <c r="L19" i="8"/>
  <c r="K19" i="8"/>
  <c r="D19" i="8"/>
  <c r="E19" i="8" s="1"/>
  <c r="H19" i="8" s="1"/>
  <c r="L18" i="8"/>
  <c r="K18" i="8"/>
  <c r="M18" i="8" s="1"/>
  <c r="E18" i="8"/>
  <c r="H18" i="8" s="1"/>
  <c r="D18" i="8"/>
  <c r="M17" i="8"/>
  <c r="L17" i="8"/>
  <c r="K17" i="8"/>
  <c r="D17" i="8"/>
  <c r="E17" i="8" s="1"/>
  <c r="H17" i="8" s="1"/>
  <c r="L16" i="8"/>
  <c r="K16" i="8"/>
  <c r="M16" i="8" s="1"/>
  <c r="E16" i="8"/>
  <c r="H16" i="8" s="1"/>
  <c r="D16" i="8"/>
  <c r="M15" i="8"/>
  <c r="L15" i="8"/>
  <c r="K15" i="8"/>
  <c r="D15" i="8"/>
  <c r="E15" i="8" s="1"/>
  <c r="H15" i="8" s="1"/>
  <c r="L14" i="8"/>
  <c r="K14" i="8"/>
  <c r="M14" i="8" s="1"/>
  <c r="E14" i="8"/>
  <c r="H14" i="8" s="1"/>
  <c r="D14" i="8"/>
  <c r="M13" i="8"/>
  <c r="L13" i="8"/>
  <c r="K13" i="8"/>
  <c r="D13" i="8"/>
  <c r="E13" i="8" s="1"/>
  <c r="H13" i="8" s="1"/>
  <c r="L12" i="8"/>
  <c r="K12" i="8"/>
  <c r="M12" i="8" s="1"/>
  <c r="E12" i="8"/>
  <c r="H12" i="8" s="1"/>
  <c r="D12" i="8"/>
  <c r="M11" i="8"/>
  <c r="L11" i="8"/>
  <c r="K11" i="8"/>
  <c r="D11" i="8"/>
  <c r="E11" i="8" s="1"/>
  <c r="H11" i="8" s="1"/>
  <c r="L10" i="8"/>
  <c r="K10" i="8"/>
  <c r="M10" i="8" s="1"/>
  <c r="E10" i="8"/>
  <c r="H10" i="8" s="1"/>
  <c r="D10" i="8"/>
  <c r="M9" i="8"/>
  <c r="L9" i="8"/>
  <c r="K9" i="8"/>
  <c r="D9" i="8"/>
  <c r="E9" i="8" s="1"/>
  <c r="H9" i="8" s="1"/>
  <c r="L8" i="8"/>
  <c r="K8" i="8"/>
  <c r="M8" i="8" s="1"/>
  <c r="E8" i="8"/>
  <c r="H8" i="8" s="1"/>
  <c r="D8" i="8"/>
  <c r="M7" i="8"/>
  <c r="L7" i="8"/>
  <c r="K7" i="8"/>
  <c r="D7" i="8"/>
  <c r="E7" i="8" s="1"/>
  <c r="H7" i="8" s="1"/>
  <c r="L6" i="8"/>
  <c r="K6" i="8"/>
  <c r="M6" i="8" s="1"/>
  <c r="E6" i="8"/>
  <c r="H6" i="8" s="1"/>
  <c r="D6" i="8"/>
  <c r="M5" i="8"/>
  <c r="L5" i="8"/>
  <c r="K5" i="8"/>
  <c r="D5" i="8"/>
  <c r="E5" i="8" s="1"/>
  <c r="H5" i="8" s="1"/>
  <c r="L4" i="8"/>
  <c r="K4" i="8"/>
  <c r="M4" i="8" s="1"/>
  <c r="E4" i="8"/>
  <c r="H4" i="8" s="1"/>
  <c r="D4" i="8"/>
  <c r="D3" i="8"/>
  <c r="E3" i="8" s="1"/>
  <c r="H3" i="8" s="1"/>
  <c r="L1" i="8"/>
  <c r="L38" i="5"/>
  <c r="K38" i="5"/>
  <c r="M38" i="5" s="1"/>
  <c r="D38" i="5"/>
  <c r="E38" i="5" s="1"/>
  <c r="H38" i="5" s="1"/>
  <c r="I38" i="5" s="1"/>
  <c r="J38" i="5" s="1"/>
  <c r="N38" i="5" s="1"/>
  <c r="L37" i="5"/>
  <c r="M37" i="5" s="1"/>
  <c r="K37" i="5"/>
  <c r="D37" i="5"/>
  <c r="E37" i="5" s="1"/>
  <c r="H37" i="5" s="1"/>
  <c r="I37" i="5" s="1"/>
  <c r="J37" i="5" s="1"/>
  <c r="N37" i="5" s="1"/>
  <c r="L36" i="5"/>
  <c r="K36" i="5"/>
  <c r="M36" i="5" s="1"/>
  <c r="D36" i="5"/>
  <c r="E36" i="5" s="1"/>
  <c r="H36" i="5" s="1"/>
  <c r="I36" i="5" s="1"/>
  <c r="J36" i="5" s="1"/>
  <c r="N36" i="5" s="1"/>
  <c r="L35" i="5"/>
  <c r="K35" i="5"/>
  <c r="M35" i="5" s="1"/>
  <c r="D35" i="5"/>
  <c r="E35" i="5" s="1"/>
  <c r="H35" i="5" s="1"/>
  <c r="I35" i="5" s="1"/>
  <c r="J35" i="5" s="1"/>
  <c r="L34" i="5"/>
  <c r="K34" i="5"/>
  <c r="M34" i="5" s="1"/>
  <c r="D34" i="5"/>
  <c r="E34" i="5" s="1"/>
  <c r="H34" i="5" s="1"/>
  <c r="I34" i="5" s="1"/>
  <c r="J34" i="5" s="1"/>
  <c r="N34" i="5" s="1"/>
  <c r="L33" i="5"/>
  <c r="M33" i="5" s="1"/>
  <c r="K33" i="5"/>
  <c r="D33" i="5"/>
  <c r="E33" i="5" s="1"/>
  <c r="H33" i="5" s="1"/>
  <c r="I33" i="5" s="1"/>
  <c r="J33" i="5" s="1"/>
  <c r="N33" i="5" s="1"/>
  <c r="L32" i="5"/>
  <c r="K32" i="5"/>
  <c r="M32" i="5" s="1"/>
  <c r="D32" i="5"/>
  <c r="E32" i="5" s="1"/>
  <c r="H32" i="5" s="1"/>
  <c r="I32" i="5" s="1"/>
  <c r="J32" i="5" s="1"/>
  <c r="N32" i="5" s="1"/>
  <c r="L31" i="5"/>
  <c r="K31" i="5"/>
  <c r="M31" i="5" s="1"/>
  <c r="D31" i="5"/>
  <c r="E31" i="5" s="1"/>
  <c r="H31" i="5" s="1"/>
  <c r="I31" i="5" s="1"/>
  <c r="J31" i="5" s="1"/>
  <c r="L30" i="5"/>
  <c r="K30" i="5"/>
  <c r="M30" i="5" s="1"/>
  <c r="D30" i="5"/>
  <c r="E30" i="5" s="1"/>
  <c r="H30" i="5" s="1"/>
  <c r="I30" i="5" s="1"/>
  <c r="J30" i="5" s="1"/>
  <c r="N30" i="5" s="1"/>
  <c r="L29" i="5"/>
  <c r="M29" i="5" s="1"/>
  <c r="K29" i="5"/>
  <c r="D29" i="5"/>
  <c r="E29" i="5" s="1"/>
  <c r="H29" i="5" s="1"/>
  <c r="I29" i="5" s="1"/>
  <c r="J29" i="5" s="1"/>
  <c r="N29" i="5" s="1"/>
  <c r="L28" i="5"/>
  <c r="K28" i="5"/>
  <c r="M28" i="5" s="1"/>
  <c r="D28" i="5"/>
  <c r="E28" i="5" s="1"/>
  <c r="H28" i="5" s="1"/>
  <c r="I28" i="5" s="1"/>
  <c r="J28" i="5" s="1"/>
  <c r="N28" i="5" s="1"/>
  <c r="L27" i="5"/>
  <c r="K27" i="5"/>
  <c r="M27" i="5" s="1"/>
  <c r="D27" i="5"/>
  <c r="E27" i="5" s="1"/>
  <c r="H27" i="5" s="1"/>
  <c r="I27" i="5" s="1"/>
  <c r="J27" i="5" s="1"/>
  <c r="L26" i="5"/>
  <c r="K26" i="5"/>
  <c r="M26" i="5" s="1"/>
  <c r="D26" i="5"/>
  <c r="E26" i="5" s="1"/>
  <c r="H26" i="5" s="1"/>
  <c r="I26" i="5" s="1"/>
  <c r="J26" i="5" s="1"/>
  <c r="N26" i="5" s="1"/>
  <c r="L25" i="5"/>
  <c r="M25" i="5" s="1"/>
  <c r="K25" i="5"/>
  <c r="D25" i="5"/>
  <c r="E25" i="5" s="1"/>
  <c r="H25" i="5" s="1"/>
  <c r="I25" i="5" s="1"/>
  <c r="J25" i="5" s="1"/>
  <c r="N25" i="5" s="1"/>
  <c r="L24" i="5"/>
  <c r="K24" i="5"/>
  <c r="M24" i="5" s="1"/>
  <c r="D24" i="5"/>
  <c r="E24" i="5" s="1"/>
  <c r="H24" i="5" s="1"/>
  <c r="I24" i="5" s="1"/>
  <c r="L23" i="5"/>
  <c r="K23" i="5"/>
  <c r="M23" i="5" s="1"/>
  <c r="D23" i="5"/>
  <c r="E23" i="5" s="1"/>
  <c r="H23" i="5" s="1"/>
  <c r="L22" i="5"/>
  <c r="K22" i="5"/>
  <c r="M22" i="5" s="1"/>
  <c r="D22" i="5"/>
  <c r="E22" i="5" s="1"/>
  <c r="H22" i="5" s="1"/>
  <c r="L21" i="5"/>
  <c r="M21" i="5" s="1"/>
  <c r="K21" i="5"/>
  <c r="D21" i="5"/>
  <c r="E21" i="5" s="1"/>
  <c r="H21" i="5" s="1"/>
  <c r="L20" i="5"/>
  <c r="K20" i="5"/>
  <c r="M20" i="5" s="1"/>
  <c r="D20" i="5"/>
  <c r="E20" i="5" s="1"/>
  <c r="H20" i="5" s="1"/>
  <c r="L19" i="5"/>
  <c r="K19" i="5"/>
  <c r="M19" i="5" s="1"/>
  <c r="D19" i="5"/>
  <c r="E19" i="5" s="1"/>
  <c r="H19" i="5" s="1"/>
  <c r="L18" i="5"/>
  <c r="K18" i="5"/>
  <c r="M18" i="5" s="1"/>
  <c r="D18" i="5"/>
  <c r="E18" i="5" s="1"/>
  <c r="H18" i="5" s="1"/>
  <c r="L17" i="5"/>
  <c r="M17" i="5" s="1"/>
  <c r="K17" i="5"/>
  <c r="D17" i="5"/>
  <c r="E17" i="5" s="1"/>
  <c r="H17" i="5" s="1"/>
  <c r="L16" i="5"/>
  <c r="K16" i="5"/>
  <c r="M16" i="5" s="1"/>
  <c r="D16" i="5"/>
  <c r="E16" i="5" s="1"/>
  <c r="H16" i="5" s="1"/>
  <c r="L15" i="5"/>
  <c r="K15" i="5"/>
  <c r="M15" i="5" s="1"/>
  <c r="D15" i="5"/>
  <c r="E15" i="5" s="1"/>
  <c r="H15" i="5" s="1"/>
  <c r="L14" i="5"/>
  <c r="K14" i="5"/>
  <c r="M14" i="5" s="1"/>
  <c r="D14" i="5"/>
  <c r="E14" i="5" s="1"/>
  <c r="H14" i="5" s="1"/>
  <c r="L13" i="5"/>
  <c r="M13" i="5" s="1"/>
  <c r="K13" i="5"/>
  <c r="D13" i="5"/>
  <c r="E13" i="5" s="1"/>
  <c r="H13" i="5" s="1"/>
  <c r="L12" i="5"/>
  <c r="K12" i="5"/>
  <c r="M12" i="5" s="1"/>
  <c r="D12" i="5"/>
  <c r="E12" i="5" s="1"/>
  <c r="H12" i="5" s="1"/>
  <c r="L11" i="5"/>
  <c r="K11" i="5"/>
  <c r="M11" i="5" s="1"/>
  <c r="D11" i="5"/>
  <c r="E11" i="5" s="1"/>
  <c r="H11" i="5" s="1"/>
  <c r="L10" i="5"/>
  <c r="K10" i="5"/>
  <c r="M10" i="5" s="1"/>
  <c r="D10" i="5"/>
  <c r="E10" i="5" s="1"/>
  <c r="H10" i="5" s="1"/>
  <c r="L9" i="5"/>
  <c r="M9" i="5" s="1"/>
  <c r="K9" i="5"/>
  <c r="D9" i="5"/>
  <c r="E9" i="5" s="1"/>
  <c r="H9" i="5" s="1"/>
  <c r="L8" i="5"/>
  <c r="K8" i="5"/>
  <c r="M8" i="5" s="1"/>
  <c r="D8" i="5"/>
  <c r="E8" i="5" s="1"/>
  <c r="H8" i="5" s="1"/>
  <c r="L7" i="5"/>
  <c r="K7" i="5"/>
  <c r="M7" i="5" s="1"/>
  <c r="D7" i="5"/>
  <c r="E7" i="5" s="1"/>
  <c r="H7" i="5" s="1"/>
  <c r="L6" i="5"/>
  <c r="K6" i="5"/>
  <c r="M6" i="5" s="1"/>
  <c r="D6" i="5"/>
  <c r="E6" i="5" s="1"/>
  <c r="H6" i="5" s="1"/>
  <c r="L5" i="5"/>
  <c r="M5" i="5" s="1"/>
  <c r="K5" i="5"/>
  <c r="D5" i="5"/>
  <c r="E5" i="5" s="1"/>
  <c r="H5" i="5" s="1"/>
  <c r="L4" i="5"/>
  <c r="K4" i="5"/>
  <c r="M4" i="5" s="1"/>
  <c r="D4" i="5"/>
  <c r="E3" i="5" s="1"/>
  <c r="H3" i="5" s="1"/>
  <c r="D3" i="5"/>
  <c r="L1" i="5"/>
  <c r="L38" i="4"/>
  <c r="K38" i="4"/>
  <c r="M38" i="4" s="1"/>
  <c r="D38" i="4"/>
  <c r="E38" i="4" s="1"/>
  <c r="H38" i="4" s="1"/>
  <c r="I38" i="4" s="1"/>
  <c r="J38" i="4" s="1"/>
  <c r="M37" i="4"/>
  <c r="L37" i="4"/>
  <c r="K37" i="4"/>
  <c r="E37" i="4"/>
  <c r="H37" i="4" s="1"/>
  <c r="I37" i="4" s="1"/>
  <c r="J37" i="4" s="1"/>
  <c r="N37" i="4" s="1"/>
  <c r="D37" i="4"/>
  <c r="M36" i="4"/>
  <c r="L36" i="4"/>
  <c r="K36" i="4"/>
  <c r="E36" i="4"/>
  <c r="H36" i="4" s="1"/>
  <c r="I36" i="4" s="1"/>
  <c r="J36" i="4" s="1"/>
  <c r="D36" i="4"/>
  <c r="L35" i="4"/>
  <c r="K35" i="4"/>
  <c r="M35" i="4" s="1"/>
  <c r="E35" i="4"/>
  <c r="H35" i="4" s="1"/>
  <c r="I35" i="4" s="1"/>
  <c r="J35" i="4" s="1"/>
  <c r="N35" i="4" s="1"/>
  <c r="D35" i="4"/>
  <c r="L34" i="4"/>
  <c r="K34" i="4"/>
  <c r="M34" i="4" s="1"/>
  <c r="D34" i="4"/>
  <c r="E34" i="4" s="1"/>
  <c r="H34" i="4" s="1"/>
  <c r="I34" i="4" s="1"/>
  <c r="J34" i="4" s="1"/>
  <c r="N34" i="4" s="1"/>
  <c r="M33" i="4"/>
  <c r="L33" i="4"/>
  <c r="K33" i="4"/>
  <c r="E33" i="4"/>
  <c r="H33" i="4" s="1"/>
  <c r="I33" i="4" s="1"/>
  <c r="J33" i="4" s="1"/>
  <c r="D33" i="4"/>
  <c r="M32" i="4"/>
  <c r="L32" i="4"/>
  <c r="K32" i="4"/>
  <c r="E32" i="4"/>
  <c r="H32" i="4" s="1"/>
  <c r="I32" i="4" s="1"/>
  <c r="J32" i="4" s="1"/>
  <c r="N32" i="4" s="1"/>
  <c r="D32" i="4"/>
  <c r="L31" i="4"/>
  <c r="K31" i="4"/>
  <c r="M31" i="4" s="1"/>
  <c r="E31" i="4"/>
  <c r="H31" i="4" s="1"/>
  <c r="I31" i="4" s="1"/>
  <c r="J31" i="4" s="1"/>
  <c r="D31" i="4"/>
  <c r="L30" i="4"/>
  <c r="K30" i="4"/>
  <c r="M30" i="4" s="1"/>
  <c r="D30" i="4"/>
  <c r="E30" i="4" s="1"/>
  <c r="H30" i="4" s="1"/>
  <c r="I30" i="4" s="1"/>
  <c r="J30" i="4" s="1"/>
  <c r="N30" i="4" s="1"/>
  <c r="M29" i="4"/>
  <c r="L29" i="4"/>
  <c r="K29" i="4"/>
  <c r="E29" i="4"/>
  <c r="H29" i="4" s="1"/>
  <c r="I29" i="4" s="1"/>
  <c r="J29" i="4" s="1"/>
  <c r="D29" i="4"/>
  <c r="M28" i="4"/>
  <c r="L28" i="4"/>
  <c r="K28" i="4"/>
  <c r="E28" i="4"/>
  <c r="H28" i="4" s="1"/>
  <c r="I28" i="4" s="1"/>
  <c r="J28" i="4" s="1"/>
  <c r="N28" i="4" s="1"/>
  <c r="D28" i="4"/>
  <c r="L27" i="4"/>
  <c r="K27" i="4"/>
  <c r="M27" i="4" s="1"/>
  <c r="E27" i="4"/>
  <c r="H27" i="4" s="1"/>
  <c r="I27" i="4" s="1"/>
  <c r="J27" i="4" s="1"/>
  <c r="N27" i="4" s="1"/>
  <c r="D27" i="4"/>
  <c r="L26" i="4"/>
  <c r="K26" i="4"/>
  <c r="M26" i="4" s="1"/>
  <c r="D26" i="4"/>
  <c r="E26" i="4" s="1"/>
  <c r="H26" i="4" s="1"/>
  <c r="I26" i="4" s="1"/>
  <c r="J26" i="4" s="1"/>
  <c r="M25" i="4"/>
  <c r="L25" i="4"/>
  <c r="K25" i="4"/>
  <c r="E25" i="4"/>
  <c r="H25" i="4" s="1"/>
  <c r="I25" i="4" s="1"/>
  <c r="J25" i="4" s="1"/>
  <c r="D25" i="4"/>
  <c r="M24" i="4"/>
  <c r="L24" i="4"/>
  <c r="K24" i="4"/>
  <c r="E24" i="4"/>
  <c r="H24" i="4" s="1"/>
  <c r="I24" i="4" s="1"/>
  <c r="D24" i="4"/>
  <c r="L23" i="4"/>
  <c r="K23" i="4"/>
  <c r="M23" i="4" s="1"/>
  <c r="E23" i="4"/>
  <c r="H23" i="4" s="1"/>
  <c r="D23" i="4"/>
  <c r="L22" i="4"/>
  <c r="K22" i="4"/>
  <c r="M22" i="4" s="1"/>
  <c r="D22" i="4"/>
  <c r="E22" i="4" s="1"/>
  <c r="H22" i="4" s="1"/>
  <c r="M21" i="4"/>
  <c r="L21" i="4"/>
  <c r="K21" i="4"/>
  <c r="E21" i="4"/>
  <c r="H21" i="4" s="1"/>
  <c r="D21" i="4"/>
  <c r="M20" i="4"/>
  <c r="L20" i="4"/>
  <c r="K20" i="4"/>
  <c r="E20" i="4"/>
  <c r="H20" i="4" s="1"/>
  <c r="D20" i="4"/>
  <c r="L19" i="4"/>
  <c r="K19" i="4"/>
  <c r="M19" i="4" s="1"/>
  <c r="E19" i="4"/>
  <c r="H19" i="4" s="1"/>
  <c r="D19" i="4"/>
  <c r="L18" i="4"/>
  <c r="K18" i="4"/>
  <c r="M18" i="4" s="1"/>
  <c r="D18" i="4"/>
  <c r="E18" i="4" s="1"/>
  <c r="H18" i="4" s="1"/>
  <c r="M17" i="4"/>
  <c r="L17" i="4"/>
  <c r="K17" i="4"/>
  <c r="E17" i="4"/>
  <c r="H17" i="4" s="1"/>
  <c r="D17" i="4"/>
  <c r="M16" i="4"/>
  <c r="L16" i="4"/>
  <c r="K16" i="4"/>
  <c r="E16" i="4"/>
  <c r="H16" i="4" s="1"/>
  <c r="D16" i="4"/>
  <c r="L15" i="4"/>
  <c r="K15" i="4"/>
  <c r="M15" i="4" s="1"/>
  <c r="E15" i="4"/>
  <c r="H15" i="4" s="1"/>
  <c r="D15" i="4"/>
  <c r="L14" i="4"/>
  <c r="K14" i="4"/>
  <c r="M14" i="4" s="1"/>
  <c r="D14" i="4"/>
  <c r="E14" i="4" s="1"/>
  <c r="H14" i="4" s="1"/>
  <c r="M13" i="4"/>
  <c r="L13" i="4"/>
  <c r="K13" i="4"/>
  <c r="E13" i="4"/>
  <c r="H13" i="4" s="1"/>
  <c r="D13" i="4"/>
  <c r="M12" i="4"/>
  <c r="L12" i="4"/>
  <c r="K12" i="4"/>
  <c r="E12" i="4"/>
  <c r="H12" i="4" s="1"/>
  <c r="D12" i="4"/>
  <c r="L11" i="4"/>
  <c r="K11" i="4"/>
  <c r="M11" i="4" s="1"/>
  <c r="E11" i="4"/>
  <c r="H11" i="4" s="1"/>
  <c r="D11" i="4"/>
  <c r="L10" i="4"/>
  <c r="K10" i="4"/>
  <c r="M10" i="4" s="1"/>
  <c r="D10" i="4"/>
  <c r="E10" i="4" s="1"/>
  <c r="H10" i="4" s="1"/>
  <c r="M9" i="4"/>
  <c r="L9" i="4"/>
  <c r="K9" i="4"/>
  <c r="E9" i="4"/>
  <c r="H9" i="4" s="1"/>
  <c r="D9" i="4"/>
  <c r="M8" i="4"/>
  <c r="L8" i="4"/>
  <c r="K8" i="4"/>
  <c r="E8" i="4"/>
  <c r="H8" i="4" s="1"/>
  <c r="D8" i="4"/>
  <c r="L7" i="4"/>
  <c r="K7" i="4"/>
  <c r="M7" i="4" s="1"/>
  <c r="E7" i="4"/>
  <c r="H7" i="4" s="1"/>
  <c r="D7" i="4"/>
  <c r="L6" i="4"/>
  <c r="K6" i="4"/>
  <c r="M6" i="4" s="1"/>
  <c r="D6" i="4"/>
  <c r="E6" i="4" s="1"/>
  <c r="H6" i="4" s="1"/>
  <c r="M5" i="4"/>
  <c r="L5" i="4"/>
  <c r="K5" i="4"/>
  <c r="E5" i="4"/>
  <c r="H5" i="4" s="1"/>
  <c r="D5" i="4"/>
  <c r="M4" i="4"/>
  <c r="L4" i="4"/>
  <c r="K4" i="4"/>
  <c r="E4" i="4"/>
  <c r="H4" i="4" s="1"/>
  <c r="D4" i="4"/>
  <c r="D3" i="4"/>
  <c r="E3" i="4" s="1"/>
  <c r="H3" i="4" s="1"/>
  <c r="L1" i="4"/>
  <c r="E38" i="3"/>
  <c r="H38" i="3" s="1"/>
  <c r="I38" i="3" s="1"/>
  <c r="J38" i="3" s="1"/>
  <c r="N38" i="3" s="1"/>
  <c r="L38" i="3"/>
  <c r="M38" i="3" s="1"/>
  <c r="K38" i="3"/>
  <c r="D38" i="3"/>
  <c r="L37" i="3"/>
  <c r="K37" i="3"/>
  <c r="M37" i="3" s="1"/>
  <c r="E37" i="3"/>
  <c r="H37" i="3" s="1"/>
  <c r="I37" i="3" s="1"/>
  <c r="J37" i="3" s="1"/>
  <c r="D37" i="3"/>
  <c r="M36" i="3"/>
  <c r="L36" i="3"/>
  <c r="K36" i="3"/>
  <c r="D36" i="3"/>
  <c r="E36" i="3" s="1"/>
  <c r="H36" i="3" s="1"/>
  <c r="I36" i="3" s="1"/>
  <c r="J36" i="3" s="1"/>
  <c r="N36" i="3" s="1"/>
  <c r="M35" i="3"/>
  <c r="L35" i="3"/>
  <c r="K35" i="3"/>
  <c r="E35" i="3"/>
  <c r="H35" i="3" s="1"/>
  <c r="I35" i="3" s="1"/>
  <c r="J35" i="3" s="1"/>
  <c r="N35" i="3" s="1"/>
  <c r="D35" i="3"/>
  <c r="E34" i="3" s="1"/>
  <c r="H34" i="3" s="1"/>
  <c r="I34" i="3" s="1"/>
  <c r="J34" i="3" s="1"/>
  <c r="M34" i="3"/>
  <c r="L34" i="3"/>
  <c r="K34" i="3"/>
  <c r="D34" i="3"/>
  <c r="L33" i="3"/>
  <c r="K33" i="3"/>
  <c r="M33" i="3" s="1"/>
  <c r="E33" i="3"/>
  <c r="H33" i="3" s="1"/>
  <c r="I33" i="3" s="1"/>
  <c r="J33" i="3" s="1"/>
  <c r="N33" i="3" s="1"/>
  <c r="D33" i="3"/>
  <c r="M32" i="3"/>
  <c r="L32" i="3"/>
  <c r="K32" i="3"/>
  <c r="D32" i="3"/>
  <c r="E32" i="3" s="1"/>
  <c r="H32" i="3" s="1"/>
  <c r="I32" i="3" s="1"/>
  <c r="J32" i="3" s="1"/>
  <c r="N32" i="3" s="1"/>
  <c r="M31" i="3"/>
  <c r="L31" i="3"/>
  <c r="K31" i="3"/>
  <c r="E31" i="3"/>
  <c r="H31" i="3" s="1"/>
  <c r="I31" i="3" s="1"/>
  <c r="J31" i="3" s="1"/>
  <c r="D31" i="3"/>
  <c r="E30" i="3" s="1"/>
  <c r="H30" i="3" s="1"/>
  <c r="I30" i="3" s="1"/>
  <c r="J30" i="3" s="1"/>
  <c r="M30" i="3"/>
  <c r="L30" i="3"/>
  <c r="K30" i="3"/>
  <c r="D30" i="3"/>
  <c r="L29" i="3"/>
  <c r="K29" i="3"/>
  <c r="M29" i="3" s="1"/>
  <c r="E29" i="3"/>
  <c r="H29" i="3" s="1"/>
  <c r="I29" i="3" s="1"/>
  <c r="J29" i="3" s="1"/>
  <c r="D29" i="3"/>
  <c r="M28" i="3"/>
  <c r="L28" i="3"/>
  <c r="K28" i="3"/>
  <c r="D28" i="3"/>
  <c r="E28" i="3" s="1"/>
  <c r="H28" i="3" s="1"/>
  <c r="I28" i="3" s="1"/>
  <c r="J28" i="3" s="1"/>
  <c r="N28" i="3" s="1"/>
  <c r="M27" i="3"/>
  <c r="L27" i="3"/>
  <c r="K27" i="3"/>
  <c r="E27" i="3"/>
  <c r="H27" i="3" s="1"/>
  <c r="I27" i="3" s="1"/>
  <c r="J27" i="3" s="1"/>
  <c r="D27" i="3"/>
  <c r="E26" i="3" s="1"/>
  <c r="H26" i="3" s="1"/>
  <c r="I26" i="3" s="1"/>
  <c r="J26" i="3" s="1"/>
  <c r="M26" i="3"/>
  <c r="L26" i="3"/>
  <c r="K26" i="3"/>
  <c r="D26" i="3"/>
  <c r="L25" i="3"/>
  <c r="K25" i="3"/>
  <c r="M25" i="3" s="1"/>
  <c r="E25" i="3"/>
  <c r="H25" i="3" s="1"/>
  <c r="I25" i="3" s="1"/>
  <c r="J25" i="3" s="1"/>
  <c r="D25" i="3"/>
  <c r="M24" i="3"/>
  <c r="L24" i="3"/>
  <c r="K24" i="3"/>
  <c r="D24" i="3"/>
  <c r="E24" i="3" s="1"/>
  <c r="H24" i="3" s="1"/>
  <c r="I24" i="3" s="1"/>
  <c r="M23" i="3"/>
  <c r="L23" i="3"/>
  <c r="K23" i="3"/>
  <c r="E23" i="3"/>
  <c r="H23" i="3" s="1"/>
  <c r="D23" i="3"/>
  <c r="E22" i="3" s="1"/>
  <c r="H22" i="3" s="1"/>
  <c r="M22" i="3"/>
  <c r="L22" i="3"/>
  <c r="K22" i="3"/>
  <c r="D22" i="3"/>
  <c r="L21" i="3"/>
  <c r="K21" i="3"/>
  <c r="M21" i="3" s="1"/>
  <c r="E21" i="3"/>
  <c r="H21" i="3" s="1"/>
  <c r="D21" i="3"/>
  <c r="M20" i="3"/>
  <c r="L20" i="3"/>
  <c r="K20" i="3"/>
  <c r="D20" i="3"/>
  <c r="E20" i="3" s="1"/>
  <c r="H20" i="3" s="1"/>
  <c r="M19" i="3"/>
  <c r="L19" i="3"/>
  <c r="K19" i="3"/>
  <c r="E19" i="3"/>
  <c r="H19" i="3" s="1"/>
  <c r="D19" i="3"/>
  <c r="E18" i="3" s="1"/>
  <c r="H18" i="3" s="1"/>
  <c r="M18" i="3"/>
  <c r="L18" i="3"/>
  <c r="K18" i="3"/>
  <c r="D18" i="3"/>
  <c r="L17" i="3"/>
  <c r="K17" i="3"/>
  <c r="M17" i="3" s="1"/>
  <c r="E17" i="3"/>
  <c r="H17" i="3" s="1"/>
  <c r="D17" i="3"/>
  <c r="M16" i="3"/>
  <c r="L16" i="3"/>
  <c r="K16" i="3"/>
  <c r="D16" i="3"/>
  <c r="E16" i="3" s="1"/>
  <c r="H16" i="3" s="1"/>
  <c r="M15" i="3"/>
  <c r="L15" i="3"/>
  <c r="K15" i="3"/>
  <c r="E15" i="3"/>
  <c r="H15" i="3" s="1"/>
  <c r="D15" i="3"/>
  <c r="E14" i="3" s="1"/>
  <c r="H14" i="3" s="1"/>
  <c r="M14" i="3"/>
  <c r="L14" i="3"/>
  <c r="K14" i="3"/>
  <c r="D14" i="3"/>
  <c r="L13" i="3"/>
  <c r="K13" i="3"/>
  <c r="M13" i="3" s="1"/>
  <c r="E13" i="3"/>
  <c r="H13" i="3" s="1"/>
  <c r="D13" i="3"/>
  <c r="M12" i="3"/>
  <c r="L12" i="3"/>
  <c r="K12" i="3"/>
  <c r="D12" i="3"/>
  <c r="E12" i="3" s="1"/>
  <c r="H12" i="3" s="1"/>
  <c r="M11" i="3"/>
  <c r="L11" i="3"/>
  <c r="K11" i="3"/>
  <c r="E11" i="3"/>
  <c r="H11" i="3" s="1"/>
  <c r="D11" i="3"/>
  <c r="E10" i="3" s="1"/>
  <c r="H10" i="3" s="1"/>
  <c r="M10" i="3"/>
  <c r="L10" i="3"/>
  <c r="K10" i="3"/>
  <c r="D10" i="3"/>
  <c r="L9" i="3"/>
  <c r="K9" i="3"/>
  <c r="M9" i="3" s="1"/>
  <c r="E9" i="3"/>
  <c r="H9" i="3" s="1"/>
  <c r="D9" i="3"/>
  <c r="M8" i="3"/>
  <c r="L8" i="3"/>
  <c r="K8" i="3"/>
  <c r="D8" i="3"/>
  <c r="E8" i="3" s="1"/>
  <c r="H8" i="3" s="1"/>
  <c r="M7" i="3"/>
  <c r="L7" i="3"/>
  <c r="K7" i="3"/>
  <c r="E7" i="3"/>
  <c r="H7" i="3" s="1"/>
  <c r="D7" i="3"/>
  <c r="E6" i="3" s="1"/>
  <c r="H6" i="3" s="1"/>
  <c r="M6" i="3"/>
  <c r="L6" i="3"/>
  <c r="K6" i="3"/>
  <c r="D6" i="3"/>
  <c r="L5" i="3"/>
  <c r="K5" i="3"/>
  <c r="M5" i="3" s="1"/>
  <c r="E5" i="3"/>
  <c r="H5" i="3" s="1"/>
  <c r="D5" i="3"/>
  <c r="M4" i="3"/>
  <c r="L4" i="3"/>
  <c r="K4" i="3"/>
  <c r="D4" i="3"/>
  <c r="E4" i="3" s="1"/>
  <c r="H4" i="3" s="1"/>
  <c r="D3" i="3"/>
  <c r="E3" i="3" s="1"/>
  <c r="H3" i="3" s="1"/>
  <c r="L1" i="3"/>
  <c r="L38" i="2"/>
  <c r="K38" i="2"/>
  <c r="M38" i="2" s="1"/>
  <c r="D38" i="2"/>
  <c r="L37" i="2"/>
  <c r="K37" i="2"/>
  <c r="M37" i="2" s="1"/>
  <c r="D37" i="2"/>
  <c r="L36" i="2"/>
  <c r="M36" i="2" s="1"/>
  <c r="K36" i="2"/>
  <c r="D36" i="2"/>
  <c r="L35" i="2"/>
  <c r="K35" i="2"/>
  <c r="M35" i="2" s="1"/>
  <c r="D35" i="2"/>
  <c r="L34" i="2"/>
  <c r="K34" i="2"/>
  <c r="M34" i="2" s="1"/>
  <c r="D34" i="2"/>
  <c r="E34" i="2" s="1"/>
  <c r="H34" i="2" s="1"/>
  <c r="I34" i="2" s="1"/>
  <c r="J34" i="2" s="1"/>
  <c r="L33" i="2"/>
  <c r="K33" i="2"/>
  <c r="M33" i="2" s="1"/>
  <c r="D33" i="2"/>
  <c r="L32" i="2"/>
  <c r="K32" i="2"/>
  <c r="D32" i="2"/>
  <c r="L31" i="2"/>
  <c r="K31" i="2"/>
  <c r="D31" i="2"/>
  <c r="E31" i="2" s="1"/>
  <c r="H31" i="2" s="1"/>
  <c r="I31" i="2" s="1"/>
  <c r="J31" i="2" s="1"/>
  <c r="N31" i="2" s="1"/>
  <c r="L30" i="2"/>
  <c r="M30" i="2" s="1"/>
  <c r="K30" i="2"/>
  <c r="D30" i="2"/>
  <c r="L29" i="2"/>
  <c r="K29" i="2"/>
  <c r="M29" i="2" s="1"/>
  <c r="D29" i="2"/>
  <c r="L28" i="2"/>
  <c r="K28" i="2"/>
  <c r="D28" i="2"/>
  <c r="E28" i="2" s="1"/>
  <c r="H28" i="2" s="1"/>
  <c r="I28" i="2" s="1"/>
  <c r="J28" i="2" s="1"/>
  <c r="N28" i="2" s="1"/>
  <c r="L27" i="2"/>
  <c r="K27" i="2"/>
  <c r="M27" i="2" s="1"/>
  <c r="D27" i="2"/>
  <c r="M26" i="2"/>
  <c r="L26" i="2"/>
  <c r="K26" i="2"/>
  <c r="D26" i="2"/>
  <c r="E26" i="2" s="1"/>
  <c r="H26" i="2" s="1"/>
  <c r="I26" i="2" s="1"/>
  <c r="J26" i="2" s="1"/>
  <c r="L25" i="2"/>
  <c r="K25" i="2"/>
  <c r="D25" i="2"/>
  <c r="L24" i="2"/>
  <c r="K24" i="2"/>
  <c r="D24" i="2"/>
  <c r="L23" i="2"/>
  <c r="K23" i="2"/>
  <c r="M23" i="2" s="1"/>
  <c r="D23" i="2"/>
  <c r="E23" i="2" s="1"/>
  <c r="H23" i="2" s="1"/>
  <c r="L22" i="2"/>
  <c r="K22" i="2"/>
  <c r="M22" i="2" s="1"/>
  <c r="D22" i="2"/>
  <c r="E22" i="2" s="1"/>
  <c r="H22" i="2" s="1"/>
  <c r="L21" i="2"/>
  <c r="K21" i="2"/>
  <c r="M21" i="2" s="1"/>
  <c r="D21" i="2"/>
  <c r="L20" i="2"/>
  <c r="M20" i="2" s="1"/>
  <c r="K20" i="2"/>
  <c r="D20" i="2"/>
  <c r="L19" i="2"/>
  <c r="K19" i="2"/>
  <c r="M19" i="2" s="1"/>
  <c r="D19" i="2"/>
  <c r="L18" i="2"/>
  <c r="K18" i="2"/>
  <c r="M18" i="2" s="1"/>
  <c r="D18" i="2"/>
  <c r="E18" i="2" s="1"/>
  <c r="H18" i="2" s="1"/>
  <c r="L17" i="2"/>
  <c r="K17" i="2"/>
  <c r="M17" i="2" s="1"/>
  <c r="D17" i="2"/>
  <c r="L16" i="2"/>
  <c r="K16" i="2"/>
  <c r="D16" i="2"/>
  <c r="L15" i="2"/>
  <c r="K15" i="2"/>
  <c r="D15" i="2"/>
  <c r="L14" i="2"/>
  <c r="M14" i="2" s="1"/>
  <c r="K14" i="2"/>
  <c r="D14" i="2"/>
  <c r="E14" i="2" s="1"/>
  <c r="H14" i="2" s="1"/>
  <c r="L13" i="2"/>
  <c r="K13" i="2"/>
  <c r="M13" i="2" s="1"/>
  <c r="D13" i="2"/>
  <c r="L12" i="2"/>
  <c r="K12" i="2"/>
  <c r="D12" i="2"/>
  <c r="E12" i="2" s="1"/>
  <c r="H12" i="2" s="1"/>
  <c r="L11" i="2"/>
  <c r="K11" i="2"/>
  <c r="M11" i="2" s="1"/>
  <c r="D11" i="2"/>
  <c r="M10" i="2"/>
  <c r="L10" i="2"/>
  <c r="K10" i="2"/>
  <c r="D10" i="2"/>
  <c r="L9" i="2"/>
  <c r="K9" i="2"/>
  <c r="D9" i="2"/>
  <c r="L8" i="2"/>
  <c r="M8" i="2" s="1"/>
  <c r="K8" i="2"/>
  <c r="D8" i="2"/>
  <c r="L7" i="2"/>
  <c r="K7" i="2"/>
  <c r="M7" i="2" s="1"/>
  <c r="D7" i="2"/>
  <c r="E7" i="2" s="1"/>
  <c r="H7" i="2" s="1"/>
  <c r="L6" i="2"/>
  <c r="K6" i="2"/>
  <c r="M6" i="2" s="1"/>
  <c r="D6" i="2"/>
  <c r="L5" i="2"/>
  <c r="K5" i="2"/>
  <c r="M5" i="2" s="1"/>
  <c r="D5" i="2"/>
  <c r="L4" i="2"/>
  <c r="M4" i="2" s="1"/>
  <c r="K4" i="2"/>
  <c r="D4" i="2"/>
  <c r="D3" i="2"/>
  <c r="L1" i="2"/>
  <c r="L1" i="1"/>
  <c r="E11" i="1"/>
  <c r="H10" i="1"/>
  <c r="H25" i="1"/>
  <c r="I25" i="1" s="1"/>
  <c r="J25" i="1" s="1"/>
  <c r="N25" i="1" s="1"/>
  <c r="K25" i="1"/>
  <c r="M25" i="1" s="1"/>
  <c r="L25" i="1"/>
  <c r="H26" i="1"/>
  <c r="I26" i="1" s="1"/>
  <c r="J26" i="1" s="1"/>
  <c r="N26" i="1" s="1"/>
  <c r="K26" i="1"/>
  <c r="M26" i="1" s="1"/>
  <c r="L26" i="1"/>
  <c r="H27" i="1"/>
  <c r="I27" i="1" s="1"/>
  <c r="J27" i="1" s="1"/>
  <c r="K27" i="1"/>
  <c r="M27" i="1" s="1"/>
  <c r="L27" i="1"/>
  <c r="H28" i="1"/>
  <c r="I28" i="1" s="1"/>
  <c r="J28" i="1" s="1"/>
  <c r="N28" i="1" s="1"/>
  <c r="K28" i="1"/>
  <c r="M28" i="1" s="1"/>
  <c r="L28" i="1"/>
  <c r="H29" i="1"/>
  <c r="I29" i="1" s="1"/>
  <c r="J29" i="1" s="1"/>
  <c r="N29" i="1" s="1"/>
  <c r="K29" i="1"/>
  <c r="M29" i="1" s="1"/>
  <c r="L29" i="1"/>
  <c r="H30" i="1"/>
  <c r="I30" i="1" s="1"/>
  <c r="J30" i="1" s="1"/>
  <c r="N30" i="1" s="1"/>
  <c r="K30" i="1"/>
  <c r="M30" i="1" s="1"/>
  <c r="L30" i="1"/>
  <c r="H31" i="1"/>
  <c r="I31" i="1"/>
  <c r="J31" i="1" s="1"/>
  <c r="N31" i="1" s="1"/>
  <c r="K31" i="1"/>
  <c r="M31" i="1" s="1"/>
  <c r="L31" i="1"/>
  <c r="H32" i="1"/>
  <c r="I32" i="1" s="1"/>
  <c r="J32" i="1" s="1"/>
  <c r="N32" i="1" s="1"/>
  <c r="K32" i="1"/>
  <c r="M32" i="1" s="1"/>
  <c r="L32" i="1"/>
  <c r="H33" i="1"/>
  <c r="I33" i="1" s="1"/>
  <c r="J33" i="1" s="1"/>
  <c r="N33" i="1" s="1"/>
  <c r="K33" i="1"/>
  <c r="M33" i="1" s="1"/>
  <c r="L33" i="1"/>
  <c r="H34" i="1"/>
  <c r="I34" i="1" s="1"/>
  <c r="J34" i="1" s="1"/>
  <c r="N34" i="1" s="1"/>
  <c r="K34" i="1"/>
  <c r="M34" i="1" s="1"/>
  <c r="L34" i="1"/>
  <c r="H35" i="1"/>
  <c r="I35" i="1"/>
  <c r="J35" i="1" s="1"/>
  <c r="N35" i="1" s="1"/>
  <c r="K35" i="1"/>
  <c r="M35" i="1" s="1"/>
  <c r="L35" i="1"/>
  <c r="H36" i="1"/>
  <c r="I36" i="1" s="1"/>
  <c r="J36" i="1" s="1"/>
  <c r="N36" i="1" s="1"/>
  <c r="K36" i="1"/>
  <c r="M36" i="1" s="1"/>
  <c r="L36" i="1"/>
  <c r="H37" i="1"/>
  <c r="I37" i="1"/>
  <c r="J37" i="1" s="1"/>
  <c r="N37" i="1" s="1"/>
  <c r="K37" i="1"/>
  <c r="M37" i="1" s="1"/>
  <c r="L37" i="1"/>
  <c r="K38" i="1"/>
  <c r="M38" i="1" s="1"/>
  <c r="L38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H38" i="1" s="1"/>
  <c r="I38" i="1" s="1"/>
  <c r="J38" i="1" s="1"/>
  <c r="N38" i="1" s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O27" i="19" l="1"/>
  <c r="O38" i="19"/>
  <c r="O29" i="19"/>
  <c r="O31" i="19"/>
  <c r="N35" i="19"/>
  <c r="O35" i="19" s="1"/>
  <c r="N27" i="19"/>
  <c r="N25" i="19"/>
  <c r="O25" i="19" s="1"/>
  <c r="N33" i="18"/>
  <c r="O33" i="18" s="1"/>
  <c r="O34" i="18"/>
  <c r="O35" i="18"/>
  <c r="O25" i="18"/>
  <c r="O27" i="18"/>
  <c r="N38" i="18"/>
  <c r="O38" i="18" s="1"/>
  <c r="O29" i="18"/>
  <c r="O31" i="18"/>
  <c r="N29" i="18"/>
  <c r="O30" i="17"/>
  <c r="O35" i="17"/>
  <c r="O31" i="17"/>
  <c r="N30" i="17"/>
  <c r="O27" i="17"/>
  <c r="O37" i="17"/>
  <c r="O32" i="17"/>
  <c r="O32" i="16"/>
  <c r="O25" i="16"/>
  <c r="O27" i="16"/>
  <c r="O29" i="16"/>
  <c r="O31" i="16"/>
  <c r="O33" i="16"/>
  <c r="O35" i="16"/>
  <c r="N31" i="16"/>
  <c r="O34" i="15"/>
  <c r="O25" i="15"/>
  <c r="O35" i="15"/>
  <c r="N30" i="15"/>
  <c r="O30" i="15" s="1"/>
  <c r="O26" i="14"/>
  <c r="O29" i="14"/>
  <c r="O36" i="14"/>
  <c r="O32" i="14"/>
  <c r="N29" i="14"/>
  <c r="N36" i="14"/>
  <c r="O32" i="12"/>
  <c r="O26" i="12"/>
  <c r="N34" i="12"/>
  <c r="O34" i="12" s="1"/>
  <c r="N26" i="12"/>
  <c r="O25" i="11"/>
  <c r="O27" i="11"/>
  <c r="O31" i="11"/>
  <c r="O33" i="11"/>
  <c r="N37" i="11"/>
  <c r="O37" i="11" s="1"/>
  <c r="N29" i="11"/>
  <c r="O29" i="11" s="1"/>
  <c r="N35" i="11"/>
  <c r="O35" i="11" s="1"/>
  <c r="N27" i="11"/>
  <c r="O38" i="10"/>
  <c r="O34" i="10"/>
  <c r="N34" i="10"/>
  <c r="N25" i="10"/>
  <c r="O25" i="10" s="1"/>
  <c r="O30" i="10"/>
  <c r="O28" i="10"/>
  <c r="O33" i="10"/>
  <c r="O31" i="10"/>
  <c r="N37" i="10"/>
  <c r="O37" i="10" s="1"/>
  <c r="N29" i="10"/>
  <c r="O29" i="10" s="1"/>
  <c r="O37" i="9"/>
  <c r="O26" i="9"/>
  <c r="O33" i="9"/>
  <c r="O38" i="9"/>
  <c r="N37" i="9"/>
  <c r="O29" i="9"/>
  <c r="O34" i="9"/>
  <c r="N27" i="9"/>
  <c r="O27" i="9" s="1"/>
  <c r="O30" i="9"/>
  <c r="N34" i="9"/>
  <c r="N26" i="9"/>
  <c r="O29" i="8"/>
  <c r="O37" i="8"/>
  <c r="N35" i="8"/>
  <c r="O35" i="8" s="1"/>
  <c r="N27" i="8"/>
  <c r="O27" i="8" s="1"/>
  <c r="N33" i="8"/>
  <c r="O33" i="8" s="1"/>
  <c r="N25" i="8"/>
  <c r="O25" i="8" s="1"/>
  <c r="N31" i="8"/>
  <c r="O31" i="8" s="1"/>
  <c r="N31" i="5"/>
  <c r="O31" i="5" s="1"/>
  <c r="O27" i="5"/>
  <c r="O35" i="5"/>
  <c r="O25" i="5"/>
  <c r="O36" i="4"/>
  <c r="O38" i="4"/>
  <c r="O25" i="4"/>
  <c r="N38" i="4"/>
  <c r="N29" i="4"/>
  <c r="O29" i="4" s="1"/>
  <c r="N36" i="4"/>
  <c r="O37" i="4"/>
  <c r="O26" i="4"/>
  <c r="O28" i="4"/>
  <c r="N26" i="4"/>
  <c r="O32" i="4"/>
  <c r="N33" i="4"/>
  <c r="O33" i="4" s="1"/>
  <c r="N25" i="4"/>
  <c r="O25" i="3"/>
  <c r="N27" i="3"/>
  <c r="O27" i="3" s="1"/>
  <c r="O29" i="3"/>
  <c r="N34" i="3"/>
  <c r="O34" i="3" s="1"/>
  <c r="N26" i="3"/>
  <c r="O26" i="3" s="1"/>
  <c r="O35" i="3"/>
  <c r="N25" i="3"/>
  <c r="O37" i="3"/>
  <c r="N31" i="3"/>
  <c r="O31" i="3" s="1"/>
  <c r="O32" i="3"/>
  <c r="N30" i="3"/>
  <c r="O30" i="3" s="1"/>
  <c r="O35" i="1"/>
  <c r="O31" i="1"/>
  <c r="N27" i="1"/>
  <c r="O27" i="1" s="1"/>
  <c r="O34" i="19"/>
  <c r="O36" i="19"/>
  <c r="O33" i="19"/>
  <c r="O37" i="19"/>
  <c r="O37" i="18"/>
  <c r="O36" i="18"/>
  <c r="O26" i="16"/>
  <c r="O28" i="16"/>
  <c r="O30" i="16"/>
  <c r="O34" i="16"/>
  <c r="O36" i="16"/>
  <c r="O36" i="15"/>
  <c r="O28" i="15"/>
  <c r="O25" i="14"/>
  <c r="O30" i="14"/>
  <c r="O37" i="14"/>
  <c r="O33" i="14"/>
  <c r="O27" i="10"/>
  <c r="O28" i="9"/>
  <c r="O36" i="9"/>
  <c r="O33" i="5"/>
  <c r="O28" i="5"/>
  <c r="O36" i="5"/>
  <c r="O28" i="3"/>
  <c r="O36" i="3"/>
  <c r="I23" i="19"/>
  <c r="J24" i="19"/>
  <c r="O26" i="19"/>
  <c r="O28" i="19"/>
  <c r="O30" i="19"/>
  <c r="O32" i="19"/>
  <c r="J24" i="18"/>
  <c r="I23" i="18"/>
  <c r="O26" i="18"/>
  <c r="O28" i="18"/>
  <c r="O30" i="18"/>
  <c r="O32" i="18"/>
  <c r="O26" i="17"/>
  <c r="J24" i="17"/>
  <c r="I23" i="17"/>
  <c r="O38" i="17"/>
  <c r="O36" i="17"/>
  <c r="O34" i="17"/>
  <c r="O28" i="17"/>
  <c r="E5" i="17"/>
  <c r="H5" i="17" s="1"/>
  <c r="E9" i="17"/>
  <c r="H9" i="17" s="1"/>
  <c r="E13" i="17"/>
  <c r="H13" i="17" s="1"/>
  <c r="E17" i="17"/>
  <c r="H17" i="17" s="1"/>
  <c r="E21" i="17"/>
  <c r="H21" i="17" s="1"/>
  <c r="E25" i="17"/>
  <c r="H25" i="17" s="1"/>
  <c r="I25" i="17" s="1"/>
  <c r="J25" i="17" s="1"/>
  <c r="E29" i="17"/>
  <c r="H29" i="17" s="1"/>
  <c r="I29" i="17" s="1"/>
  <c r="J29" i="17" s="1"/>
  <c r="E33" i="17"/>
  <c r="H33" i="17" s="1"/>
  <c r="I33" i="17" s="1"/>
  <c r="J33" i="17" s="1"/>
  <c r="J24" i="16"/>
  <c r="I23" i="16"/>
  <c r="O33" i="15"/>
  <c r="O26" i="15"/>
  <c r="O31" i="15"/>
  <c r="J24" i="15"/>
  <c r="I23" i="15"/>
  <c r="O29" i="15"/>
  <c r="O27" i="15"/>
  <c r="O32" i="15"/>
  <c r="O37" i="15"/>
  <c r="J24" i="14"/>
  <c r="I23" i="14"/>
  <c r="O31" i="14"/>
  <c r="O38" i="14"/>
  <c r="O27" i="14"/>
  <c r="O34" i="14"/>
  <c r="O28" i="14"/>
  <c r="O35" i="14"/>
  <c r="J24" i="12"/>
  <c r="I23" i="12"/>
  <c r="O27" i="12"/>
  <c r="O35" i="12"/>
  <c r="O30" i="12"/>
  <c r="O25" i="12"/>
  <c r="O33" i="12"/>
  <c r="O28" i="12"/>
  <c r="O36" i="12"/>
  <c r="O31" i="12"/>
  <c r="O29" i="12"/>
  <c r="J24" i="11"/>
  <c r="I23" i="11"/>
  <c r="O26" i="11"/>
  <c r="O28" i="11"/>
  <c r="O30" i="11"/>
  <c r="O32" i="11"/>
  <c r="O34" i="11"/>
  <c r="O36" i="11"/>
  <c r="O38" i="11"/>
  <c r="O26" i="10"/>
  <c r="J24" i="10"/>
  <c r="I23" i="10"/>
  <c r="O36" i="10"/>
  <c r="O32" i="10"/>
  <c r="O35" i="10"/>
  <c r="J24" i="9"/>
  <c r="I23" i="9"/>
  <c r="O31" i="9"/>
  <c r="O25" i="9"/>
  <c r="O32" i="9"/>
  <c r="O35" i="9"/>
  <c r="J24" i="8"/>
  <c r="I23" i="8"/>
  <c r="O26" i="8"/>
  <c r="O28" i="8"/>
  <c r="O30" i="8"/>
  <c r="O32" i="8"/>
  <c r="O34" i="8"/>
  <c r="O36" i="8"/>
  <c r="O38" i="8"/>
  <c r="J24" i="5"/>
  <c r="I23" i="5"/>
  <c r="O32" i="5"/>
  <c r="O30" i="5"/>
  <c r="O38" i="5"/>
  <c r="O26" i="5"/>
  <c r="O34" i="5"/>
  <c r="O29" i="5"/>
  <c r="O37" i="5"/>
  <c r="E4" i="5"/>
  <c r="H4" i="5" s="1"/>
  <c r="O34" i="4"/>
  <c r="O27" i="4"/>
  <c r="O31" i="4"/>
  <c r="O35" i="4"/>
  <c r="J24" i="4"/>
  <c r="I23" i="4"/>
  <c r="O30" i="4"/>
  <c r="O38" i="3"/>
  <c r="O33" i="3"/>
  <c r="J24" i="3"/>
  <c r="I23" i="3"/>
  <c r="M9" i="2"/>
  <c r="M16" i="2"/>
  <c r="E19" i="2"/>
  <c r="H19" i="2" s="1"/>
  <c r="E24" i="2"/>
  <c r="H24" i="2" s="1"/>
  <c r="I24" i="2" s="1"/>
  <c r="M31" i="2"/>
  <c r="O34" i="2"/>
  <c r="E10" i="2"/>
  <c r="H10" i="2" s="1"/>
  <c r="M24" i="2"/>
  <c r="E27" i="2"/>
  <c r="H27" i="2" s="1"/>
  <c r="I27" i="2" s="1"/>
  <c r="J27" i="2" s="1"/>
  <c r="N27" i="2" s="1"/>
  <c r="E32" i="2"/>
  <c r="H32" i="2" s="1"/>
  <c r="I32" i="2" s="1"/>
  <c r="J32" i="2" s="1"/>
  <c r="N32" i="2" s="1"/>
  <c r="M12" i="2"/>
  <c r="E15" i="2"/>
  <c r="H15" i="2" s="1"/>
  <c r="E20" i="2"/>
  <c r="H20" i="2" s="1"/>
  <c r="E30" i="2"/>
  <c r="H30" i="2" s="1"/>
  <c r="I30" i="2" s="1"/>
  <c r="J30" i="2" s="1"/>
  <c r="N30" i="2" s="1"/>
  <c r="E8" i="2"/>
  <c r="H8" i="2" s="1"/>
  <c r="M15" i="2"/>
  <c r="M25" i="2"/>
  <c r="M32" i="2"/>
  <c r="E35" i="2"/>
  <c r="H35" i="2" s="1"/>
  <c r="I35" i="2" s="1"/>
  <c r="J35" i="2" s="1"/>
  <c r="N35" i="2" s="1"/>
  <c r="O35" i="2" s="1"/>
  <c r="E6" i="2"/>
  <c r="H6" i="2" s="1"/>
  <c r="E38" i="2"/>
  <c r="H38" i="2" s="1"/>
  <c r="I38" i="2" s="1"/>
  <c r="J38" i="2" s="1"/>
  <c r="E11" i="2"/>
  <c r="H11" i="2" s="1"/>
  <c r="E16" i="2"/>
  <c r="H16" i="2" s="1"/>
  <c r="E3" i="2"/>
  <c r="H3" i="2" s="1"/>
  <c r="M28" i="2"/>
  <c r="O28" i="2" s="1"/>
  <c r="E36" i="2"/>
  <c r="H36" i="2" s="1"/>
  <c r="I36" i="2" s="1"/>
  <c r="J36" i="2" s="1"/>
  <c r="O26" i="2"/>
  <c r="O31" i="2"/>
  <c r="J24" i="2"/>
  <c r="N24" i="2" s="1"/>
  <c r="I23" i="2"/>
  <c r="E4" i="2"/>
  <c r="H4" i="2" s="1"/>
  <c r="E5" i="2"/>
  <c r="H5" i="2" s="1"/>
  <c r="E9" i="2"/>
  <c r="H9" i="2" s="1"/>
  <c r="E13" i="2"/>
  <c r="H13" i="2" s="1"/>
  <c r="E17" i="2"/>
  <c r="H17" i="2" s="1"/>
  <c r="E21" i="2"/>
  <c r="H21" i="2" s="1"/>
  <c r="E25" i="2"/>
  <c r="H25" i="2" s="1"/>
  <c r="I25" i="2" s="1"/>
  <c r="J25" i="2" s="1"/>
  <c r="N25" i="2" s="1"/>
  <c r="E29" i="2"/>
  <c r="H29" i="2" s="1"/>
  <c r="I29" i="2" s="1"/>
  <c r="J29" i="2" s="1"/>
  <c r="N29" i="2" s="1"/>
  <c r="E33" i="2"/>
  <c r="H33" i="2" s="1"/>
  <c r="I33" i="2" s="1"/>
  <c r="J33" i="2" s="1"/>
  <c r="N33" i="2" s="1"/>
  <c r="E37" i="2"/>
  <c r="H37" i="2" s="1"/>
  <c r="I37" i="2" s="1"/>
  <c r="J37" i="2" s="1"/>
  <c r="N37" i="2" s="1"/>
  <c r="O37" i="1"/>
  <c r="O33" i="1"/>
  <c r="O29" i="1"/>
  <c r="O25" i="1"/>
  <c r="O36" i="1"/>
  <c r="O34" i="1"/>
  <c r="O32" i="1"/>
  <c r="O30" i="1"/>
  <c r="O28" i="1"/>
  <c r="O26" i="1"/>
  <c r="O38" i="1"/>
  <c r="O24" i="19" l="1"/>
  <c r="N24" i="19"/>
  <c r="N24" i="18"/>
  <c r="O24" i="18" s="1"/>
  <c r="N24" i="17"/>
  <c r="O24" i="17" s="1"/>
  <c r="N33" i="17"/>
  <c r="O33" i="17" s="1"/>
  <c r="N29" i="17"/>
  <c r="O29" i="17" s="1"/>
  <c r="N25" i="17"/>
  <c r="O25" i="17" s="1"/>
  <c r="N24" i="16"/>
  <c r="O24" i="16" s="1"/>
  <c r="N24" i="15"/>
  <c r="O24" i="15" s="1"/>
  <c r="O24" i="14"/>
  <c r="N24" i="14"/>
  <c r="O24" i="12"/>
  <c r="N24" i="12"/>
  <c r="N24" i="11"/>
  <c r="O24" i="11" s="1"/>
  <c r="N24" i="10"/>
  <c r="O24" i="10" s="1"/>
  <c r="N24" i="9"/>
  <c r="O24" i="9" s="1"/>
  <c r="N24" i="8"/>
  <c r="O24" i="8" s="1"/>
  <c r="N24" i="5"/>
  <c r="O24" i="5" s="1"/>
  <c r="N24" i="4"/>
  <c r="O24" i="4" s="1"/>
  <c r="N24" i="3"/>
  <c r="O24" i="3" s="1"/>
  <c r="N38" i="2"/>
  <c r="O38" i="2" s="1"/>
  <c r="N36" i="2"/>
  <c r="O36" i="2" s="1"/>
  <c r="I22" i="19"/>
  <c r="J23" i="19"/>
  <c r="I22" i="18"/>
  <c r="J23" i="18"/>
  <c r="I22" i="17"/>
  <c r="J23" i="17"/>
  <c r="I22" i="16"/>
  <c r="J23" i="16"/>
  <c r="I22" i="15"/>
  <c r="J23" i="15"/>
  <c r="I22" i="14"/>
  <c r="J23" i="14"/>
  <c r="I22" i="12"/>
  <c r="J23" i="12"/>
  <c r="I22" i="11"/>
  <c r="J23" i="11"/>
  <c r="I22" i="10"/>
  <c r="J23" i="10"/>
  <c r="I22" i="9"/>
  <c r="J23" i="9"/>
  <c r="I22" i="8"/>
  <c r="J23" i="8"/>
  <c r="I22" i="5"/>
  <c r="J23" i="5"/>
  <c r="I22" i="4"/>
  <c r="J23" i="4"/>
  <c r="I22" i="3"/>
  <c r="J23" i="3"/>
  <c r="O24" i="2"/>
  <c r="O27" i="2"/>
  <c r="O30" i="2"/>
  <c r="O33" i="2"/>
  <c r="O25" i="2"/>
  <c r="O32" i="2"/>
  <c r="O37" i="2"/>
  <c r="O29" i="2"/>
  <c r="I22" i="2"/>
  <c r="J23" i="2"/>
  <c r="N23" i="2" s="1"/>
  <c r="O23" i="19" l="1"/>
  <c r="N23" i="19"/>
  <c r="N23" i="18"/>
  <c r="O23" i="18" s="1"/>
  <c r="N23" i="17"/>
  <c r="O23" i="17" s="1"/>
  <c r="N23" i="16"/>
  <c r="O23" i="16" s="1"/>
  <c r="N23" i="15"/>
  <c r="O23" i="15" s="1"/>
  <c r="N23" i="14"/>
  <c r="O23" i="14" s="1"/>
  <c r="O23" i="12"/>
  <c r="N23" i="12"/>
  <c r="N23" i="11"/>
  <c r="O23" i="11" s="1"/>
  <c r="N23" i="10"/>
  <c r="O23" i="10" s="1"/>
  <c r="N23" i="9"/>
  <c r="O23" i="9" s="1"/>
  <c r="N23" i="8"/>
  <c r="O23" i="8" s="1"/>
  <c r="N23" i="5"/>
  <c r="O23" i="5" s="1"/>
  <c r="N23" i="4"/>
  <c r="O23" i="4" s="1"/>
  <c r="N23" i="3"/>
  <c r="O23" i="3" s="1"/>
  <c r="I21" i="19"/>
  <c r="J22" i="19"/>
  <c r="I21" i="18"/>
  <c r="J22" i="18"/>
  <c r="I21" i="17"/>
  <c r="J22" i="17"/>
  <c r="I21" i="16"/>
  <c r="J22" i="16"/>
  <c r="I21" i="15"/>
  <c r="J22" i="15"/>
  <c r="I21" i="14"/>
  <c r="J22" i="14"/>
  <c r="I21" i="12"/>
  <c r="J22" i="12"/>
  <c r="I21" i="11"/>
  <c r="J22" i="11"/>
  <c r="I21" i="10"/>
  <c r="J22" i="10"/>
  <c r="J22" i="9"/>
  <c r="I21" i="9"/>
  <c r="I21" i="8"/>
  <c r="J22" i="8"/>
  <c r="I21" i="5"/>
  <c r="J22" i="5"/>
  <c r="I21" i="4"/>
  <c r="J22" i="4"/>
  <c r="I21" i="3"/>
  <c r="J22" i="3"/>
  <c r="O23" i="2"/>
  <c r="I21" i="2"/>
  <c r="J22" i="2"/>
  <c r="N22" i="2" s="1"/>
  <c r="D25" i="1"/>
  <c r="L24" i="1"/>
  <c r="M24" i="1" s="1"/>
  <c r="K24" i="1"/>
  <c r="E24" i="1"/>
  <c r="H24" i="1" s="1"/>
  <c r="I24" i="1" s="1"/>
  <c r="D24" i="1"/>
  <c r="L23" i="1"/>
  <c r="K23" i="1"/>
  <c r="M23" i="1" s="1"/>
  <c r="D23" i="1"/>
  <c r="E23" i="1" s="1"/>
  <c r="H23" i="1" s="1"/>
  <c r="L22" i="1"/>
  <c r="K22" i="1"/>
  <c r="M22" i="1" s="1"/>
  <c r="D22" i="1"/>
  <c r="M21" i="1"/>
  <c r="L21" i="1"/>
  <c r="K21" i="1"/>
  <c r="E21" i="1"/>
  <c r="H21" i="1" s="1"/>
  <c r="D21" i="1"/>
  <c r="L20" i="1"/>
  <c r="M20" i="1" s="1"/>
  <c r="K20" i="1"/>
  <c r="E20" i="1"/>
  <c r="H20" i="1" s="1"/>
  <c r="D20" i="1"/>
  <c r="L19" i="1"/>
  <c r="K19" i="1"/>
  <c r="M19" i="1" s="1"/>
  <c r="D19" i="1"/>
  <c r="E19" i="1" s="1"/>
  <c r="H19" i="1" s="1"/>
  <c r="L18" i="1"/>
  <c r="K18" i="1"/>
  <c r="M18" i="1" s="1"/>
  <c r="D18" i="1"/>
  <c r="M17" i="1"/>
  <c r="L17" i="1"/>
  <c r="K17" i="1"/>
  <c r="E17" i="1"/>
  <c r="H17" i="1" s="1"/>
  <c r="D17" i="1"/>
  <c r="L16" i="1"/>
  <c r="M16" i="1" s="1"/>
  <c r="K16" i="1"/>
  <c r="E16" i="1"/>
  <c r="H16" i="1" s="1"/>
  <c r="D16" i="1"/>
  <c r="L15" i="1"/>
  <c r="K15" i="1"/>
  <c r="M15" i="1" s="1"/>
  <c r="D15" i="1"/>
  <c r="E15" i="1" s="1"/>
  <c r="H15" i="1" s="1"/>
  <c r="L14" i="1"/>
  <c r="K14" i="1"/>
  <c r="M14" i="1" s="1"/>
  <c r="D14" i="1"/>
  <c r="M13" i="1"/>
  <c r="L13" i="1"/>
  <c r="K13" i="1"/>
  <c r="E13" i="1"/>
  <c r="H13" i="1" s="1"/>
  <c r="D13" i="1"/>
  <c r="L12" i="1"/>
  <c r="M12" i="1" s="1"/>
  <c r="K12" i="1"/>
  <c r="E12" i="1"/>
  <c r="H12" i="1" s="1"/>
  <c r="D12" i="1"/>
  <c r="L11" i="1"/>
  <c r="K11" i="1"/>
  <c r="M11" i="1" s="1"/>
  <c r="D11" i="1"/>
  <c r="H11" i="1" s="1"/>
  <c r="L10" i="1"/>
  <c r="K10" i="1"/>
  <c r="M10" i="1" s="1"/>
  <c r="D10" i="1"/>
  <c r="M9" i="1"/>
  <c r="L9" i="1"/>
  <c r="K9" i="1"/>
  <c r="E9" i="1"/>
  <c r="H9" i="1" s="1"/>
  <c r="D9" i="1"/>
  <c r="L8" i="1"/>
  <c r="M8" i="1" s="1"/>
  <c r="K8" i="1"/>
  <c r="E8" i="1"/>
  <c r="H8" i="1" s="1"/>
  <c r="D8" i="1"/>
  <c r="L7" i="1"/>
  <c r="K7" i="1"/>
  <c r="M7" i="1" s="1"/>
  <c r="D7" i="1"/>
  <c r="E7" i="1" s="1"/>
  <c r="H7" i="1" s="1"/>
  <c r="L6" i="1"/>
  <c r="K6" i="1"/>
  <c r="M6" i="1" s="1"/>
  <c r="D6" i="1"/>
  <c r="E6" i="1" s="1"/>
  <c r="H6" i="1" s="1"/>
  <c r="M5" i="1"/>
  <c r="L5" i="1"/>
  <c r="K5" i="1"/>
  <c r="E5" i="1"/>
  <c r="H5" i="1" s="1"/>
  <c r="D5" i="1"/>
  <c r="L4" i="1"/>
  <c r="M4" i="1" s="1"/>
  <c r="K4" i="1"/>
  <c r="E4" i="1"/>
  <c r="H4" i="1" s="1"/>
  <c r="D4" i="1"/>
  <c r="D3" i="1"/>
  <c r="E3" i="1" s="1"/>
  <c r="H3" i="1" s="1"/>
  <c r="L733" i="13"/>
  <c r="K733" i="13"/>
  <c r="M733" i="13" s="1"/>
  <c r="H733" i="13"/>
  <c r="I733" i="13" s="1"/>
  <c r="J733" i="13" s="1"/>
  <c r="N733" i="13" s="1"/>
  <c r="O733" i="13" s="1"/>
  <c r="L732" i="13"/>
  <c r="K732" i="13"/>
  <c r="M732" i="13" s="1"/>
  <c r="J732" i="13"/>
  <c r="N732" i="13" s="1"/>
  <c r="O732" i="13" s="1"/>
  <c r="H732" i="13"/>
  <c r="I732" i="13" s="1"/>
  <c r="L731" i="13"/>
  <c r="K731" i="13"/>
  <c r="M731" i="13" s="1"/>
  <c r="J731" i="13"/>
  <c r="N731" i="13" s="1"/>
  <c r="O731" i="13" s="1"/>
  <c r="H731" i="13"/>
  <c r="I731" i="13" s="1"/>
  <c r="N730" i="13"/>
  <c r="O730" i="13" s="1"/>
  <c r="L730" i="13"/>
  <c r="K730" i="13"/>
  <c r="M730" i="13" s="1"/>
  <c r="J730" i="13"/>
  <c r="H730" i="13"/>
  <c r="I730" i="13" s="1"/>
  <c r="L729" i="13"/>
  <c r="K729" i="13"/>
  <c r="M729" i="13" s="1"/>
  <c r="H729" i="13"/>
  <c r="I729" i="13" s="1"/>
  <c r="J729" i="13" s="1"/>
  <c r="N729" i="13" s="1"/>
  <c r="O729" i="13" s="1"/>
  <c r="L728" i="13"/>
  <c r="K728" i="13"/>
  <c r="M728" i="13" s="1"/>
  <c r="H728" i="13"/>
  <c r="I728" i="13" s="1"/>
  <c r="J728" i="13" s="1"/>
  <c r="N728" i="13" s="1"/>
  <c r="O728" i="13" s="1"/>
  <c r="L727" i="13"/>
  <c r="K727" i="13"/>
  <c r="M727" i="13" s="1"/>
  <c r="H727" i="13"/>
  <c r="I727" i="13" s="1"/>
  <c r="J727" i="13" s="1"/>
  <c r="N727" i="13" s="1"/>
  <c r="O727" i="13" s="1"/>
  <c r="L726" i="13"/>
  <c r="K726" i="13"/>
  <c r="M726" i="13" s="1"/>
  <c r="H726" i="13"/>
  <c r="I726" i="13" s="1"/>
  <c r="J726" i="13" s="1"/>
  <c r="N726" i="13" s="1"/>
  <c r="O726" i="13" s="1"/>
  <c r="L725" i="13"/>
  <c r="K725" i="13"/>
  <c r="M725" i="13" s="1"/>
  <c r="H725" i="13"/>
  <c r="I725" i="13" s="1"/>
  <c r="J725" i="13" s="1"/>
  <c r="N725" i="13" s="1"/>
  <c r="O725" i="13" s="1"/>
  <c r="N724" i="13"/>
  <c r="O724" i="13" s="1"/>
  <c r="L724" i="13"/>
  <c r="K724" i="13"/>
  <c r="M724" i="13" s="1"/>
  <c r="J724" i="13"/>
  <c r="H724" i="13"/>
  <c r="I724" i="13" s="1"/>
  <c r="L723" i="13"/>
  <c r="K723" i="13"/>
  <c r="M723" i="13" s="1"/>
  <c r="J723" i="13"/>
  <c r="N723" i="13" s="1"/>
  <c r="O723" i="13" s="1"/>
  <c r="H723" i="13"/>
  <c r="I723" i="13" s="1"/>
  <c r="N722" i="13"/>
  <c r="O722" i="13" s="1"/>
  <c r="L722" i="13"/>
  <c r="K722" i="13"/>
  <c r="M722" i="13" s="1"/>
  <c r="J722" i="13"/>
  <c r="H722" i="13"/>
  <c r="I722" i="13" s="1"/>
  <c r="L721" i="13"/>
  <c r="K721" i="13"/>
  <c r="M721" i="13" s="1"/>
  <c r="H721" i="13"/>
  <c r="I721" i="13" s="1"/>
  <c r="J721" i="13" s="1"/>
  <c r="N721" i="13" s="1"/>
  <c r="O721" i="13" s="1"/>
  <c r="L720" i="13"/>
  <c r="K720" i="13"/>
  <c r="M720" i="13" s="1"/>
  <c r="H720" i="13"/>
  <c r="I720" i="13" s="1"/>
  <c r="J720" i="13" s="1"/>
  <c r="N720" i="13" s="1"/>
  <c r="O720" i="13" s="1"/>
  <c r="L719" i="13"/>
  <c r="K719" i="13"/>
  <c r="M719" i="13" s="1"/>
  <c r="H719" i="13"/>
  <c r="I719" i="13" s="1"/>
  <c r="J719" i="13" s="1"/>
  <c r="N719" i="13" s="1"/>
  <c r="O719" i="13" s="1"/>
  <c r="L718" i="13"/>
  <c r="K718" i="13"/>
  <c r="M718" i="13" s="1"/>
  <c r="H718" i="13"/>
  <c r="I718" i="13" s="1"/>
  <c r="J718" i="13" s="1"/>
  <c r="N718" i="13" s="1"/>
  <c r="O718" i="13" s="1"/>
  <c r="L717" i="13"/>
  <c r="K717" i="13"/>
  <c r="M717" i="13" s="1"/>
  <c r="H717" i="13"/>
  <c r="I717" i="13" s="1"/>
  <c r="J717" i="13" s="1"/>
  <c r="N717" i="13" s="1"/>
  <c r="O717" i="13" s="1"/>
  <c r="D717" i="13"/>
  <c r="L716" i="13"/>
  <c r="K716" i="13"/>
  <c r="M716" i="13" s="1"/>
  <c r="E716" i="13"/>
  <c r="H716" i="13" s="1"/>
  <c r="I716" i="13" s="1"/>
  <c r="J716" i="13" s="1"/>
  <c r="N716" i="13" s="1"/>
  <c r="O716" i="13" s="1"/>
  <c r="D716" i="13"/>
  <c r="M715" i="13"/>
  <c r="L715" i="13"/>
  <c r="K715" i="13"/>
  <c r="D715" i="13"/>
  <c r="E715" i="13" s="1"/>
  <c r="H715" i="13" s="1"/>
  <c r="I715" i="13" s="1"/>
  <c r="J715" i="13" s="1"/>
  <c r="N715" i="13" s="1"/>
  <c r="O715" i="13" s="1"/>
  <c r="L714" i="13"/>
  <c r="K714" i="13"/>
  <c r="M714" i="13" s="1"/>
  <c r="E714" i="13"/>
  <c r="H714" i="13" s="1"/>
  <c r="I714" i="13" s="1"/>
  <c r="J714" i="13" s="1"/>
  <c r="D714" i="13"/>
  <c r="M713" i="13"/>
  <c r="L713" i="13"/>
  <c r="K713" i="13"/>
  <c r="E713" i="13"/>
  <c r="H713" i="13" s="1"/>
  <c r="I713" i="13" s="1"/>
  <c r="J713" i="13" s="1"/>
  <c r="N713" i="13" s="1"/>
  <c r="O713" i="13" s="1"/>
  <c r="D713" i="13"/>
  <c r="L712" i="13"/>
  <c r="K712" i="13"/>
  <c r="M712" i="13" s="1"/>
  <c r="E712" i="13"/>
  <c r="H712" i="13" s="1"/>
  <c r="I712" i="13" s="1"/>
  <c r="J712" i="13" s="1"/>
  <c r="N712" i="13" s="1"/>
  <c r="O712" i="13" s="1"/>
  <c r="D712" i="13"/>
  <c r="M711" i="13"/>
  <c r="L711" i="13"/>
  <c r="K711" i="13"/>
  <c r="D711" i="13"/>
  <c r="E711" i="13" s="1"/>
  <c r="H711" i="13" s="1"/>
  <c r="I711" i="13" s="1"/>
  <c r="J711" i="13" s="1"/>
  <c r="N711" i="13" s="1"/>
  <c r="O711" i="13" s="1"/>
  <c r="L710" i="13"/>
  <c r="K710" i="13"/>
  <c r="M710" i="13" s="1"/>
  <c r="D710" i="13"/>
  <c r="M709" i="13"/>
  <c r="L709" i="13"/>
  <c r="K709" i="13"/>
  <c r="I709" i="13"/>
  <c r="J709" i="13" s="1"/>
  <c r="N709" i="13" s="1"/>
  <c r="O709" i="13" s="1"/>
  <c r="E709" i="13"/>
  <c r="H709" i="13" s="1"/>
  <c r="D709" i="13"/>
  <c r="L708" i="13"/>
  <c r="K708" i="13"/>
  <c r="M708" i="13" s="1"/>
  <c r="E708" i="13"/>
  <c r="H708" i="13" s="1"/>
  <c r="I708" i="13" s="1"/>
  <c r="J708" i="13" s="1"/>
  <c r="N708" i="13" s="1"/>
  <c r="O708" i="13" s="1"/>
  <c r="D708" i="13"/>
  <c r="M707" i="13"/>
  <c r="L707" i="13"/>
  <c r="K707" i="13"/>
  <c r="I707" i="13"/>
  <c r="J707" i="13" s="1"/>
  <c r="N707" i="13" s="1"/>
  <c r="O707" i="13" s="1"/>
  <c r="D707" i="13"/>
  <c r="E707" i="13" s="1"/>
  <c r="H707" i="13" s="1"/>
  <c r="M706" i="13"/>
  <c r="L706" i="13"/>
  <c r="K706" i="13"/>
  <c r="D706" i="13"/>
  <c r="M705" i="13"/>
  <c r="L705" i="13"/>
  <c r="K705" i="13"/>
  <c r="I705" i="13"/>
  <c r="J705" i="13" s="1"/>
  <c r="N705" i="13" s="1"/>
  <c r="O705" i="13" s="1"/>
  <c r="E705" i="13"/>
  <c r="H705" i="13" s="1"/>
  <c r="D705" i="13"/>
  <c r="L704" i="13"/>
  <c r="K704" i="13"/>
  <c r="M704" i="13" s="1"/>
  <c r="E704" i="13"/>
  <c r="H704" i="13" s="1"/>
  <c r="I704" i="13" s="1"/>
  <c r="J704" i="13" s="1"/>
  <c r="N704" i="13" s="1"/>
  <c r="O704" i="13" s="1"/>
  <c r="D704" i="13"/>
  <c r="L703" i="13"/>
  <c r="K703" i="13"/>
  <c r="M703" i="13" s="1"/>
  <c r="I703" i="13"/>
  <c r="J703" i="13" s="1"/>
  <c r="D703" i="13"/>
  <c r="E703" i="13" s="1"/>
  <c r="H703" i="13" s="1"/>
  <c r="M702" i="13"/>
  <c r="L702" i="13"/>
  <c r="K702" i="13"/>
  <c r="E702" i="13"/>
  <c r="H702" i="13" s="1"/>
  <c r="I702" i="13" s="1"/>
  <c r="J702" i="13" s="1"/>
  <c r="N702" i="13" s="1"/>
  <c r="O702" i="13" s="1"/>
  <c r="D702" i="13"/>
  <c r="M701" i="13"/>
  <c r="L701" i="13"/>
  <c r="K701" i="13"/>
  <c r="E701" i="13"/>
  <c r="H701" i="13" s="1"/>
  <c r="I701" i="13" s="1"/>
  <c r="J701" i="13" s="1"/>
  <c r="N701" i="13" s="1"/>
  <c r="O701" i="13" s="1"/>
  <c r="D701" i="13"/>
  <c r="L700" i="13"/>
  <c r="K700" i="13"/>
  <c r="M700" i="13" s="1"/>
  <c r="E700" i="13"/>
  <c r="H700" i="13" s="1"/>
  <c r="I700" i="13" s="1"/>
  <c r="J700" i="13" s="1"/>
  <c r="N700" i="13" s="1"/>
  <c r="O700" i="13" s="1"/>
  <c r="D700" i="13"/>
  <c r="N699" i="13"/>
  <c r="O699" i="13" s="1"/>
  <c r="M699" i="13"/>
  <c r="L699" i="13"/>
  <c r="K699" i="13"/>
  <c r="I699" i="13"/>
  <c r="J699" i="13" s="1"/>
  <c r="D699" i="13"/>
  <c r="E699" i="13" s="1"/>
  <c r="H699" i="13" s="1"/>
  <c r="L698" i="13"/>
  <c r="K698" i="13"/>
  <c r="M698" i="13" s="1"/>
  <c r="E698" i="13"/>
  <c r="H698" i="13" s="1"/>
  <c r="I698" i="13" s="1"/>
  <c r="J698" i="13" s="1"/>
  <c r="D698" i="13"/>
  <c r="M697" i="13"/>
  <c r="L697" i="13"/>
  <c r="K697" i="13"/>
  <c r="J697" i="13"/>
  <c r="N697" i="13" s="1"/>
  <c r="O697" i="13" s="1"/>
  <c r="E697" i="13"/>
  <c r="H697" i="13" s="1"/>
  <c r="I697" i="13" s="1"/>
  <c r="D697" i="13"/>
  <c r="L696" i="13"/>
  <c r="K696" i="13"/>
  <c r="I696" i="13"/>
  <c r="J696" i="13" s="1"/>
  <c r="E696" i="13"/>
  <c r="H696" i="13" s="1"/>
  <c r="D696" i="13"/>
  <c r="M695" i="13"/>
  <c r="L695" i="13"/>
  <c r="K695" i="13"/>
  <c r="D695" i="13"/>
  <c r="L694" i="13"/>
  <c r="M694" i="13" s="1"/>
  <c r="K694" i="13"/>
  <c r="D694" i="13"/>
  <c r="M693" i="13"/>
  <c r="L693" i="13"/>
  <c r="K693" i="13"/>
  <c r="D693" i="13"/>
  <c r="E692" i="13" s="1"/>
  <c r="H692" i="13" s="1"/>
  <c r="I692" i="13" s="1"/>
  <c r="J692" i="13" s="1"/>
  <c r="N692" i="13" s="1"/>
  <c r="O692" i="13" s="1"/>
  <c r="L692" i="13"/>
  <c r="K692" i="13"/>
  <c r="M692" i="13" s="1"/>
  <c r="D692" i="13"/>
  <c r="L691" i="13"/>
  <c r="K691" i="13"/>
  <c r="M691" i="13" s="1"/>
  <c r="I691" i="13"/>
  <c r="J691" i="13" s="1"/>
  <c r="N691" i="13" s="1"/>
  <c r="O691" i="13" s="1"/>
  <c r="D691" i="13"/>
  <c r="E691" i="13" s="1"/>
  <c r="H691" i="13" s="1"/>
  <c r="M690" i="13"/>
  <c r="L690" i="13"/>
  <c r="K690" i="13"/>
  <c r="D690" i="13"/>
  <c r="M689" i="13"/>
  <c r="L689" i="13"/>
  <c r="K689" i="13"/>
  <c r="J689" i="13"/>
  <c r="N689" i="13" s="1"/>
  <c r="O689" i="13" s="1"/>
  <c r="E689" i="13"/>
  <c r="H689" i="13" s="1"/>
  <c r="I689" i="13" s="1"/>
  <c r="D689" i="13"/>
  <c r="E688" i="13" s="1"/>
  <c r="H688" i="13" s="1"/>
  <c r="I688" i="13" s="1"/>
  <c r="J688" i="13" s="1"/>
  <c r="L688" i="13"/>
  <c r="K688" i="13"/>
  <c r="D688" i="13"/>
  <c r="M687" i="13"/>
  <c r="L687" i="13"/>
  <c r="K687" i="13"/>
  <c r="I687" i="13"/>
  <c r="J687" i="13" s="1"/>
  <c r="D687" i="13"/>
  <c r="E687" i="13" s="1"/>
  <c r="H687" i="13" s="1"/>
  <c r="L686" i="13"/>
  <c r="K686" i="13"/>
  <c r="E686" i="13"/>
  <c r="H686" i="13" s="1"/>
  <c r="I686" i="13" s="1"/>
  <c r="J686" i="13" s="1"/>
  <c r="D686" i="13"/>
  <c r="M685" i="13"/>
  <c r="L685" i="13"/>
  <c r="K685" i="13"/>
  <c r="E685" i="13"/>
  <c r="H685" i="13" s="1"/>
  <c r="I685" i="13" s="1"/>
  <c r="J685" i="13" s="1"/>
  <c r="N685" i="13" s="1"/>
  <c r="O685" i="13" s="1"/>
  <c r="D685" i="13"/>
  <c r="L684" i="13"/>
  <c r="K684" i="13"/>
  <c r="M684" i="13" s="1"/>
  <c r="I684" i="13"/>
  <c r="J684" i="13" s="1"/>
  <c r="N684" i="13" s="1"/>
  <c r="O684" i="13" s="1"/>
  <c r="E684" i="13"/>
  <c r="H684" i="13" s="1"/>
  <c r="D684" i="13"/>
  <c r="L683" i="13"/>
  <c r="K683" i="13"/>
  <c r="M683" i="13" s="1"/>
  <c r="J683" i="13"/>
  <c r="N683" i="13" s="1"/>
  <c r="O683" i="13" s="1"/>
  <c r="D683" i="13"/>
  <c r="E683" i="13" s="1"/>
  <c r="H683" i="13" s="1"/>
  <c r="I683" i="13" s="1"/>
  <c r="L682" i="13"/>
  <c r="K682" i="13"/>
  <c r="M682" i="13" s="1"/>
  <c r="H682" i="13"/>
  <c r="I682" i="13" s="1"/>
  <c r="J682" i="13" s="1"/>
  <c r="N682" i="13" s="1"/>
  <c r="O682" i="13" s="1"/>
  <c r="E682" i="13"/>
  <c r="D682" i="13"/>
  <c r="N681" i="13"/>
  <c r="O681" i="13" s="1"/>
  <c r="M681" i="13"/>
  <c r="L681" i="13"/>
  <c r="K681" i="13"/>
  <c r="I681" i="13"/>
  <c r="J681" i="13" s="1"/>
  <c r="D681" i="13"/>
  <c r="E681" i="13" s="1"/>
  <c r="H681" i="13" s="1"/>
  <c r="L680" i="13"/>
  <c r="K680" i="13"/>
  <c r="M680" i="13" s="1"/>
  <c r="E680" i="13"/>
  <c r="H680" i="13" s="1"/>
  <c r="I680" i="13" s="1"/>
  <c r="J680" i="13" s="1"/>
  <c r="N680" i="13" s="1"/>
  <c r="O680" i="13" s="1"/>
  <c r="D680" i="13"/>
  <c r="M679" i="13"/>
  <c r="L679" i="13"/>
  <c r="K679" i="13"/>
  <c r="D679" i="13"/>
  <c r="L678" i="13"/>
  <c r="M678" i="13" s="1"/>
  <c r="K678" i="13"/>
  <c r="D678" i="13"/>
  <c r="M677" i="13"/>
  <c r="L677" i="13"/>
  <c r="K677" i="13"/>
  <c r="D677" i="13"/>
  <c r="E676" i="13" s="1"/>
  <c r="H676" i="13" s="1"/>
  <c r="I676" i="13" s="1"/>
  <c r="J676" i="13" s="1"/>
  <c r="N676" i="13" s="1"/>
  <c r="O676" i="13" s="1"/>
  <c r="L676" i="13"/>
  <c r="K676" i="13"/>
  <c r="M676" i="13" s="1"/>
  <c r="D676" i="13"/>
  <c r="L675" i="13"/>
  <c r="K675" i="13"/>
  <c r="M675" i="13" s="1"/>
  <c r="N675" i="13" s="1"/>
  <c r="O675" i="13" s="1"/>
  <c r="D675" i="13"/>
  <c r="E675" i="13" s="1"/>
  <c r="H675" i="13" s="1"/>
  <c r="I675" i="13" s="1"/>
  <c r="J675" i="13" s="1"/>
  <c r="M674" i="13"/>
  <c r="L674" i="13"/>
  <c r="K674" i="13"/>
  <c r="D674" i="13"/>
  <c r="M673" i="13"/>
  <c r="L673" i="13"/>
  <c r="K673" i="13"/>
  <c r="D673" i="13"/>
  <c r="E672" i="13" s="1"/>
  <c r="H672" i="13" s="1"/>
  <c r="I672" i="13" s="1"/>
  <c r="J672" i="13" s="1"/>
  <c r="L672" i="13"/>
  <c r="K672" i="13"/>
  <c r="D672" i="13"/>
  <c r="M671" i="13"/>
  <c r="L671" i="13"/>
  <c r="K671" i="13"/>
  <c r="I671" i="13"/>
  <c r="J671" i="13" s="1"/>
  <c r="D671" i="13"/>
  <c r="E671" i="13" s="1"/>
  <c r="H671" i="13" s="1"/>
  <c r="L670" i="13"/>
  <c r="K670" i="13"/>
  <c r="E670" i="13"/>
  <c r="H670" i="13" s="1"/>
  <c r="I670" i="13" s="1"/>
  <c r="J670" i="13" s="1"/>
  <c r="D670" i="13"/>
  <c r="M669" i="13"/>
  <c r="L669" i="13"/>
  <c r="K669" i="13"/>
  <c r="E669" i="13"/>
  <c r="H669" i="13" s="1"/>
  <c r="I669" i="13" s="1"/>
  <c r="J669" i="13" s="1"/>
  <c r="N669" i="13" s="1"/>
  <c r="O669" i="13" s="1"/>
  <c r="D669" i="13"/>
  <c r="L668" i="13"/>
  <c r="K668" i="13"/>
  <c r="M668" i="13" s="1"/>
  <c r="I668" i="13"/>
  <c r="J668" i="13" s="1"/>
  <c r="E668" i="13"/>
  <c r="H668" i="13" s="1"/>
  <c r="D668" i="13"/>
  <c r="L667" i="13"/>
  <c r="K667" i="13"/>
  <c r="M667" i="13" s="1"/>
  <c r="J667" i="13"/>
  <c r="N667" i="13" s="1"/>
  <c r="O667" i="13" s="1"/>
  <c r="D667" i="13"/>
  <c r="E667" i="13" s="1"/>
  <c r="H667" i="13" s="1"/>
  <c r="I667" i="13" s="1"/>
  <c r="O666" i="13"/>
  <c r="L666" i="13"/>
  <c r="K666" i="13"/>
  <c r="M666" i="13" s="1"/>
  <c r="H666" i="13"/>
  <c r="I666" i="13" s="1"/>
  <c r="J666" i="13" s="1"/>
  <c r="N666" i="13" s="1"/>
  <c r="E666" i="13"/>
  <c r="D666" i="13"/>
  <c r="M665" i="13"/>
  <c r="L665" i="13"/>
  <c r="K665" i="13"/>
  <c r="D665" i="13"/>
  <c r="E665" i="13" s="1"/>
  <c r="H665" i="13" s="1"/>
  <c r="I665" i="13" s="1"/>
  <c r="J665" i="13" s="1"/>
  <c r="N665" i="13" s="1"/>
  <c r="O665" i="13" s="1"/>
  <c r="L664" i="13"/>
  <c r="K664" i="13"/>
  <c r="E664" i="13"/>
  <c r="H664" i="13" s="1"/>
  <c r="I664" i="13" s="1"/>
  <c r="J664" i="13" s="1"/>
  <c r="D664" i="13"/>
  <c r="M663" i="13"/>
  <c r="L663" i="13"/>
  <c r="K663" i="13"/>
  <c r="D663" i="13"/>
  <c r="L662" i="13"/>
  <c r="M662" i="13" s="1"/>
  <c r="K662" i="13"/>
  <c r="D662" i="13"/>
  <c r="M661" i="13"/>
  <c r="L661" i="13"/>
  <c r="K661" i="13"/>
  <c r="D661" i="13"/>
  <c r="L660" i="13"/>
  <c r="K660" i="13"/>
  <c r="M660" i="13" s="1"/>
  <c r="D660" i="13"/>
  <c r="L659" i="13"/>
  <c r="K659" i="13"/>
  <c r="M659" i="13" s="1"/>
  <c r="N659" i="13" s="1"/>
  <c r="O659" i="13" s="1"/>
  <c r="D659" i="13"/>
  <c r="E659" i="13" s="1"/>
  <c r="H659" i="13" s="1"/>
  <c r="I659" i="13" s="1"/>
  <c r="J659" i="13" s="1"/>
  <c r="M658" i="13"/>
  <c r="L658" i="13"/>
  <c r="K658" i="13"/>
  <c r="D658" i="13"/>
  <c r="M657" i="13"/>
  <c r="L657" i="13"/>
  <c r="K657" i="13"/>
  <c r="D657" i="13"/>
  <c r="E656" i="13" s="1"/>
  <c r="H656" i="13" s="1"/>
  <c r="I656" i="13" s="1"/>
  <c r="J656" i="13" s="1"/>
  <c r="L656" i="13"/>
  <c r="K656" i="13"/>
  <c r="D656" i="13"/>
  <c r="M655" i="13"/>
  <c r="L655" i="13"/>
  <c r="K655" i="13"/>
  <c r="I655" i="13"/>
  <c r="J655" i="13" s="1"/>
  <c r="D655" i="13"/>
  <c r="E655" i="13" s="1"/>
  <c r="H655" i="13" s="1"/>
  <c r="L654" i="13"/>
  <c r="K654" i="13"/>
  <c r="E654" i="13"/>
  <c r="H654" i="13" s="1"/>
  <c r="I654" i="13" s="1"/>
  <c r="J654" i="13" s="1"/>
  <c r="D654" i="13"/>
  <c r="L653" i="13"/>
  <c r="K653" i="13"/>
  <c r="M653" i="13" s="1"/>
  <c r="E653" i="13"/>
  <c r="H653" i="13" s="1"/>
  <c r="I653" i="13" s="1"/>
  <c r="J653" i="13" s="1"/>
  <c r="N653" i="13" s="1"/>
  <c r="O653" i="13" s="1"/>
  <c r="D653" i="13"/>
  <c r="L652" i="13"/>
  <c r="K652" i="13"/>
  <c r="E652" i="13"/>
  <c r="H652" i="13" s="1"/>
  <c r="I652" i="13" s="1"/>
  <c r="J652" i="13" s="1"/>
  <c r="D652" i="13"/>
  <c r="M651" i="13"/>
  <c r="L651" i="13"/>
  <c r="K651" i="13"/>
  <c r="I651" i="13"/>
  <c r="J651" i="13" s="1"/>
  <c r="N651" i="13" s="1"/>
  <c r="O651" i="13" s="1"/>
  <c r="E651" i="13"/>
  <c r="H651" i="13" s="1"/>
  <c r="D651" i="13"/>
  <c r="L650" i="13"/>
  <c r="M650" i="13" s="1"/>
  <c r="K650" i="13"/>
  <c r="H650" i="13"/>
  <c r="I650" i="13" s="1"/>
  <c r="J650" i="13" s="1"/>
  <c r="E650" i="13"/>
  <c r="D650" i="13"/>
  <c r="M649" i="13"/>
  <c r="L649" i="13"/>
  <c r="K649" i="13"/>
  <c r="D649" i="13"/>
  <c r="E649" i="13" s="1"/>
  <c r="H649" i="13" s="1"/>
  <c r="I649" i="13" s="1"/>
  <c r="J649" i="13" s="1"/>
  <c r="N649" i="13" s="1"/>
  <c r="O649" i="13" s="1"/>
  <c r="M648" i="13"/>
  <c r="L648" i="13"/>
  <c r="K648" i="13"/>
  <c r="D648" i="13"/>
  <c r="L647" i="13"/>
  <c r="K647" i="13"/>
  <c r="M647" i="13" s="1"/>
  <c r="D647" i="13"/>
  <c r="L646" i="13"/>
  <c r="K646" i="13"/>
  <c r="M646" i="13" s="1"/>
  <c r="D646" i="13"/>
  <c r="M645" i="13"/>
  <c r="L645" i="13"/>
  <c r="K645" i="13"/>
  <c r="E645" i="13"/>
  <c r="H645" i="13" s="1"/>
  <c r="I645" i="13" s="1"/>
  <c r="J645" i="13" s="1"/>
  <c r="N645" i="13" s="1"/>
  <c r="O645" i="13" s="1"/>
  <c r="D645" i="13"/>
  <c r="L644" i="13"/>
  <c r="M644" i="13" s="1"/>
  <c r="K644" i="13"/>
  <c r="E644" i="13"/>
  <c r="H644" i="13" s="1"/>
  <c r="I644" i="13" s="1"/>
  <c r="J644" i="13" s="1"/>
  <c r="N644" i="13" s="1"/>
  <c r="O644" i="13" s="1"/>
  <c r="D644" i="13"/>
  <c r="M643" i="13"/>
  <c r="L643" i="13"/>
  <c r="K643" i="13"/>
  <c r="I643" i="13"/>
  <c r="J643" i="13" s="1"/>
  <c r="E643" i="13"/>
  <c r="H643" i="13" s="1"/>
  <c r="D643" i="13"/>
  <c r="M642" i="13"/>
  <c r="L642" i="13"/>
  <c r="K642" i="13"/>
  <c r="E642" i="13"/>
  <c r="H642" i="13" s="1"/>
  <c r="I642" i="13" s="1"/>
  <c r="J642" i="13" s="1"/>
  <c r="N642" i="13" s="1"/>
  <c r="O642" i="13" s="1"/>
  <c r="D642" i="13"/>
  <c r="M641" i="13"/>
  <c r="L641" i="13"/>
  <c r="K641" i="13"/>
  <c r="D641" i="13"/>
  <c r="E641" i="13" s="1"/>
  <c r="H641" i="13" s="1"/>
  <c r="I641" i="13" s="1"/>
  <c r="J641" i="13" s="1"/>
  <c r="N641" i="13" s="1"/>
  <c r="O641" i="13" s="1"/>
  <c r="M640" i="13"/>
  <c r="L640" i="13"/>
  <c r="K640" i="13"/>
  <c r="D640" i="13"/>
  <c r="L639" i="13"/>
  <c r="K639" i="13"/>
  <c r="M639" i="13" s="1"/>
  <c r="D639" i="13"/>
  <c r="L638" i="13"/>
  <c r="K638" i="13"/>
  <c r="M638" i="13" s="1"/>
  <c r="D638" i="13"/>
  <c r="L637" i="13"/>
  <c r="K637" i="13"/>
  <c r="M637" i="13" s="1"/>
  <c r="E637" i="13"/>
  <c r="H637" i="13" s="1"/>
  <c r="I637" i="13" s="1"/>
  <c r="J637" i="13" s="1"/>
  <c r="D637" i="13"/>
  <c r="L636" i="13"/>
  <c r="K636" i="13"/>
  <c r="E636" i="13"/>
  <c r="H636" i="13" s="1"/>
  <c r="I636" i="13" s="1"/>
  <c r="J636" i="13" s="1"/>
  <c r="D636" i="13"/>
  <c r="M635" i="13"/>
  <c r="L635" i="13"/>
  <c r="K635" i="13"/>
  <c r="I635" i="13"/>
  <c r="J635" i="13" s="1"/>
  <c r="E635" i="13"/>
  <c r="H635" i="13" s="1"/>
  <c r="D635" i="13"/>
  <c r="L634" i="13"/>
  <c r="M634" i="13" s="1"/>
  <c r="K634" i="13"/>
  <c r="H634" i="13"/>
  <c r="I634" i="13" s="1"/>
  <c r="J634" i="13" s="1"/>
  <c r="E634" i="13"/>
  <c r="D634" i="13"/>
  <c r="N633" i="13"/>
  <c r="O633" i="13" s="1"/>
  <c r="M633" i="13"/>
  <c r="L633" i="13"/>
  <c r="K633" i="13"/>
  <c r="J633" i="13"/>
  <c r="D633" i="13"/>
  <c r="E633" i="13" s="1"/>
  <c r="H633" i="13" s="1"/>
  <c r="I633" i="13" s="1"/>
  <c r="M632" i="13"/>
  <c r="L632" i="13"/>
  <c r="K632" i="13"/>
  <c r="D632" i="13"/>
  <c r="L631" i="13"/>
  <c r="K631" i="13"/>
  <c r="M631" i="13" s="1"/>
  <c r="D631" i="13"/>
  <c r="L630" i="13"/>
  <c r="K630" i="13"/>
  <c r="M630" i="13" s="1"/>
  <c r="D630" i="13"/>
  <c r="M629" i="13"/>
  <c r="L629" i="13"/>
  <c r="K629" i="13"/>
  <c r="E629" i="13"/>
  <c r="H629" i="13" s="1"/>
  <c r="I629" i="13" s="1"/>
  <c r="J629" i="13" s="1"/>
  <c r="N629" i="13" s="1"/>
  <c r="O629" i="13" s="1"/>
  <c r="D629" i="13"/>
  <c r="L628" i="13"/>
  <c r="M628" i="13" s="1"/>
  <c r="K628" i="13"/>
  <c r="E628" i="13"/>
  <c r="H628" i="13" s="1"/>
  <c r="I628" i="13" s="1"/>
  <c r="J628" i="13" s="1"/>
  <c r="N628" i="13" s="1"/>
  <c r="O628" i="13" s="1"/>
  <c r="D628" i="13"/>
  <c r="M627" i="13"/>
  <c r="L627" i="13"/>
  <c r="K627" i="13"/>
  <c r="E627" i="13"/>
  <c r="H627" i="13" s="1"/>
  <c r="I627" i="13" s="1"/>
  <c r="J627" i="13" s="1"/>
  <c r="N627" i="13" s="1"/>
  <c r="O627" i="13" s="1"/>
  <c r="D627" i="13"/>
  <c r="M626" i="13"/>
  <c r="L626" i="13"/>
  <c r="K626" i="13"/>
  <c r="D626" i="13"/>
  <c r="L625" i="13"/>
  <c r="K625" i="13"/>
  <c r="M625" i="13" s="1"/>
  <c r="D625" i="13"/>
  <c r="M624" i="13"/>
  <c r="L624" i="13"/>
  <c r="K624" i="13"/>
  <c r="D624" i="13"/>
  <c r="E624" i="13" s="1"/>
  <c r="H624" i="13" s="1"/>
  <c r="I624" i="13" s="1"/>
  <c r="J624" i="13" s="1"/>
  <c r="N624" i="13" s="1"/>
  <c r="O624" i="13" s="1"/>
  <c r="L623" i="13"/>
  <c r="M623" i="13" s="1"/>
  <c r="K623" i="13"/>
  <c r="E623" i="13"/>
  <c r="H623" i="13" s="1"/>
  <c r="I623" i="13" s="1"/>
  <c r="J623" i="13" s="1"/>
  <c r="N623" i="13" s="1"/>
  <c r="O623" i="13" s="1"/>
  <c r="D623" i="13"/>
  <c r="M622" i="13"/>
  <c r="L622" i="13"/>
  <c r="K622" i="13"/>
  <c r="E622" i="13"/>
  <c r="H622" i="13" s="1"/>
  <c r="I622" i="13" s="1"/>
  <c r="J622" i="13" s="1"/>
  <c r="N622" i="13" s="1"/>
  <c r="O622" i="13" s="1"/>
  <c r="D622" i="13"/>
  <c r="E621" i="13" s="1"/>
  <c r="H621" i="13" s="1"/>
  <c r="L621" i="13"/>
  <c r="K621" i="13"/>
  <c r="I621" i="13"/>
  <c r="J621" i="13" s="1"/>
  <c r="D621" i="13"/>
  <c r="M620" i="13"/>
  <c r="L620" i="13"/>
  <c r="K620" i="13"/>
  <c r="D620" i="13"/>
  <c r="E620" i="13" s="1"/>
  <c r="H620" i="13" s="1"/>
  <c r="I620" i="13" s="1"/>
  <c r="J620" i="13" s="1"/>
  <c r="L619" i="13"/>
  <c r="K619" i="13"/>
  <c r="M619" i="13" s="1"/>
  <c r="D619" i="13"/>
  <c r="M618" i="13"/>
  <c r="L618" i="13"/>
  <c r="K618" i="13"/>
  <c r="J618" i="13"/>
  <c r="N618" i="13" s="1"/>
  <c r="O618" i="13" s="1"/>
  <c r="D618" i="13"/>
  <c r="E618" i="13" s="1"/>
  <c r="H618" i="13" s="1"/>
  <c r="I618" i="13" s="1"/>
  <c r="L617" i="13"/>
  <c r="K617" i="13"/>
  <c r="E617" i="13"/>
  <c r="H617" i="13" s="1"/>
  <c r="I617" i="13" s="1"/>
  <c r="J617" i="13" s="1"/>
  <c r="D617" i="13"/>
  <c r="M616" i="13"/>
  <c r="L616" i="13"/>
  <c r="K616" i="13"/>
  <c r="D616" i="13"/>
  <c r="L615" i="13"/>
  <c r="K615" i="13"/>
  <c r="M615" i="13" s="1"/>
  <c r="D615" i="13"/>
  <c r="M614" i="13"/>
  <c r="L614" i="13"/>
  <c r="K614" i="13"/>
  <c r="I614" i="13"/>
  <c r="J614" i="13" s="1"/>
  <c r="N614" i="13" s="1"/>
  <c r="O614" i="13" s="1"/>
  <c r="E614" i="13"/>
  <c r="H614" i="13" s="1"/>
  <c r="D614" i="13"/>
  <c r="L613" i="13"/>
  <c r="K613" i="13"/>
  <c r="M613" i="13" s="1"/>
  <c r="E613" i="13"/>
  <c r="H613" i="13" s="1"/>
  <c r="I613" i="13" s="1"/>
  <c r="J613" i="13" s="1"/>
  <c r="D613" i="13"/>
  <c r="L612" i="13"/>
  <c r="K612" i="13"/>
  <c r="M612" i="13" s="1"/>
  <c r="D612" i="13"/>
  <c r="E612" i="13" s="1"/>
  <c r="H612" i="13" s="1"/>
  <c r="I612" i="13" s="1"/>
  <c r="J612" i="13" s="1"/>
  <c r="N612" i="13" s="1"/>
  <c r="O612" i="13" s="1"/>
  <c r="M611" i="13"/>
  <c r="L611" i="13"/>
  <c r="K611" i="13"/>
  <c r="E611" i="13"/>
  <c r="H611" i="13" s="1"/>
  <c r="I611" i="13" s="1"/>
  <c r="J611" i="13" s="1"/>
  <c r="D611" i="13"/>
  <c r="M610" i="13"/>
  <c r="L610" i="13"/>
  <c r="K610" i="13"/>
  <c r="D610" i="13"/>
  <c r="E610" i="13" s="1"/>
  <c r="H610" i="13" s="1"/>
  <c r="I610" i="13" s="1"/>
  <c r="J610" i="13" s="1"/>
  <c r="N610" i="13" s="1"/>
  <c r="O610" i="13" s="1"/>
  <c r="L609" i="13"/>
  <c r="K609" i="13"/>
  <c r="E609" i="13"/>
  <c r="H609" i="13" s="1"/>
  <c r="I609" i="13" s="1"/>
  <c r="J609" i="13" s="1"/>
  <c r="D609" i="13"/>
  <c r="M608" i="13"/>
  <c r="L608" i="13"/>
  <c r="K608" i="13"/>
  <c r="D608" i="13"/>
  <c r="L607" i="13"/>
  <c r="K607" i="13"/>
  <c r="M607" i="13" s="1"/>
  <c r="D607" i="13"/>
  <c r="M606" i="13"/>
  <c r="L606" i="13"/>
  <c r="K606" i="13"/>
  <c r="I606" i="13"/>
  <c r="J606" i="13" s="1"/>
  <c r="N606" i="13" s="1"/>
  <c r="O606" i="13" s="1"/>
  <c r="E606" i="13"/>
  <c r="H606" i="13" s="1"/>
  <c r="D606" i="13"/>
  <c r="L605" i="13"/>
  <c r="K605" i="13"/>
  <c r="E605" i="13"/>
  <c r="H605" i="13" s="1"/>
  <c r="I605" i="13" s="1"/>
  <c r="J605" i="13" s="1"/>
  <c r="D605" i="13"/>
  <c r="M604" i="13"/>
  <c r="L604" i="13"/>
  <c r="K604" i="13"/>
  <c r="D604" i="13"/>
  <c r="L603" i="13"/>
  <c r="K603" i="13"/>
  <c r="M603" i="13" s="1"/>
  <c r="D603" i="13"/>
  <c r="M602" i="13"/>
  <c r="L602" i="13"/>
  <c r="K602" i="13"/>
  <c r="D602" i="13"/>
  <c r="L601" i="13"/>
  <c r="M601" i="13" s="1"/>
  <c r="K601" i="13"/>
  <c r="D601" i="13"/>
  <c r="M600" i="13"/>
  <c r="L600" i="13"/>
  <c r="K600" i="13"/>
  <c r="E600" i="13"/>
  <c r="H600" i="13" s="1"/>
  <c r="I600" i="13" s="1"/>
  <c r="J600" i="13" s="1"/>
  <c r="N600" i="13" s="1"/>
  <c r="O600" i="13" s="1"/>
  <c r="D600" i="13"/>
  <c r="M599" i="13"/>
  <c r="L599" i="13"/>
  <c r="K599" i="13"/>
  <c r="E599" i="13"/>
  <c r="H599" i="13" s="1"/>
  <c r="I599" i="13" s="1"/>
  <c r="J599" i="13" s="1"/>
  <c r="N599" i="13" s="1"/>
  <c r="O599" i="13" s="1"/>
  <c r="D599" i="13"/>
  <c r="L598" i="13"/>
  <c r="K598" i="13"/>
  <c r="M598" i="13" s="1"/>
  <c r="E598" i="13"/>
  <c r="H598" i="13" s="1"/>
  <c r="I598" i="13" s="1"/>
  <c r="J598" i="13" s="1"/>
  <c r="N598" i="13" s="1"/>
  <c r="O598" i="13" s="1"/>
  <c r="D598" i="13"/>
  <c r="L597" i="13"/>
  <c r="K597" i="13"/>
  <c r="M597" i="13" s="1"/>
  <c r="E597" i="13"/>
  <c r="H597" i="13" s="1"/>
  <c r="I597" i="13" s="1"/>
  <c r="J597" i="13" s="1"/>
  <c r="N597" i="13" s="1"/>
  <c r="O597" i="13" s="1"/>
  <c r="D597" i="13"/>
  <c r="L596" i="13"/>
  <c r="K596" i="13"/>
  <c r="M596" i="13" s="1"/>
  <c r="D596" i="13"/>
  <c r="L595" i="13"/>
  <c r="K595" i="13"/>
  <c r="M595" i="13" s="1"/>
  <c r="D595" i="13"/>
  <c r="L594" i="13"/>
  <c r="K594" i="13"/>
  <c r="M594" i="13" s="1"/>
  <c r="E594" i="13"/>
  <c r="H594" i="13" s="1"/>
  <c r="I594" i="13" s="1"/>
  <c r="J594" i="13" s="1"/>
  <c r="N594" i="13" s="1"/>
  <c r="O594" i="13" s="1"/>
  <c r="D594" i="13"/>
  <c r="L593" i="13"/>
  <c r="K593" i="13"/>
  <c r="M593" i="13" s="1"/>
  <c r="I593" i="13"/>
  <c r="J593" i="13" s="1"/>
  <c r="N593" i="13" s="1"/>
  <c r="O593" i="13" s="1"/>
  <c r="E593" i="13"/>
  <c r="H593" i="13" s="1"/>
  <c r="D593" i="13"/>
  <c r="L592" i="13"/>
  <c r="K592" i="13"/>
  <c r="M592" i="13" s="1"/>
  <c r="D592" i="13"/>
  <c r="L591" i="13"/>
  <c r="K591" i="13"/>
  <c r="M591" i="13" s="1"/>
  <c r="D591" i="13"/>
  <c r="L590" i="13"/>
  <c r="K590" i="13"/>
  <c r="M590" i="13" s="1"/>
  <c r="D590" i="13"/>
  <c r="E590" i="13" s="1"/>
  <c r="H590" i="13" s="1"/>
  <c r="I590" i="13" s="1"/>
  <c r="J590" i="13" s="1"/>
  <c r="N590" i="13" s="1"/>
  <c r="O590" i="13" s="1"/>
  <c r="M589" i="13"/>
  <c r="L589" i="13"/>
  <c r="K589" i="13"/>
  <c r="D589" i="13"/>
  <c r="N588" i="13"/>
  <c r="O588" i="13" s="1"/>
  <c r="L588" i="13"/>
  <c r="M588" i="13" s="1"/>
  <c r="K588" i="13"/>
  <c r="J588" i="13"/>
  <c r="D588" i="13"/>
  <c r="E588" i="13" s="1"/>
  <c r="H588" i="13" s="1"/>
  <c r="I588" i="13" s="1"/>
  <c r="L587" i="13"/>
  <c r="K587" i="13"/>
  <c r="M587" i="13" s="1"/>
  <c r="E587" i="13"/>
  <c r="H587" i="13" s="1"/>
  <c r="I587" i="13" s="1"/>
  <c r="J587" i="13" s="1"/>
  <c r="D587" i="13"/>
  <c r="L586" i="13"/>
  <c r="M586" i="13" s="1"/>
  <c r="K586" i="13"/>
  <c r="H586" i="13"/>
  <c r="I586" i="13" s="1"/>
  <c r="J586" i="13" s="1"/>
  <c r="D586" i="13"/>
  <c r="E586" i="13" s="1"/>
  <c r="M585" i="13"/>
  <c r="L585" i="13"/>
  <c r="K585" i="13"/>
  <c r="H585" i="13"/>
  <c r="I585" i="13" s="1"/>
  <c r="J585" i="13" s="1"/>
  <c r="E585" i="13"/>
  <c r="D585" i="13"/>
  <c r="L584" i="13"/>
  <c r="M584" i="13" s="1"/>
  <c r="K584" i="13"/>
  <c r="J584" i="13"/>
  <c r="N584" i="13" s="1"/>
  <c r="O584" i="13" s="1"/>
  <c r="D584" i="13"/>
  <c r="E584" i="13" s="1"/>
  <c r="H584" i="13" s="1"/>
  <c r="I584" i="13" s="1"/>
  <c r="L583" i="13"/>
  <c r="K583" i="13"/>
  <c r="M583" i="13" s="1"/>
  <c r="E583" i="13"/>
  <c r="H583" i="13" s="1"/>
  <c r="I583" i="13" s="1"/>
  <c r="J583" i="13" s="1"/>
  <c r="N583" i="13" s="1"/>
  <c r="O583" i="13" s="1"/>
  <c r="D583" i="13"/>
  <c r="L582" i="13"/>
  <c r="M582" i="13" s="1"/>
  <c r="K582" i="13"/>
  <c r="H582" i="13"/>
  <c r="I582" i="13" s="1"/>
  <c r="J582" i="13" s="1"/>
  <c r="N582" i="13" s="1"/>
  <c r="O582" i="13" s="1"/>
  <c r="D582" i="13"/>
  <c r="E582" i="13" s="1"/>
  <c r="M581" i="13"/>
  <c r="L581" i="13"/>
  <c r="K581" i="13"/>
  <c r="H581" i="13"/>
  <c r="I581" i="13" s="1"/>
  <c r="J581" i="13" s="1"/>
  <c r="D581" i="13"/>
  <c r="E581" i="13" s="1"/>
  <c r="N580" i="13"/>
  <c r="O580" i="13" s="1"/>
  <c r="M580" i="13"/>
  <c r="L580" i="13"/>
  <c r="K580" i="13"/>
  <c r="D580" i="13"/>
  <c r="E580" i="13" s="1"/>
  <c r="H580" i="13" s="1"/>
  <c r="I580" i="13" s="1"/>
  <c r="J580" i="13" s="1"/>
  <c r="L579" i="13"/>
  <c r="K579" i="13"/>
  <c r="M579" i="13" s="1"/>
  <c r="E579" i="13"/>
  <c r="H579" i="13" s="1"/>
  <c r="I579" i="13" s="1"/>
  <c r="J579" i="13" s="1"/>
  <c r="N579" i="13" s="1"/>
  <c r="O579" i="13" s="1"/>
  <c r="D579" i="13"/>
  <c r="L578" i="13"/>
  <c r="M578" i="13" s="1"/>
  <c r="K578" i="13"/>
  <c r="H578" i="13"/>
  <c r="I578" i="13" s="1"/>
  <c r="J578" i="13" s="1"/>
  <c r="N578" i="13" s="1"/>
  <c r="O578" i="13" s="1"/>
  <c r="D578" i="13"/>
  <c r="E578" i="13" s="1"/>
  <c r="M577" i="13"/>
  <c r="L577" i="13"/>
  <c r="K577" i="13"/>
  <c r="H577" i="13"/>
  <c r="I577" i="13" s="1"/>
  <c r="J577" i="13" s="1"/>
  <c r="N577" i="13" s="1"/>
  <c r="O577" i="13" s="1"/>
  <c r="E577" i="13"/>
  <c r="D577" i="13"/>
  <c r="L576" i="13"/>
  <c r="M576" i="13" s="1"/>
  <c r="K576" i="13"/>
  <c r="J576" i="13"/>
  <c r="N576" i="13" s="1"/>
  <c r="O576" i="13" s="1"/>
  <c r="E576" i="13"/>
  <c r="H576" i="13" s="1"/>
  <c r="I576" i="13" s="1"/>
  <c r="D576" i="13"/>
  <c r="L575" i="13"/>
  <c r="K575" i="13"/>
  <c r="M575" i="13" s="1"/>
  <c r="H575" i="13"/>
  <c r="I575" i="13" s="1"/>
  <c r="J575" i="13" s="1"/>
  <c r="N575" i="13" s="1"/>
  <c r="O575" i="13" s="1"/>
  <c r="E575" i="13"/>
  <c r="D575" i="13"/>
  <c r="L574" i="13"/>
  <c r="M574" i="13" s="1"/>
  <c r="K574" i="13"/>
  <c r="H574" i="13"/>
  <c r="I574" i="13" s="1"/>
  <c r="J574" i="13" s="1"/>
  <c r="D574" i="13"/>
  <c r="E574" i="13" s="1"/>
  <c r="M573" i="13"/>
  <c r="L573" i="13"/>
  <c r="K573" i="13"/>
  <c r="J573" i="13"/>
  <c r="N573" i="13" s="1"/>
  <c r="O573" i="13" s="1"/>
  <c r="H573" i="13"/>
  <c r="I573" i="13" s="1"/>
  <c r="D573" i="13"/>
  <c r="E573" i="13" s="1"/>
  <c r="M572" i="13"/>
  <c r="L572" i="13"/>
  <c r="K572" i="13"/>
  <c r="E572" i="13"/>
  <c r="H572" i="13" s="1"/>
  <c r="I572" i="13" s="1"/>
  <c r="J572" i="13" s="1"/>
  <c r="N572" i="13" s="1"/>
  <c r="O572" i="13" s="1"/>
  <c r="D572" i="13"/>
  <c r="L571" i="13"/>
  <c r="K571" i="13"/>
  <c r="M571" i="13" s="1"/>
  <c r="E571" i="13"/>
  <c r="H571" i="13" s="1"/>
  <c r="I571" i="13" s="1"/>
  <c r="J571" i="13" s="1"/>
  <c r="N571" i="13" s="1"/>
  <c r="O571" i="13" s="1"/>
  <c r="D571" i="13"/>
  <c r="L570" i="13"/>
  <c r="M570" i="13" s="1"/>
  <c r="K570" i="13"/>
  <c r="H570" i="13"/>
  <c r="I570" i="13" s="1"/>
  <c r="J570" i="13" s="1"/>
  <c r="N570" i="13" s="1"/>
  <c r="O570" i="13" s="1"/>
  <c r="D570" i="13"/>
  <c r="E570" i="13" s="1"/>
  <c r="N569" i="13"/>
  <c r="O569" i="13" s="1"/>
  <c r="M569" i="13"/>
  <c r="L569" i="13"/>
  <c r="K569" i="13"/>
  <c r="J569" i="13"/>
  <c r="H569" i="13"/>
  <c r="I569" i="13" s="1"/>
  <c r="E569" i="13"/>
  <c r="D569" i="13"/>
  <c r="L568" i="13"/>
  <c r="M568" i="13" s="1"/>
  <c r="K568" i="13"/>
  <c r="D568" i="13"/>
  <c r="E568" i="13" s="1"/>
  <c r="H568" i="13" s="1"/>
  <c r="I568" i="13" s="1"/>
  <c r="J568" i="13" s="1"/>
  <c r="N568" i="13" s="1"/>
  <c r="O568" i="13" s="1"/>
  <c r="L567" i="13"/>
  <c r="K567" i="13"/>
  <c r="M567" i="13" s="1"/>
  <c r="D567" i="13"/>
  <c r="M566" i="13"/>
  <c r="L566" i="13"/>
  <c r="K566" i="13"/>
  <c r="H566" i="13"/>
  <c r="I566" i="13" s="1"/>
  <c r="J566" i="13" s="1"/>
  <c r="N566" i="13" s="1"/>
  <c r="O566" i="13" s="1"/>
  <c r="D566" i="13"/>
  <c r="E566" i="13" s="1"/>
  <c r="M565" i="13"/>
  <c r="L565" i="13"/>
  <c r="K565" i="13"/>
  <c r="D565" i="13"/>
  <c r="E565" i="13" s="1"/>
  <c r="H565" i="13" s="1"/>
  <c r="I565" i="13" s="1"/>
  <c r="J565" i="13" s="1"/>
  <c r="N565" i="13" s="1"/>
  <c r="O565" i="13" s="1"/>
  <c r="M564" i="13"/>
  <c r="L564" i="13"/>
  <c r="K564" i="13"/>
  <c r="D564" i="13"/>
  <c r="E563" i="13" s="1"/>
  <c r="H563" i="13" s="1"/>
  <c r="I563" i="13" s="1"/>
  <c r="J563" i="13" s="1"/>
  <c r="L563" i="13"/>
  <c r="K563" i="13"/>
  <c r="D563" i="13"/>
  <c r="L562" i="13"/>
  <c r="M562" i="13" s="1"/>
  <c r="K562" i="13"/>
  <c r="I562" i="13"/>
  <c r="J562" i="13" s="1"/>
  <c r="H562" i="13"/>
  <c r="D562" i="13"/>
  <c r="E562" i="13" s="1"/>
  <c r="M561" i="13"/>
  <c r="L561" i="13"/>
  <c r="K561" i="13"/>
  <c r="J561" i="13"/>
  <c r="N561" i="13" s="1"/>
  <c r="O561" i="13" s="1"/>
  <c r="H561" i="13"/>
  <c r="I561" i="13" s="1"/>
  <c r="E561" i="13"/>
  <c r="D561" i="13"/>
  <c r="L560" i="13"/>
  <c r="M560" i="13" s="1"/>
  <c r="K560" i="13"/>
  <c r="J560" i="13"/>
  <c r="N560" i="13" s="1"/>
  <c r="O560" i="13" s="1"/>
  <c r="E560" i="13"/>
  <c r="H560" i="13" s="1"/>
  <c r="I560" i="13" s="1"/>
  <c r="D560" i="13"/>
  <c r="L559" i="13"/>
  <c r="K559" i="13"/>
  <c r="E559" i="13"/>
  <c r="H559" i="13" s="1"/>
  <c r="I559" i="13" s="1"/>
  <c r="J559" i="13" s="1"/>
  <c r="D559" i="13"/>
  <c r="M558" i="13"/>
  <c r="L558" i="13"/>
  <c r="K558" i="13"/>
  <c r="I558" i="13"/>
  <c r="J558" i="13" s="1"/>
  <c r="N558" i="13" s="1"/>
  <c r="O558" i="13" s="1"/>
  <c r="H558" i="13"/>
  <c r="D558" i="13"/>
  <c r="E558" i="13" s="1"/>
  <c r="M557" i="13"/>
  <c r="L557" i="13"/>
  <c r="K557" i="13"/>
  <c r="H557" i="13"/>
  <c r="I557" i="13" s="1"/>
  <c r="J557" i="13" s="1"/>
  <c r="N557" i="13" s="1"/>
  <c r="O557" i="13" s="1"/>
  <c r="D557" i="13"/>
  <c r="E557" i="13" s="1"/>
  <c r="M556" i="13"/>
  <c r="L556" i="13"/>
  <c r="K556" i="13"/>
  <c r="E556" i="13"/>
  <c r="H556" i="13" s="1"/>
  <c r="I556" i="13" s="1"/>
  <c r="J556" i="13" s="1"/>
  <c r="N556" i="13" s="1"/>
  <c r="O556" i="13" s="1"/>
  <c r="D556" i="13"/>
  <c r="L555" i="13"/>
  <c r="K555" i="13"/>
  <c r="M555" i="13" s="1"/>
  <c r="E555" i="13"/>
  <c r="H555" i="13" s="1"/>
  <c r="I555" i="13" s="1"/>
  <c r="J555" i="13" s="1"/>
  <c r="N555" i="13" s="1"/>
  <c r="O555" i="13" s="1"/>
  <c r="D555" i="13"/>
  <c r="L554" i="13"/>
  <c r="M554" i="13" s="1"/>
  <c r="K554" i="13"/>
  <c r="H554" i="13"/>
  <c r="I554" i="13" s="1"/>
  <c r="J554" i="13" s="1"/>
  <c r="N554" i="13" s="1"/>
  <c r="O554" i="13" s="1"/>
  <c r="D554" i="13"/>
  <c r="E554" i="13" s="1"/>
  <c r="N553" i="13"/>
  <c r="O553" i="13" s="1"/>
  <c r="M553" i="13"/>
  <c r="L553" i="13"/>
  <c r="K553" i="13"/>
  <c r="J553" i="13"/>
  <c r="H553" i="13"/>
  <c r="I553" i="13" s="1"/>
  <c r="E553" i="13"/>
  <c r="D553" i="13"/>
  <c r="L552" i="13"/>
  <c r="M552" i="13" s="1"/>
  <c r="K552" i="13"/>
  <c r="D552" i="13"/>
  <c r="E552" i="13" s="1"/>
  <c r="H552" i="13" s="1"/>
  <c r="I552" i="13" s="1"/>
  <c r="J552" i="13" s="1"/>
  <c r="N552" i="13" s="1"/>
  <c r="O552" i="13" s="1"/>
  <c r="L551" i="13"/>
  <c r="K551" i="13"/>
  <c r="E551" i="13"/>
  <c r="H551" i="13" s="1"/>
  <c r="I551" i="13" s="1"/>
  <c r="J551" i="13" s="1"/>
  <c r="D551" i="13"/>
  <c r="M550" i="13"/>
  <c r="L550" i="13"/>
  <c r="K550" i="13"/>
  <c r="I550" i="13"/>
  <c r="J550" i="13" s="1"/>
  <c r="N550" i="13" s="1"/>
  <c r="O550" i="13" s="1"/>
  <c r="H550" i="13"/>
  <c r="D550" i="13"/>
  <c r="E550" i="13" s="1"/>
  <c r="M549" i="13"/>
  <c r="L549" i="13"/>
  <c r="K549" i="13"/>
  <c r="D549" i="13"/>
  <c r="E549" i="13" s="1"/>
  <c r="H549" i="13" s="1"/>
  <c r="I549" i="13" s="1"/>
  <c r="J549" i="13" s="1"/>
  <c r="N549" i="13" s="1"/>
  <c r="O549" i="13" s="1"/>
  <c r="M548" i="13"/>
  <c r="L548" i="13"/>
  <c r="K548" i="13"/>
  <c r="E548" i="13"/>
  <c r="H548" i="13" s="1"/>
  <c r="I548" i="13" s="1"/>
  <c r="J548" i="13" s="1"/>
  <c r="N548" i="13" s="1"/>
  <c r="O548" i="13" s="1"/>
  <c r="D548" i="13"/>
  <c r="E547" i="13" s="1"/>
  <c r="H547" i="13" s="1"/>
  <c r="I547" i="13" s="1"/>
  <c r="J547" i="13" s="1"/>
  <c r="N547" i="13" s="1"/>
  <c r="O547" i="13" s="1"/>
  <c r="L547" i="13"/>
  <c r="K547" i="13"/>
  <c r="M547" i="13" s="1"/>
  <c r="D547" i="13"/>
  <c r="M546" i="13"/>
  <c r="L546" i="13"/>
  <c r="K546" i="13"/>
  <c r="H546" i="13"/>
  <c r="I546" i="13" s="1"/>
  <c r="J546" i="13" s="1"/>
  <c r="D546" i="13"/>
  <c r="E546" i="13" s="1"/>
  <c r="M545" i="13"/>
  <c r="L545" i="13"/>
  <c r="K545" i="13"/>
  <c r="J545" i="13"/>
  <c r="H545" i="13"/>
  <c r="I545" i="13" s="1"/>
  <c r="E545" i="13"/>
  <c r="D545" i="13"/>
  <c r="L544" i="13"/>
  <c r="M544" i="13" s="1"/>
  <c r="K544" i="13"/>
  <c r="D544" i="13"/>
  <c r="E543" i="13" s="1"/>
  <c r="H543" i="13" s="1"/>
  <c r="I543" i="13" s="1"/>
  <c r="J543" i="13" s="1"/>
  <c r="L543" i="13"/>
  <c r="K543" i="13"/>
  <c r="M543" i="13" s="1"/>
  <c r="D543" i="13"/>
  <c r="M542" i="13"/>
  <c r="L542" i="13"/>
  <c r="K542" i="13"/>
  <c r="I542" i="13"/>
  <c r="J542" i="13" s="1"/>
  <c r="N542" i="13" s="1"/>
  <c r="O542" i="13" s="1"/>
  <c r="H542" i="13"/>
  <c r="D542" i="13"/>
  <c r="E542" i="13" s="1"/>
  <c r="M541" i="13"/>
  <c r="L541" i="13"/>
  <c r="K541" i="13"/>
  <c r="J541" i="13"/>
  <c r="N541" i="13" s="1"/>
  <c r="O541" i="13" s="1"/>
  <c r="H541" i="13"/>
  <c r="I541" i="13" s="1"/>
  <c r="D541" i="13"/>
  <c r="E541" i="13" s="1"/>
  <c r="M540" i="13"/>
  <c r="L540" i="13"/>
  <c r="K540" i="13"/>
  <c r="D540" i="13"/>
  <c r="E540" i="13" s="1"/>
  <c r="H540" i="13" s="1"/>
  <c r="I540" i="13" s="1"/>
  <c r="J540" i="13" s="1"/>
  <c r="N540" i="13" s="1"/>
  <c r="O540" i="13" s="1"/>
  <c r="L539" i="13"/>
  <c r="K539" i="13"/>
  <c r="M539" i="13" s="1"/>
  <c r="E539" i="13"/>
  <c r="H539" i="13" s="1"/>
  <c r="I539" i="13" s="1"/>
  <c r="J539" i="13" s="1"/>
  <c r="N539" i="13" s="1"/>
  <c r="O539" i="13" s="1"/>
  <c r="D539" i="13"/>
  <c r="L538" i="13"/>
  <c r="M538" i="13" s="1"/>
  <c r="K538" i="13"/>
  <c r="J538" i="13"/>
  <c r="I538" i="13"/>
  <c r="H538" i="13"/>
  <c r="D538" i="13"/>
  <c r="E538" i="13" s="1"/>
  <c r="L537" i="13"/>
  <c r="K537" i="13"/>
  <c r="M537" i="13" s="1"/>
  <c r="J537" i="13"/>
  <c r="N537" i="13" s="1"/>
  <c r="O537" i="13" s="1"/>
  <c r="H537" i="13"/>
  <c r="I537" i="13" s="1"/>
  <c r="E537" i="13"/>
  <c r="D537" i="13"/>
  <c r="L536" i="13"/>
  <c r="M536" i="13" s="1"/>
  <c r="K536" i="13"/>
  <c r="J536" i="13"/>
  <c r="N536" i="13" s="1"/>
  <c r="O536" i="13" s="1"/>
  <c r="E536" i="13"/>
  <c r="H536" i="13" s="1"/>
  <c r="I536" i="13" s="1"/>
  <c r="D536" i="13"/>
  <c r="L535" i="13"/>
  <c r="K535" i="13"/>
  <c r="H535" i="13"/>
  <c r="I535" i="13" s="1"/>
  <c r="J535" i="13" s="1"/>
  <c r="E535" i="13"/>
  <c r="D535" i="13"/>
  <c r="L534" i="13"/>
  <c r="M534" i="13" s="1"/>
  <c r="K534" i="13"/>
  <c r="H534" i="13"/>
  <c r="I534" i="13" s="1"/>
  <c r="J534" i="13" s="1"/>
  <c r="N534" i="13" s="1"/>
  <c r="O534" i="13" s="1"/>
  <c r="D534" i="13"/>
  <c r="E534" i="13" s="1"/>
  <c r="M533" i="13"/>
  <c r="L533" i="13"/>
  <c r="K533" i="13"/>
  <c r="H533" i="13"/>
  <c r="I533" i="13" s="1"/>
  <c r="J533" i="13" s="1"/>
  <c r="N533" i="13" s="1"/>
  <c r="O533" i="13" s="1"/>
  <c r="D533" i="13"/>
  <c r="E533" i="13" s="1"/>
  <c r="M532" i="13"/>
  <c r="L532" i="13"/>
  <c r="K532" i="13"/>
  <c r="D532" i="13"/>
  <c r="E531" i="13" s="1"/>
  <c r="H531" i="13" s="1"/>
  <c r="L531" i="13"/>
  <c r="K531" i="13"/>
  <c r="I531" i="13"/>
  <c r="J531" i="13" s="1"/>
  <c r="D531" i="13"/>
  <c r="L530" i="13"/>
  <c r="M530" i="13" s="1"/>
  <c r="K530" i="13"/>
  <c r="I530" i="13"/>
  <c r="J530" i="13" s="1"/>
  <c r="H530" i="13"/>
  <c r="D530" i="13"/>
  <c r="E530" i="13" s="1"/>
  <c r="M529" i="13"/>
  <c r="L529" i="13"/>
  <c r="K529" i="13"/>
  <c r="H529" i="13"/>
  <c r="I529" i="13" s="1"/>
  <c r="J529" i="13" s="1"/>
  <c r="N529" i="13" s="1"/>
  <c r="O529" i="13" s="1"/>
  <c r="E529" i="13"/>
  <c r="D529" i="13"/>
  <c r="L528" i="13"/>
  <c r="M528" i="13" s="1"/>
  <c r="K528" i="13"/>
  <c r="E528" i="13"/>
  <c r="H528" i="13" s="1"/>
  <c r="I528" i="13" s="1"/>
  <c r="J528" i="13" s="1"/>
  <c r="N528" i="13" s="1"/>
  <c r="O528" i="13" s="1"/>
  <c r="D528" i="13"/>
  <c r="E527" i="13" s="1"/>
  <c r="H527" i="13" s="1"/>
  <c r="I527" i="13" s="1"/>
  <c r="J527" i="13" s="1"/>
  <c r="L527" i="13"/>
  <c r="K527" i="13"/>
  <c r="D527" i="13"/>
  <c r="M526" i="13"/>
  <c r="L526" i="13"/>
  <c r="K526" i="13"/>
  <c r="H526" i="13"/>
  <c r="I526" i="13" s="1"/>
  <c r="J526" i="13" s="1"/>
  <c r="N526" i="13" s="1"/>
  <c r="O526" i="13" s="1"/>
  <c r="D526" i="13"/>
  <c r="E526" i="13" s="1"/>
  <c r="N525" i="13"/>
  <c r="O525" i="13" s="1"/>
  <c r="M525" i="13"/>
  <c r="L525" i="13"/>
  <c r="K525" i="13"/>
  <c r="H525" i="13"/>
  <c r="I525" i="13" s="1"/>
  <c r="J525" i="13" s="1"/>
  <c r="E525" i="13"/>
  <c r="D525" i="13"/>
  <c r="M524" i="13"/>
  <c r="L524" i="13"/>
  <c r="K524" i="13"/>
  <c r="E524" i="13"/>
  <c r="H524" i="13" s="1"/>
  <c r="I524" i="13" s="1"/>
  <c r="J524" i="13" s="1"/>
  <c r="N524" i="13" s="1"/>
  <c r="O524" i="13" s="1"/>
  <c r="D524" i="13"/>
  <c r="L523" i="13"/>
  <c r="K523" i="13"/>
  <c r="E523" i="13"/>
  <c r="H523" i="13" s="1"/>
  <c r="I523" i="13" s="1"/>
  <c r="J523" i="13" s="1"/>
  <c r="D523" i="13"/>
  <c r="L522" i="13"/>
  <c r="K522" i="13"/>
  <c r="M522" i="13" s="1"/>
  <c r="D522" i="13"/>
  <c r="L521" i="13"/>
  <c r="K521" i="13"/>
  <c r="M521" i="13" s="1"/>
  <c r="D521" i="13"/>
  <c r="L520" i="13"/>
  <c r="M520" i="13" s="1"/>
  <c r="K520" i="13"/>
  <c r="E520" i="13"/>
  <c r="H520" i="13" s="1"/>
  <c r="I520" i="13" s="1"/>
  <c r="J520" i="13" s="1"/>
  <c r="N520" i="13" s="1"/>
  <c r="O520" i="13" s="1"/>
  <c r="D520" i="13"/>
  <c r="L519" i="13"/>
  <c r="K519" i="13"/>
  <c r="M519" i="13" s="1"/>
  <c r="E519" i="13"/>
  <c r="H519" i="13" s="1"/>
  <c r="I519" i="13" s="1"/>
  <c r="J519" i="13" s="1"/>
  <c r="N519" i="13" s="1"/>
  <c r="O519" i="13" s="1"/>
  <c r="D519" i="13"/>
  <c r="L518" i="13"/>
  <c r="K518" i="13"/>
  <c r="M518" i="13" s="1"/>
  <c r="D518" i="13"/>
  <c r="L517" i="13"/>
  <c r="M517" i="13" s="1"/>
  <c r="K517" i="13"/>
  <c r="D517" i="13"/>
  <c r="M516" i="13"/>
  <c r="L516" i="13"/>
  <c r="K516" i="13"/>
  <c r="I516" i="13"/>
  <c r="J516" i="13" s="1"/>
  <c r="N516" i="13" s="1"/>
  <c r="O516" i="13" s="1"/>
  <c r="D516" i="13"/>
  <c r="E516" i="13" s="1"/>
  <c r="H516" i="13" s="1"/>
  <c r="L515" i="13"/>
  <c r="K515" i="13"/>
  <c r="I515" i="13"/>
  <c r="J515" i="13" s="1"/>
  <c r="D515" i="13"/>
  <c r="E515" i="13" s="1"/>
  <c r="H515" i="13" s="1"/>
  <c r="L514" i="13"/>
  <c r="M514" i="13" s="1"/>
  <c r="K514" i="13"/>
  <c r="D514" i="13"/>
  <c r="L513" i="13"/>
  <c r="M513" i="13" s="1"/>
  <c r="K513" i="13"/>
  <c r="H513" i="13"/>
  <c r="I513" i="13" s="1"/>
  <c r="J513" i="13" s="1"/>
  <c r="N513" i="13" s="1"/>
  <c r="O513" i="13" s="1"/>
  <c r="E513" i="13"/>
  <c r="D513" i="13"/>
  <c r="M512" i="13"/>
  <c r="L512" i="13"/>
  <c r="K512" i="13"/>
  <c r="D512" i="13"/>
  <c r="E512" i="13" s="1"/>
  <c r="H512" i="13" s="1"/>
  <c r="I512" i="13" s="1"/>
  <c r="J512" i="13" s="1"/>
  <c r="N512" i="13" s="1"/>
  <c r="O512" i="13" s="1"/>
  <c r="L511" i="13"/>
  <c r="K511" i="13"/>
  <c r="D511" i="13"/>
  <c r="E511" i="13" s="1"/>
  <c r="H511" i="13" s="1"/>
  <c r="I511" i="13" s="1"/>
  <c r="J511" i="13" s="1"/>
  <c r="M510" i="13"/>
  <c r="L510" i="13"/>
  <c r="K510" i="13"/>
  <c r="D510" i="13"/>
  <c r="M509" i="13"/>
  <c r="L509" i="13"/>
  <c r="K509" i="13"/>
  <c r="D509" i="13"/>
  <c r="E509" i="13" s="1"/>
  <c r="H509" i="13" s="1"/>
  <c r="I509" i="13" s="1"/>
  <c r="J509" i="13" s="1"/>
  <c r="N509" i="13" s="1"/>
  <c r="O509" i="13" s="1"/>
  <c r="M508" i="13"/>
  <c r="L508" i="13"/>
  <c r="K508" i="13"/>
  <c r="D508" i="13"/>
  <c r="E508" i="13" s="1"/>
  <c r="H508" i="13" s="1"/>
  <c r="I508" i="13" s="1"/>
  <c r="J508" i="13" s="1"/>
  <c r="N508" i="13" s="1"/>
  <c r="O508" i="13" s="1"/>
  <c r="L507" i="13"/>
  <c r="K507" i="13"/>
  <c r="M507" i="13" s="1"/>
  <c r="D507" i="13"/>
  <c r="E507" i="13" s="1"/>
  <c r="H507" i="13" s="1"/>
  <c r="I507" i="13" s="1"/>
  <c r="J507" i="13" s="1"/>
  <c r="N507" i="13" s="1"/>
  <c r="O507" i="13" s="1"/>
  <c r="L506" i="13"/>
  <c r="K506" i="13"/>
  <c r="M506" i="13" s="1"/>
  <c r="D506" i="13"/>
  <c r="N505" i="13"/>
  <c r="O505" i="13" s="1"/>
  <c r="L505" i="13"/>
  <c r="K505" i="13"/>
  <c r="M505" i="13" s="1"/>
  <c r="E505" i="13"/>
  <c r="H505" i="13" s="1"/>
  <c r="I505" i="13" s="1"/>
  <c r="J505" i="13" s="1"/>
  <c r="D505" i="13"/>
  <c r="L504" i="13"/>
  <c r="M504" i="13" s="1"/>
  <c r="K504" i="13"/>
  <c r="D504" i="13"/>
  <c r="E504" i="13" s="1"/>
  <c r="H504" i="13" s="1"/>
  <c r="I504" i="13" s="1"/>
  <c r="J504" i="13" s="1"/>
  <c r="L503" i="13"/>
  <c r="K503" i="13"/>
  <c r="M503" i="13" s="1"/>
  <c r="E503" i="13"/>
  <c r="H503" i="13" s="1"/>
  <c r="I503" i="13" s="1"/>
  <c r="J503" i="13" s="1"/>
  <c r="N503" i="13" s="1"/>
  <c r="O503" i="13" s="1"/>
  <c r="D503" i="13"/>
  <c r="L502" i="13"/>
  <c r="M502" i="13" s="1"/>
  <c r="K502" i="13"/>
  <c r="H502" i="13"/>
  <c r="I502" i="13" s="1"/>
  <c r="J502" i="13" s="1"/>
  <c r="D502" i="13"/>
  <c r="E502" i="13" s="1"/>
  <c r="M501" i="13"/>
  <c r="L501" i="13"/>
  <c r="K501" i="13"/>
  <c r="H501" i="13"/>
  <c r="I501" i="13" s="1"/>
  <c r="J501" i="13" s="1"/>
  <c r="E501" i="13"/>
  <c r="D501" i="13"/>
  <c r="L500" i="13"/>
  <c r="M500" i="13" s="1"/>
  <c r="K500" i="13"/>
  <c r="D500" i="13"/>
  <c r="E500" i="13" s="1"/>
  <c r="H500" i="13" s="1"/>
  <c r="I500" i="13" s="1"/>
  <c r="J500" i="13" s="1"/>
  <c r="N500" i="13" s="1"/>
  <c r="O500" i="13" s="1"/>
  <c r="L499" i="13"/>
  <c r="K499" i="13"/>
  <c r="M499" i="13" s="1"/>
  <c r="D499" i="13"/>
  <c r="L498" i="13"/>
  <c r="M498" i="13" s="1"/>
  <c r="K498" i="13"/>
  <c r="I498" i="13"/>
  <c r="J498" i="13" s="1"/>
  <c r="N498" i="13" s="1"/>
  <c r="O498" i="13" s="1"/>
  <c r="H498" i="13"/>
  <c r="D498" i="13"/>
  <c r="E498" i="13" s="1"/>
  <c r="M497" i="13"/>
  <c r="L497" i="13"/>
  <c r="K497" i="13"/>
  <c r="D497" i="13"/>
  <c r="E497" i="13" s="1"/>
  <c r="H497" i="13" s="1"/>
  <c r="I497" i="13" s="1"/>
  <c r="J497" i="13" s="1"/>
  <c r="N497" i="13" s="1"/>
  <c r="O497" i="13" s="1"/>
  <c r="M496" i="13"/>
  <c r="L496" i="13"/>
  <c r="K496" i="13"/>
  <c r="J496" i="13"/>
  <c r="N496" i="13" s="1"/>
  <c r="O496" i="13" s="1"/>
  <c r="D496" i="13"/>
  <c r="E496" i="13" s="1"/>
  <c r="H496" i="13" s="1"/>
  <c r="I496" i="13" s="1"/>
  <c r="L495" i="13"/>
  <c r="K495" i="13"/>
  <c r="M495" i="13" s="1"/>
  <c r="D495" i="13"/>
  <c r="L494" i="13"/>
  <c r="M494" i="13" s="1"/>
  <c r="K494" i="13"/>
  <c r="H494" i="13"/>
  <c r="I494" i="13" s="1"/>
  <c r="J494" i="13" s="1"/>
  <c r="D494" i="13"/>
  <c r="E494" i="13" s="1"/>
  <c r="L493" i="13"/>
  <c r="K493" i="13"/>
  <c r="M493" i="13" s="1"/>
  <c r="H493" i="13"/>
  <c r="I493" i="13" s="1"/>
  <c r="J493" i="13" s="1"/>
  <c r="N493" i="13" s="1"/>
  <c r="O493" i="13" s="1"/>
  <c r="E493" i="13"/>
  <c r="D493" i="13"/>
  <c r="N492" i="13"/>
  <c r="O492" i="13" s="1"/>
  <c r="L492" i="13"/>
  <c r="M492" i="13" s="1"/>
  <c r="K492" i="13"/>
  <c r="E492" i="13"/>
  <c r="H492" i="13" s="1"/>
  <c r="I492" i="13" s="1"/>
  <c r="J492" i="13" s="1"/>
  <c r="D492" i="13"/>
  <c r="E491" i="13" s="1"/>
  <c r="H491" i="13" s="1"/>
  <c r="I491" i="13" s="1"/>
  <c r="J491" i="13" s="1"/>
  <c r="N491" i="13" s="1"/>
  <c r="O491" i="13" s="1"/>
  <c r="L491" i="13"/>
  <c r="K491" i="13"/>
  <c r="M491" i="13" s="1"/>
  <c r="D491" i="13"/>
  <c r="M490" i="13"/>
  <c r="L490" i="13"/>
  <c r="K490" i="13"/>
  <c r="I490" i="13"/>
  <c r="J490" i="13" s="1"/>
  <c r="N490" i="13" s="1"/>
  <c r="O490" i="13" s="1"/>
  <c r="H490" i="13"/>
  <c r="D490" i="13"/>
  <c r="E490" i="13" s="1"/>
  <c r="M489" i="13"/>
  <c r="L489" i="13"/>
  <c r="K489" i="13"/>
  <c r="D489" i="13"/>
  <c r="E489" i="13" s="1"/>
  <c r="H489" i="13" s="1"/>
  <c r="I489" i="13" s="1"/>
  <c r="J489" i="13" s="1"/>
  <c r="N489" i="13" s="1"/>
  <c r="O489" i="13" s="1"/>
  <c r="N488" i="13"/>
  <c r="O488" i="13" s="1"/>
  <c r="M488" i="13"/>
  <c r="L488" i="13"/>
  <c r="K488" i="13"/>
  <c r="J488" i="13"/>
  <c r="D488" i="13"/>
  <c r="E488" i="13" s="1"/>
  <c r="H488" i="13" s="1"/>
  <c r="I488" i="13" s="1"/>
  <c r="L487" i="13"/>
  <c r="K487" i="13"/>
  <c r="E487" i="13"/>
  <c r="H487" i="13" s="1"/>
  <c r="I487" i="13" s="1"/>
  <c r="J487" i="13" s="1"/>
  <c r="D487" i="13"/>
  <c r="L486" i="13"/>
  <c r="M486" i="13" s="1"/>
  <c r="K486" i="13"/>
  <c r="H486" i="13"/>
  <c r="I486" i="13" s="1"/>
  <c r="J486" i="13" s="1"/>
  <c r="N486" i="13" s="1"/>
  <c r="O486" i="13" s="1"/>
  <c r="D486" i="13"/>
  <c r="E486" i="13" s="1"/>
  <c r="L485" i="13"/>
  <c r="K485" i="13"/>
  <c r="M485" i="13" s="1"/>
  <c r="J485" i="13"/>
  <c r="N485" i="13" s="1"/>
  <c r="O485" i="13" s="1"/>
  <c r="H485" i="13"/>
  <c r="I485" i="13" s="1"/>
  <c r="E485" i="13"/>
  <c r="D485" i="13"/>
  <c r="L484" i="13"/>
  <c r="M484" i="13" s="1"/>
  <c r="K484" i="13"/>
  <c r="D484" i="13"/>
  <c r="E484" i="13" s="1"/>
  <c r="H484" i="13" s="1"/>
  <c r="I484" i="13" s="1"/>
  <c r="J484" i="13" s="1"/>
  <c r="N484" i="13" s="1"/>
  <c r="O484" i="13" s="1"/>
  <c r="N483" i="13"/>
  <c r="O483" i="13" s="1"/>
  <c r="L483" i="13"/>
  <c r="K483" i="13"/>
  <c r="M483" i="13" s="1"/>
  <c r="E483" i="13"/>
  <c r="H483" i="13" s="1"/>
  <c r="I483" i="13" s="1"/>
  <c r="J483" i="13" s="1"/>
  <c r="D483" i="13"/>
  <c r="L482" i="13"/>
  <c r="M482" i="13" s="1"/>
  <c r="K482" i="13"/>
  <c r="H482" i="13"/>
  <c r="I482" i="13" s="1"/>
  <c r="J482" i="13" s="1"/>
  <c r="D482" i="13"/>
  <c r="E482" i="13" s="1"/>
  <c r="M481" i="13"/>
  <c r="L481" i="13"/>
  <c r="K481" i="13"/>
  <c r="D481" i="13"/>
  <c r="E481" i="13" s="1"/>
  <c r="H481" i="13" s="1"/>
  <c r="I481" i="13" s="1"/>
  <c r="J481" i="13" s="1"/>
  <c r="N481" i="13" s="1"/>
  <c r="O481" i="13" s="1"/>
  <c r="M480" i="13"/>
  <c r="L480" i="13"/>
  <c r="K480" i="13"/>
  <c r="E480" i="13"/>
  <c r="H480" i="13" s="1"/>
  <c r="I480" i="13" s="1"/>
  <c r="J480" i="13" s="1"/>
  <c r="N480" i="13" s="1"/>
  <c r="O480" i="13" s="1"/>
  <c r="D480" i="13"/>
  <c r="E479" i="13" s="1"/>
  <c r="H479" i="13" s="1"/>
  <c r="I479" i="13" s="1"/>
  <c r="J479" i="13" s="1"/>
  <c r="N479" i="13" s="1"/>
  <c r="O479" i="13" s="1"/>
  <c r="L479" i="13"/>
  <c r="K479" i="13"/>
  <c r="M479" i="13" s="1"/>
  <c r="D479" i="13"/>
  <c r="M478" i="13"/>
  <c r="L478" i="13"/>
  <c r="K478" i="13"/>
  <c r="I478" i="13"/>
  <c r="J478" i="13" s="1"/>
  <c r="N478" i="13" s="1"/>
  <c r="O478" i="13" s="1"/>
  <c r="H478" i="13"/>
  <c r="D478" i="13"/>
  <c r="E478" i="13" s="1"/>
  <c r="M477" i="13"/>
  <c r="L477" i="13"/>
  <c r="K477" i="13"/>
  <c r="H477" i="13"/>
  <c r="I477" i="13" s="1"/>
  <c r="J477" i="13" s="1"/>
  <c r="E477" i="13"/>
  <c r="D477" i="13"/>
  <c r="L476" i="13"/>
  <c r="M476" i="13" s="1"/>
  <c r="K476" i="13"/>
  <c r="E476" i="13"/>
  <c r="H476" i="13" s="1"/>
  <c r="I476" i="13" s="1"/>
  <c r="J476" i="13" s="1"/>
  <c r="N476" i="13" s="1"/>
  <c r="O476" i="13" s="1"/>
  <c r="D476" i="13"/>
  <c r="L475" i="13"/>
  <c r="K475" i="13"/>
  <c r="M475" i="13" s="1"/>
  <c r="H475" i="13"/>
  <c r="I475" i="13" s="1"/>
  <c r="J475" i="13" s="1"/>
  <c r="N475" i="13" s="1"/>
  <c r="O475" i="13" s="1"/>
  <c r="E475" i="13"/>
  <c r="D475" i="13"/>
  <c r="L474" i="13"/>
  <c r="M474" i="13" s="1"/>
  <c r="N474" i="13" s="1"/>
  <c r="O474" i="13" s="1"/>
  <c r="K474" i="13"/>
  <c r="I474" i="13"/>
  <c r="J474" i="13" s="1"/>
  <c r="H474" i="13"/>
  <c r="D474" i="13"/>
  <c r="E474" i="13" s="1"/>
  <c r="M473" i="13"/>
  <c r="L473" i="13"/>
  <c r="K473" i="13"/>
  <c r="J473" i="13"/>
  <c r="N473" i="13" s="1"/>
  <c r="O473" i="13" s="1"/>
  <c r="H473" i="13"/>
  <c r="I473" i="13" s="1"/>
  <c r="D473" i="13"/>
  <c r="E473" i="13" s="1"/>
  <c r="M472" i="13"/>
  <c r="L472" i="13"/>
  <c r="K472" i="13"/>
  <c r="D472" i="13"/>
  <c r="E472" i="13" s="1"/>
  <c r="H472" i="13" s="1"/>
  <c r="I472" i="13" s="1"/>
  <c r="J472" i="13" s="1"/>
  <c r="N472" i="13" s="1"/>
  <c r="O472" i="13" s="1"/>
  <c r="L471" i="13"/>
  <c r="K471" i="13"/>
  <c r="D471" i="13"/>
  <c r="L470" i="13"/>
  <c r="M470" i="13" s="1"/>
  <c r="K470" i="13"/>
  <c r="H470" i="13"/>
  <c r="I470" i="13" s="1"/>
  <c r="J470" i="13" s="1"/>
  <c r="N470" i="13" s="1"/>
  <c r="O470" i="13" s="1"/>
  <c r="D470" i="13"/>
  <c r="E470" i="13" s="1"/>
  <c r="L469" i="13"/>
  <c r="K469" i="13"/>
  <c r="M469" i="13" s="1"/>
  <c r="H469" i="13"/>
  <c r="I469" i="13" s="1"/>
  <c r="J469" i="13" s="1"/>
  <c r="N469" i="13" s="1"/>
  <c r="O469" i="13" s="1"/>
  <c r="E469" i="13"/>
  <c r="D469" i="13"/>
  <c r="L468" i="13"/>
  <c r="M468" i="13" s="1"/>
  <c r="K468" i="13"/>
  <c r="D468" i="13"/>
  <c r="E468" i="13" s="1"/>
  <c r="H468" i="13" s="1"/>
  <c r="I468" i="13" s="1"/>
  <c r="J468" i="13" s="1"/>
  <c r="N468" i="13" s="1"/>
  <c r="O468" i="13" s="1"/>
  <c r="L467" i="13"/>
  <c r="K467" i="13"/>
  <c r="D467" i="13"/>
  <c r="L466" i="13"/>
  <c r="M466" i="13" s="1"/>
  <c r="K466" i="13"/>
  <c r="H466" i="13"/>
  <c r="I466" i="13" s="1"/>
  <c r="J466" i="13" s="1"/>
  <c r="D466" i="13"/>
  <c r="E466" i="13" s="1"/>
  <c r="M465" i="13"/>
  <c r="L465" i="13"/>
  <c r="K465" i="13"/>
  <c r="D465" i="13"/>
  <c r="E465" i="13" s="1"/>
  <c r="H465" i="13" s="1"/>
  <c r="I465" i="13" s="1"/>
  <c r="J465" i="13" s="1"/>
  <c r="N465" i="13" s="1"/>
  <c r="O465" i="13" s="1"/>
  <c r="M464" i="13"/>
  <c r="L464" i="13"/>
  <c r="K464" i="13"/>
  <c r="D464" i="13"/>
  <c r="L463" i="13"/>
  <c r="K463" i="13"/>
  <c r="M463" i="13" s="1"/>
  <c r="I463" i="13"/>
  <c r="J463" i="13" s="1"/>
  <c r="H463" i="13"/>
  <c r="E463" i="13"/>
  <c r="D463" i="13"/>
  <c r="M462" i="13"/>
  <c r="L462" i="13"/>
  <c r="K462" i="13"/>
  <c r="J462" i="13"/>
  <c r="N462" i="13" s="1"/>
  <c r="O462" i="13" s="1"/>
  <c r="I462" i="13"/>
  <c r="H462" i="13"/>
  <c r="D462" i="13"/>
  <c r="E462" i="13" s="1"/>
  <c r="M461" i="13"/>
  <c r="L461" i="13"/>
  <c r="K461" i="13"/>
  <c r="J461" i="13"/>
  <c r="N461" i="13" s="1"/>
  <c r="O461" i="13" s="1"/>
  <c r="H461" i="13"/>
  <c r="I461" i="13" s="1"/>
  <c r="E461" i="13"/>
  <c r="D461" i="13"/>
  <c r="L460" i="13"/>
  <c r="M460" i="13" s="1"/>
  <c r="K460" i="13"/>
  <c r="J460" i="13"/>
  <c r="N460" i="13" s="1"/>
  <c r="O460" i="13" s="1"/>
  <c r="E460" i="13"/>
  <c r="H460" i="13" s="1"/>
  <c r="I460" i="13" s="1"/>
  <c r="D460" i="13"/>
  <c r="E459" i="13" s="1"/>
  <c r="H459" i="13" s="1"/>
  <c r="I459" i="13" s="1"/>
  <c r="J459" i="13" s="1"/>
  <c r="L459" i="13"/>
  <c r="K459" i="13"/>
  <c r="M459" i="13" s="1"/>
  <c r="D459" i="13"/>
  <c r="N458" i="13"/>
  <c r="O458" i="13" s="1"/>
  <c r="M458" i="13"/>
  <c r="L458" i="13"/>
  <c r="K458" i="13"/>
  <c r="I458" i="13"/>
  <c r="J458" i="13" s="1"/>
  <c r="H458" i="13"/>
  <c r="D458" i="13"/>
  <c r="E458" i="13" s="1"/>
  <c r="M457" i="13"/>
  <c r="L457" i="13"/>
  <c r="K457" i="13"/>
  <c r="D457" i="13"/>
  <c r="E457" i="13" s="1"/>
  <c r="H457" i="13" s="1"/>
  <c r="I457" i="13" s="1"/>
  <c r="J457" i="13" s="1"/>
  <c r="N457" i="13" s="1"/>
  <c r="O457" i="13" s="1"/>
  <c r="M456" i="13"/>
  <c r="L456" i="13"/>
  <c r="K456" i="13"/>
  <c r="D456" i="13"/>
  <c r="E456" i="13" s="1"/>
  <c r="H456" i="13" s="1"/>
  <c r="I456" i="13" s="1"/>
  <c r="J456" i="13" s="1"/>
  <c r="N456" i="13" s="1"/>
  <c r="O456" i="13" s="1"/>
  <c r="L455" i="13"/>
  <c r="K455" i="13"/>
  <c r="E455" i="13"/>
  <c r="H455" i="13" s="1"/>
  <c r="I455" i="13" s="1"/>
  <c r="J455" i="13" s="1"/>
  <c r="D455" i="13"/>
  <c r="L454" i="13"/>
  <c r="M454" i="13" s="1"/>
  <c r="K454" i="13"/>
  <c r="D454" i="13"/>
  <c r="E454" i="13" s="1"/>
  <c r="H454" i="13" s="1"/>
  <c r="I454" i="13" s="1"/>
  <c r="J454" i="13" s="1"/>
  <c r="N454" i="13" s="1"/>
  <c r="O454" i="13" s="1"/>
  <c r="L453" i="13"/>
  <c r="K453" i="13"/>
  <c r="M453" i="13" s="1"/>
  <c r="E453" i="13"/>
  <c r="H453" i="13" s="1"/>
  <c r="I453" i="13" s="1"/>
  <c r="J453" i="13" s="1"/>
  <c r="N453" i="13" s="1"/>
  <c r="O453" i="13" s="1"/>
  <c r="D453" i="13"/>
  <c r="L452" i="13"/>
  <c r="K452" i="13"/>
  <c r="D452" i="13"/>
  <c r="E452" i="13" s="1"/>
  <c r="H452" i="13" s="1"/>
  <c r="I452" i="13" s="1"/>
  <c r="J452" i="13" s="1"/>
  <c r="L451" i="13"/>
  <c r="K451" i="13"/>
  <c r="D451" i="13"/>
  <c r="L450" i="13"/>
  <c r="K450" i="13"/>
  <c r="M450" i="13" s="1"/>
  <c r="E450" i="13"/>
  <c r="H450" i="13" s="1"/>
  <c r="I450" i="13" s="1"/>
  <c r="J450" i="13" s="1"/>
  <c r="N450" i="13" s="1"/>
  <c r="O450" i="13" s="1"/>
  <c r="D450" i="13"/>
  <c r="L449" i="13"/>
  <c r="M449" i="13" s="1"/>
  <c r="K449" i="13"/>
  <c r="I449" i="13"/>
  <c r="J449" i="13" s="1"/>
  <c r="H449" i="13"/>
  <c r="E449" i="13"/>
  <c r="D449" i="13"/>
  <c r="L448" i="13"/>
  <c r="K448" i="13"/>
  <c r="M448" i="13" s="1"/>
  <c r="J448" i="13"/>
  <c r="N448" i="13" s="1"/>
  <c r="O448" i="13" s="1"/>
  <c r="D448" i="13"/>
  <c r="E448" i="13" s="1"/>
  <c r="H448" i="13" s="1"/>
  <c r="I448" i="13" s="1"/>
  <c r="L447" i="13"/>
  <c r="K447" i="13"/>
  <c r="M447" i="13" s="1"/>
  <c r="D447" i="13"/>
  <c r="E446" i="13" s="1"/>
  <c r="M446" i="13"/>
  <c r="L446" i="13"/>
  <c r="K446" i="13"/>
  <c r="H446" i="13"/>
  <c r="I446" i="13" s="1"/>
  <c r="J446" i="13" s="1"/>
  <c r="N446" i="13" s="1"/>
  <c r="O446" i="13" s="1"/>
  <c r="D446" i="13"/>
  <c r="M445" i="13"/>
  <c r="L445" i="13"/>
  <c r="K445" i="13"/>
  <c r="I445" i="13"/>
  <c r="J445" i="13" s="1"/>
  <c r="N445" i="13" s="1"/>
  <c r="O445" i="13" s="1"/>
  <c r="H445" i="13"/>
  <c r="E445" i="13"/>
  <c r="D445" i="13"/>
  <c r="L444" i="13"/>
  <c r="K444" i="13"/>
  <c r="M444" i="13" s="1"/>
  <c r="D444" i="13"/>
  <c r="E444" i="13" s="1"/>
  <c r="H444" i="13" s="1"/>
  <c r="I444" i="13" s="1"/>
  <c r="J444" i="13" s="1"/>
  <c r="N444" i="13" s="1"/>
  <c r="O444" i="13" s="1"/>
  <c r="L443" i="13"/>
  <c r="M443" i="13" s="1"/>
  <c r="K443" i="13"/>
  <c r="E443" i="13"/>
  <c r="H443" i="13" s="1"/>
  <c r="I443" i="13" s="1"/>
  <c r="J443" i="13" s="1"/>
  <c r="N443" i="13" s="1"/>
  <c r="O443" i="13" s="1"/>
  <c r="D443" i="13"/>
  <c r="M442" i="13"/>
  <c r="L442" i="13"/>
  <c r="K442" i="13"/>
  <c r="D442" i="13"/>
  <c r="E442" i="13" s="1"/>
  <c r="H442" i="13" s="1"/>
  <c r="I442" i="13" s="1"/>
  <c r="J442" i="13" s="1"/>
  <c r="N442" i="13" s="1"/>
  <c r="O442" i="13" s="1"/>
  <c r="L441" i="13"/>
  <c r="K441" i="13"/>
  <c r="M441" i="13" s="1"/>
  <c r="E441" i="13"/>
  <c r="H441" i="13" s="1"/>
  <c r="I441" i="13" s="1"/>
  <c r="J441" i="13" s="1"/>
  <c r="N441" i="13" s="1"/>
  <c r="O441" i="13" s="1"/>
  <c r="D441" i="13"/>
  <c r="L440" i="13"/>
  <c r="M440" i="13" s="1"/>
  <c r="K440" i="13"/>
  <c r="E440" i="13"/>
  <c r="H440" i="13" s="1"/>
  <c r="I440" i="13" s="1"/>
  <c r="J440" i="13" s="1"/>
  <c r="D440" i="13"/>
  <c r="M439" i="13"/>
  <c r="L439" i="13"/>
  <c r="K439" i="13"/>
  <c r="I439" i="13"/>
  <c r="J439" i="13" s="1"/>
  <c r="N439" i="13" s="1"/>
  <c r="O439" i="13" s="1"/>
  <c r="H439" i="13"/>
  <c r="E439" i="13"/>
  <c r="D439" i="13"/>
  <c r="L438" i="13"/>
  <c r="K438" i="13"/>
  <c r="M438" i="13" s="1"/>
  <c r="D438" i="13"/>
  <c r="E438" i="13" s="1"/>
  <c r="H438" i="13" s="1"/>
  <c r="I438" i="13" s="1"/>
  <c r="J438" i="13" s="1"/>
  <c r="N438" i="13" s="1"/>
  <c r="O438" i="13" s="1"/>
  <c r="L437" i="13"/>
  <c r="K437" i="13"/>
  <c r="M437" i="13" s="1"/>
  <c r="E437" i="13"/>
  <c r="H437" i="13" s="1"/>
  <c r="I437" i="13" s="1"/>
  <c r="J437" i="13" s="1"/>
  <c r="N437" i="13" s="1"/>
  <c r="O437" i="13" s="1"/>
  <c r="D437" i="13"/>
  <c r="M436" i="13"/>
  <c r="L436" i="13"/>
  <c r="K436" i="13"/>
  <c r="D436" i="13"/>
  <c r="E436" i="13" s="1"/>
  <c r="H436" i="13" s="1"/>
  <c r="I436" i="13" s="1"/>
  <c r="J436" i="13" s="1"/>
  <c r="N436" i="13" s="1"/>
  <c r="O436" i="13" s="1"/>
  <c r="L435" i="13"/>
  <c r="K435" i="13"/>
  <c r="M435" i="13" s="1"/>
  <c r="D435" i="13"/>
  <c r="E435" i="13" s="1"/>
  <c r="H435" i="13" s="1"/>
  <c r="I435" i="13" s="1"/>
  <c r="J435" i="13" s="1"/>
  <c r="N435" i="13" s="1"/>
  <c r="O435" i="13" s="1"/>
  <c r="L434" i="13"/>
  <c r="K434" i="13"/>
  <c r="M434" i="13" s="1"/>
  <c r="D434" i="13"/>
  <c r="L433" i="13"/>
  <c r="M433" i="13" s="1"/>
  <c r="K433" i="13"/>
  <c r="H433" i="13"/>
  <c r="I433" i="13" s="1"/>
  <c r="J433" i="13" s="1"/>
  <c r="N433" i="13" s="1"/>
  <c r="O433" i="13" s="1"/>
  <c r="E433" i="13"/>
  <c r="D433" i="13"/>
  <c r="L432" i="13"/>
  <c r="K432" i="13"/>
  <c r="M432" i="13" s="1"/>
  <c r="D432" i="13"/>
  <c r="E432" i="13" s="1"/>
  <c r="H432" i="13" s="1"/>
  <c r="I432" i="13" s="1"/>
  <c r="J432" i="13" s="1"/>
  <c r="N432" i="13" s="1"/>
  <c r="O432" i="13" s="1"/>
  <c r="L431" i="13"/>
  <c r="K431" i="13"/>
  <c r="M431" i="13" s="1"/>
  <c r="D431" i="13"/>
  <c r="E431" i="13" s="1"/>
  <c r="H431" i="13" s="1"/>
  <c r="I431" i="13" s="1"/>
  <c r="J431" i="13" s="1"/>
  <c r="N431" i="13" s="1"/>
  <c r="O431" i="13" s="1"/>
  <c r="M430" i="13"/>
  <c r="L430" i="13"/>
  <c r="K430" i="13"/>
  <c r="D430" i="13"/>
  <c r="M429" i="13"/>
  <c r="L429" i="13"/>
  <c r="K429" i="13"/>
  <c r="I429" i="13"/>
  <c r="J429" i="13" s="1"/>
  <c r="N429" i="13" s="1"/>
  <c r="O429" i="13" s="1"/>
  <c r="E429" i="13"/>
  <c r="H429" i="13" s="1"/>
  <c r="D429" i="13"/>
  <c r="L428" i="13"/>
  <c r="K428" i="13"/>
  <c r="D428" i="13"/>
  <c r="E428" i="13" s="1"/>
  <c r="H428" i="13" s="1"/>
  <c r="I428" i="13" s="1"/>
  <c r="J428" i="13" s="1"/>
  <c r="M427" i="13"/>
  <c r="L427" i="13"/>
  <c r="K427" i="13"/>
  <c r="E427" i="13"/>
  <c r="H427" i="13" s="1"/>
  <c r="I427" i="13" s="1"/>
  <c r="J427" i="13" s="1"/>
  <c r="N427" i="13" s="1"/>
  <c r="O427" i="13" s="1"/>
  <c r="D427" i="13"/>
  <c r="M426" i="13"/>
  <c r="L426" i="13"/>
  <c r="K426" i="13"/>
  <c r="D426" i="13"/>
  <c r="E426" i="13" s="1"/>
  <c r="H426" i="13" s="1"/>
  <c r="I426" i="13" s="1"/>
  <c r="J426" i="13" s="1"/>
  <c r="N426" i="13" s="1"/>
  <c r="O426" i="13" s="1"/>
  <c r="L425" i="13"/>
  <c r="K425" i="13"/>
  <c r="M425" i="13" s="1"/>
  <c r="D425" i="13"/>
  <c r="L424" i="13"/>
  <c r="M424" i="13" s="1"/>
  <c r="K424" i="13"/>
  <c r="E424" i="13"/>
  <c r="H424" i="13" s="1"/>
  <c r="I424" i="13" s="1"/>
  <c r="J424" i="13" s="1"/>
  <c r="D424" i="13"/>
  <c r="M423" i="13"/>
  <c r="L423" i="13"/>
  <c r="K423" i="13"/>
  <c r="D423" i="13"/>
  <c r="E423" i="13" s="1"/>
  <c r="H423" i="13" s="1"/>
  <c r="I423" i="13" s="1"/>
  <c r="J423" i="13" s="1"/>
  <c r="N423" i="13" s="1"/>
  <c r="O423" i="13" s="1"/>
  <c r="L422" i="13"/>
  <c r="K422" i="13"/>
  <c r="M422" i="13" s="1"/>
  <c r="D422" i="13"/>
  <c r="E421" i="13" s="1"/>
  <c r="H421" i="13" s="1"/>
  <c r="I421" i="13" s="1"/>
  <c r="J421" i="13" s="1"/>
  <c r="N421" i="13" s="1"/>
  <c r="O421" i="13" s="1"/>
  <c r="L421" i="13"/>
  <c r="K421" i="13"/>
  <c r="M421" i="13" s="1"/>
  <c r="D421" i="13"/>
  <c r="M420" i="13"/>
  <c r="L420" i="13"/>
  <c r="K420" i="13"/>
  <c r="J420" i="13"/>
  <c r="N420" i="13" s="1"/>
  <c r="O420" i="13" s="1"/>
  <c r="I420" i="13"/>
  <c r="E420" i="13"/>
  <c r="H420" i="13" s="1"/>
  <c r="D420" i="13"/>
  <c r="L419" i="13"/>
  <c r="K419" i="13"/>
  <c r="M419" i="13" s="1"/>
  <c r="I419" i="13"/>
  <c r="J419" i="13" s="1"/>
  <c r="N419" i="13" s="1"/>
  <c r="O419" i="13" s="1"/>
  <c r="D419" i="13"/>
  <c r="E419" i="13" s="1"/>
  <c r="H419" i="13" s="1"/>
  <c r="L418" i="13"/>
  <c r="K418" i="13"/>
  <c r="M418" i="13" s="1"/>
  <c r="E418" i="13"/>
  <c r="H418" i="13" s="1"/>
  <c r="I418" i="13" s="1"/>
  <c r="J418" i="13" s="1"/>
  <c r="N418" i="13" s="1"/>
  <c r="O418" i="13" s="1"/>
  <c r="D418" i="13"/>
  <c r="M417" i="13"/>
  <c r="L417" i="13"/>
  <c r="K417" i="13"/>
  <c r="H417" i="13"/>
  <c r="I417" i="13" s="1"/>
  <c r="J417" i="13" s="1"/>
  <c r="N417" i="13" s="1"/>
  <c r="O417" i="13" s="1"/>
  <c r="E417" i="13"/>
  <c r="D417" i="13"/>
  <c r="L416" i="13"/>
  <c r="K416" i="13"/>
  <c r="M416" i="13" s="1"/>
  <c r="D416" i="13"/>
  <c r="E416" i="13" s="1"/>
  <c r="H416" i="13" s="1"/>
  <c r="I416" i="13" s="1"/>
  <c r="J416" i="13" s="1"/>
  <c r="N416" i="13" s="1"/>
  <c r="O416" i="13" s="1"/>
  <c r="L415" i="13"/>
  <c r="K415" i="13"/>
  <c r="M415" i="13" s="1"/>
  <c r="E415" i="13"/>
  <c r="H415" i="13" s="1"/>
  <c r="I415" i="13" s="1"/>
  <c r="J415" i="13" s="1"/>
  <c r="N415" i="13" s="1"/>
  <c r="O415" i="13" s="1"/>
  <c r="D415" i="13"/>
  <c r="E414" i="13" s="1"/>
  <c r="M414" i="13"/>
  <c r="L414" i="13"/>
  <c r="K414" i="13"/>
  <c r="H414" i="13"/>
  <c r="I414" i="13" s="1"/>
  <c r="J414" i="13" s="1"/>
  <c r="N414" i="13" s="1"/>
  <c r="O414" i="13" s="1"/>
  <c r="D414" i="13"/>
  <c r="O413" i="13"/>
  <c r="M413" i="13"/>
  <c r="L413" i="13"/>
  <c r="K413" i="13"/>
  <c r="J413" i="13"/>
  <c r="N413" i="13" s="1"/>
  <c r="I413" i="13"/>
  <c r="H413" i="13"/>
  <c r="E413" i="13"/>
  <c r="D413" i="13"/>
  <c r="L412" i="13"/>
  <c r="K412" i="13"/>
  <c r="M412" i="13" s="1"/>
  <c r="E412" i="13"/>
  <c r="H412" i="13" s="1"/>
  <c r="I412" i="13" s="1"/>
  <c r="J412" i="13" s="1"/>
  <c r="N412" i="13" s="1"/>
  <c r="O412" i="13" s="1"/>
  <c r="D412" i="13"/>
  <c r="L411" i="13"/>
  <c r="M411" i="13" s="1"/>
  <c r="K411" i="13"/>
  <c r="E411" i="13"/>
  <c r="H411" i="13" s="1"/>
  <c r="I411" i="13" s="1"/>
  <c r="J411" i="13" s="1"/>
  <c r="N411" i="13" s="1"/>
  <c r="O411" i="13" s="1"/>
  <c r="D411" i="13"/>
  <c r="M410" i="13"/>
  <c r="L410" i="13"/>
  <c r="K410" i="13"/>
  <c r="D410" i="13"/>
  <c r="E410" i="13" s="1"/>
  <c r="H410" i="13" s="1"/>
  <c r="I410" i="13" s="1"/>
  <c r="J410" i="13" s="1"/>
  <c r="N410" i="13" s="1"/>
  <c r="O410" i="13" s="1"/>
  <c r="L409" i="13"/>
  <c r="K409" i="13"/>
  <c r="M409" i="13" s="1"/>
  <c r="E409" i="13"/>
  <c r="H409" i="13" s="1"/>
  <c r="I409" i="13" s="1"/>
  <c r="J409" i="13" s="1"/>
  <c r="N409" i="13" s="1"/>
  <c r="O409" i="13" s="1"/>
  <c r="D409" i="13"/>
  <c r="L408" i="13"/>
  <c r="M408" i="13" s="1"/>
  <c r="K408" i="13"/>
  <c r="I408" i="13"/>
  <c r="J408" i="13" s="1"/>
  <c r="E408" i="13"/>
  <c r="H408" i="13" s="1"/>
  <c r="D408" i="13"/>
  <c r="M407" i="13"/>
  <c r="L407" i="13"/>
  <c r="K407" i="13"/>
  <c r="H407" i="13"/>
  <c r="I407" i="13" s="1"/>
  <c r="J407" i="13" s="1"/>
  <c r="N407" i="13" s="1"/>
  <c r="O407" i="13" s="1"/>
  <c r="E407" i="13"/>
  <c r="D407" i="13"/>
  <c r="L406" i="13"/>
  <c r="K406" i="13"/>
  <c r="M406" i="13" s="1"/>
  <c r="E406" i="13"/>
  <c r="H406" i="13" s="1"/>
  <c r="I406" i="13" s="1"/>
  <c r="J406" i="13" s="1"/>
  <c r="N406" i="13" s="1"/>
  <c r="O406" i="13" s="1"/>
  <c r="D406" i="13"/>
  <c r="E405" i="13" s="1"/>
  <c r="H405" i="13" s="1"/>
  <c r="I405" i="13" s="1"/>
  <c r="J405" i="13" s="1"/>
  <c r="N405" i="13" s="1"/>
  <c r="O405" i="13" s="1"/>
  <c r="L405" i="13"/>
  <c r="K405" i="13"/>
  <c r="M405" i="13" s="1"/>
  <c r="D405" i="13"/>
  <c r="M404" i="13"/>
  <c r="L404" i="13"/>
  <c r="K404" i="13"/>
  <c r="I404" i="13"/>
  <c r="J404" i="13" s="1"/>
  <c r="N404" i="13" s="1"/>
  <c r="O404" i="13" s="1"/>
  <c r="D404" i="13"/>
  <c r="E404" i="13" s="1"/>
  <c r="H404" i="13" s="1"/>
  <c r="L403" i="13"/>
  <c r="K403" i="13"/>
  <c r="M403" i="13" s="1"/>
  <c r="D403" i="13"/>
  <c r="E403" i="13" s="1"/>
  <c r="H403" i="13" s="1"/>
  <c r="I403" i="13" s="1"/>
  <c r="J403" i="13" s="1"/>
  <c r="N403" i="13" s="1"/>
  <c r="O403" i="13" s="1"/>
  <c r="L402" i="13"/>
  <c r="K402" i="13"/>
  <c r="M402" i="13" s="1"/>
  <c r="E402" i="13"/>
  <c r="H402" i="13" s="1"/>
  <c r="I402" i="13" s="1"/>
  <c r="J402" i="13" s="1"/>
  <c r="N402" i="13" s="1"/>
  <c r="O402" i="13" s="1"/>
  <c r="D402" i="13"/>
  <c r="L401" i="13"/>
  <c r="M401" i="13" s="1"/>
  <c r="K401" i="13"/>
  <c r="H401" i="13"/>
  <c r="I401" i="13" s="1"/>
  <c r="J401" i="13" s="1"/>
  <c r="N401" i="13" s="1"/>
  <c r="O401" i="13" s="1"/>
  <c r="E401" i="13"/>
  <c r="D401" i="13"/>
  <c r="L400" i="13"/>
  <c r="K400" i="13"/>
  <c r="M400" i="13" s="1"/>
  <c r="D400" i="13"/>
  <c r="E400" i="13" s="1"/>
  <c r="H400" i="13" s="1"/>
  <c r="I400" i="13" s="1"/>
  <c r="J400" i="13" s="1"/>
  <c r="N400" i="13" s="1"/>
  <c r="O400" i="13" s="1"/>
  <c r="L399" i="13"/>
  <c r="K399" i="13"/>
  <c r="D399" i="13"/>
  <c r="E399" i="13" s="1"/>
  <c r="H399" i="13" s="1"/>
  <c r="I399" i="13" s="1"/>
  <c r="J399" i="13" s="1"/>
  <c r="M398" i="13"/>
  <c r="L398" i="13"/>
  <c r="K398" i="13"/>
  <c r="D398" i="13"/>
  <c r="L397" i="13"/>
  <c r="M397" i="13" s="1"/>
  <c r="K397" i="13"/>
  <c r="E397" i="13"/>
  <c r="H397" i="13" s="1"/>
  <c r="I397" i="13" s="1"/>
  <c r="J397" i="13" s="1"/>
  <c r="N397" i="13" s="1"/>
  <c r="O397" i="13" s="1"/>
  <c r="D397" i="13"/>
  <c r="L396" i="13"/>
  <c r="K396" i="13"/>
  <c r="D396" i="13"/>
  <c r="E396" i="13" s="1"/>
  <c r="H396" i="13" s="1"/>
  <c r="I396" i="13" s="1"/>
  <c r="J396" i="13" s="1"/>
  <c r="L395" i="13"/>
  <c r="M395" i="13" s="1"/>
  <c r="K395" i="13"/>
  <c r="D395" i="13"/>
  <c r="E395" i="13" s="1"/>
  <c r="H395" i="13" s="1"/>
  <c r="I395" i="13" s="1"/>
  <c r="J395" i="13" s="1"/>
  <c r="N395" i="13" s="1"/>
  <c r="O395" i="13" s="1"/>
  <c r="M394" i="13"/>
  <c r="L394" i="13"/>
  <c r="K394" i="13"/>
  <c r="D394" i="13"/>
  <c r="E394" i="13" s="1"/>
  <c r="H394" i="13" s="1"/>
  <c r="I394" i="13" s="1"/>
  <c r="J394" i="13" s="1"/>
  <c r="N394" i="13" s="1"/>
  <c r="O394" i="13" s="1"/>
  <c r="L393" i="13"/>
  <c r="K393" i="13"/>
  <c r="M393" i="13" s="1"/>
  <c r="E393" i="13"/>
  <c r="H393" i="13" s="1"/>
  <c r="I393" i="13" s="1"/>
  <c r="J393" i="13" s="1"/>
  <c r="N393" i="13" s="1"/>
  <c r="O393" i="13" s="1"/>
  <c r="D393" i="13"/>
  <c r="L392" i="13"/>
  <c r="K392" i="13"/>
  <c r="M392" i="13" s="1"/>
  <c r="E392" i="13"/>
  <c r="H392" i="13" s="1"/>
  <c r="I392" i="13" s="1"/>
  <c r="J392" i="13" s="1"/>
  <c r="D392" i="13"/>
  <c r="L391" i="13"/>
  <c r="M391" i="13" s="1"/>
  <c r="K391" i="13"/>
  <c r="D391" i="13"/>
  <c r="E391" i="13" s="1"/>
  <c r="H391" i="13" s="1"/>
  <c r="I391" i="13" s="1"/>
  <c r="J391" i="13" s="1"/>
  <c r="N391" i="13" s="1"/>
  <c r="O391" i="13" s="1"/>
  <c r="L390" i="13"/>
  <c r="K390" i="13"/>
  <c r="M390" i="13" s="1"/>
  <c r="J390" i="13"/>
  <c r="N390" i="13" s="1"/>
  <c r="O390" i="13" s="1"/>
  <c r="D390" i="13"/>
  <c r="E390" i="13" s="1"/>
  <c r="H390" i="13" s="1"/>
  <c r="I390" i="13" s="1"/>
  <c r="L389" i="13"/>
  <c r="K389" i="13"/>
  <c r="E389" i="13"/>
  <c r="H389" i="13" s="1"/>
  <c r="I389" i="13" s="1"/>
  <c r="J389" i="13" s="1"/>
  <c r="D389" i="13"/>
  <c r="M388" i="13"/>
  <c r="L388" i="13"/>
  <c r="K388" i="13"/>
  <c r="E388" i="13"/>
  <c r="H388" i="13" s="1"/>
  <c r="I388" i="13" s="1"/>
  <c r="J388" i="13" s="1"/>
  <c r="N388" i="13" s="1"/>
  <c r="O388" i="13" s="1"/>
  <c r="D388" i="13"/>
  <c r="L387" i="13"/>
  <c r="K387" i="13"/>
  <c r="M387" i="13" s="1"/>
  <c r="D387" i="13"/>
  <c r="E387" i="13" s="1"/>
  <c r="H387" i="13" s="1"/>
  <c r="I387" i="13" s="1"/>
  <c r="J387" i="13" s="1"/>
  <c r="L386" i="13"/>
  <c r="K386" i="13"/>
  <c r="M386" i="13" s="1"/>
  <c r="D386" i="13"/>
  <c r="L385" i="13"/>
  <c r="M385" i="13" s="1"/>
  <c r="K385" i="13"/>
  <c r="H385" i="13"/>
  <c r="I385" i="13" s="1"/>
  <c r="J385" i="13" s="1"/>
  <c r="N385" i="13" s="1"/>
  <c r="O385" i="13" s="1"/>
  <c r="E385" i="13"/>
  <c r="D385" i="13"/>
  <c r="M384" i="13"/>
  <c r="L384" i="13"/>
  <c r="K384" i="13"/>
  <c r="D384" i="13"/>
  <c r="E384" i="13" s="1"/>
  <c r="H384" i="13" s="1"/>
  <c r="I384" i="13" s="1"/>
  <c r="J384" i="13" s="1"/>
  <c r="L383" i="13"/>
  <c r="K383" i="13"/>
  <c r="M383" i="13" s="1"/>
  <c r="D383" i="13"/>
  <c r="M382" i="13"/>
  <c r="L382" i="13"/>
  <c r="K382" i="13"/>
  <c r="D382" i="13"/>
  <c r="M381" i="13"/>
  <c r="L381" i="13"/>
  <c r="K381" i="13"/>
  <c r="I381" i="13"/>
  <c r="J381" i="13" s="1"/>
  <c r="H381" i="13"/>
  <c r="E381" i="13"/>
  <c r="D381" i="13"/>
  <c r="O380" i="13"/>
  <c r="L380" i="13"/>
  <c r="K380" i="13"/>
  <c r="M380" i="13" s="1"/>
  <c r="E380" i="13"/>
  <c r="H380" i="13" s="1"/>
  <c r="I380" i="13" s="1"/>
  <c r="J380" i="13" s="1"/>
  <c r="N380" i="13" s="1"/>
  <c r="D380" i="13"/>
  <c r="L379" i="13"/>
  <c r="K379" i="13"/>
  <c r="M379" i="13" s="1"/>
  <c r="E379" i="13"/>
  <c r="H379" i="13" s="1"/>
  <c r="I379" i="13" s="1"/>
  <c r="J379" i="13" s="1"/>
  <c r="N379" i="13" s="1"/>
  <c r="O379" i="13" s="1"/>
  <c r="D379" i="13"/>
  <c r="M378" i="13"/>
  <c r="L378" i="13"/>
  <c r="K378" i="13"/>
  <c r="J378" i="13"/>
  <c r="N378" i="13" s="1"/>
  <c r="O378" i="13" s="1"/>
  <c r="D378" i="13"/>
  <c r="E378" i="13" s="1"/>
  <c r="H378" i="13" s="1"/>
  <c r="I378" i="13" s="1"/>
  <c r="M377" i="13"/>
  <c r="L377" i="13"/>
  <c r="K377" i="13"/>
  <c r="E377" i="13"/>
  <c r="H377" i="13" s="1"/>
  <c r="I377" i="13" s="1"/>
  <c r="J377" i="13" s="1"/>
  <c r="N377" i="13" s="1"/>
  <c r="O377" i="13" s="1"/>
  <c r="D377" i="13"/>
  <c r="L376" i="13"/>
  <c r="M376" i="13" s="1"/>
  <c r="K376" i="13"/>
  <c r="D376" i="13"/>
  <c r="E376" i="13" s="1"/>
  <c r="H376" i="13" s="1"/>
  <c r="I376" i="13" s="1"/>
  <c r="J376" i="13" s="1"/>
  <c r="N376" i="13" s="1"/>
  <c r="O376" i="13" s="1"/>
  <c r="M375" i="13"/>
  <c r="L375" i="13"/>
  <c r="K375" i="13"/>
  <c r="E375" i="13"/>
  <c r="H375" i="13" s="1"/>
  <c r="I375" i="13" s="1"/>
  <c r="J375" i="13" s="1"/>
  <c r="N375" i="13" s="1"/>
  <c r="O375" i="13" s="1"/>
  <c r="D375" i="13"/>
  <c r="L374" i="13"/>
  <c r="K374" i="13"/>
  <c r="M374" i="13" s="1"/>
  <c r="D374" i="13"/>
  <c r="E374" i="13" s="1"/>
  <c r="H374" i="13" s="1"/>
  <c r="I374" i="13" s="1"/>
  <c r="J374" i="13" s="1"/>
  <c r="N374" i="13" s="1"/>
  <c r="O374" i="13" s="1"/>
  <c r="L373" i="13"/>
  <c r="M373" i="13" s="1"/>
  <c r="K373" i="13"/>
  <c r="D373" i="13"/>
  <c r="L372" i="13"/>
  <c r="K372" i="13"/>
  <c r="M372" i="13" s="1"/>
  <c r="D372" i="13"/>
  <c r="E372" i="13" s="1"/>
  <c r="H372" i="13" s="1"/>
  <c r="I372" i="13" s="1"/>
  <c r="J372" i="13" s="1"/>
  <c r="N372" i="13" s="1"/>
  <c r="O372" i="13" s="1"/>
  <c r="L371" i="13"/>
  <c r="K371" i="13"/>
  <c r="M371" i="13" s="1"/>
  <c r="D371" i="13"/>
  <c r="E371" i="13" s="1"/>
  <c r="H371" i="13" s="1"/>
  <c r="I371" i="13" s="1"/>
  <c r="J371" i="13" s="1"/>
  <c r="N371" i="13" s="1"/>
  <c r="O371" i="13" s="1"/>
  <c r="L370" i="13"/>
  <c r="K370" i="13"/>
  <c r="M370" i="13" s="1"/>
  <c r="I370" i="13"/>
  <c r="J370" i="13" s="1"/>
  <c r="N370" i="13" s="1"/>
  <c r="O370" i="13" s="1"/>
  <c r="D370" i="13"/>
  <c r="E370" i="13" s="1"/>
  <c r="H370" i="13" s="1"/>
  <c r="L369" i="13"/>
  <c r="M369" i="13" s="1"/>
  <c r="K369" i="13"/>
  <c r="E369" i="13"/>
  <c r="H369" i="13" s="1"/>
  <c r="I369" i="13" s="1"/>
  <c r="J369" i="13" s="1"/>
  <c r="N369" i="13" s="1"/>
  <c r="O369" i="13" s="1"/>
  <c r="D369" i="13"/>
  <c r="L368" i="13"/>
  <c r="K368" i="13"/>
  <c r="M368" i="13" s="1"/>
  <c r="D368" i="13"/>
  <c r="E368" i="13" s="1"/>
  <c r="H368" i="13" s="1"/>
  <c r="I368" i="13" s="1"/>
  <c r="J368" i="13" s="1"/>
  <c r="L367" i="13"/>
  <c r="K367" i="13"/>
  <c r="M367" i="13" s="1"/>
  <c r="D367" i="13"/>
  <c r="E367" i="13" s="1"/>
  <c r="H367" i="13" s="1"/>
  <c r="I367" i="13" s="1"/>
  <c r="J367" i="13" s="1"/>
  <c r="L366" i="13"/>
  <c r="K366" i="13"/>
  <c r="M366" i="13" s="1"/>
  <c r="D366" i="13"/>
  <c r="L365" i="13"/>
  <c r="K365" i="13"/>
  <c r="M365" i="13" s="1"/>
  <c r="D365" i="13"/>
  <c r="L364" i="13"/>
  <c r="M364" i="13" s="1"/>
  <c r="K364" i="13"/>
  <c r="D364" i="13"/>
  <c r="E364" i="13" s="1"/>
  <c r="H364" i="13" s="1"/>
  <c r="I364" i="13" s="1"/>
  <c r="J364" i="13" s="1"/>
  <c r="L363" i="13"/>
  <c r="M363" i="13" s="1"/>
  <c r="K363" i="13"/>
  <c r="E363" i="13"/>
  <c r="H363" i="13" s="1"/>
  <c r="I363" i="13" s="1"/>
  <c r="J363" i="13" s="1"/>
  <c r="N363" i="13" s="1"/>
  <c r="O363" i="13" s="1"/>
  <c r="D363" i="13"/>
  <c r="M362" i="13"/>
  <c r="L362" i="13"/>
  <c r="K362" i="13"/>
  <c r="D362" i="13"/>
  <c r="E362" i="13" s="1"/>
  <c r="H362" i="13" s="1"/>
  <c r="I362" i="13" s="1"/>
  <c r="J362" i="13" s="1"/>
  <c r="N362" i="13" s="1"/>
  <c r="O362" i="13" s="1"/>
  <c r="L361" i="13"/>
  <c r="K361" i="13"/>
  <c r="M361" i="13" s="1"/>
  <c r="E361" i="13"/>
  <c r="H361" i="13" s="1"/>
  <c r="I361" i="13" s="1"/>
  <c r="J361" i="13" s="1"/>
  <c r="N361" i="13" s="1"/>
  <c r="O361" i="13" s="1"/>
  <c r="D361" i="13"/>
  <c r="L360" i="13"/>
  <c r="M360" i="13" s="1"/>
  <c r="K360" i="13"/>
  <c r="E360" i="13"/>
  <c r="H360" i="13" s="1"/>
  <c r="I360" i="13" s="1"/>
  <c r="J360" i="13" s="1"/>
  <c r="N360" i="13" s="1"/>
  <c r="O360" i="13" s="1"/>
  <c r="D360" i="13"/>
  <c r="M359" i="13"/>
  <c r="L359" i="13"/>
  <c r="K359" i="13"/>
  <c r="D359" i="13"/>
  <c r="E359" i="13" s="1"/>
  <c r="H359" i="13" s="1"/>
  <c r="I359" i="13" s="1"/>
  <c r="J359" i="13" s="1"/>
  <c r="N359" i="13" s="1"/>
  <c r="O359" i="13" s="1"/>
  <c r="L358" i="13"/>
  <c r="K358" i="13"/>
  <c r="M358" i="13" s="1"/>
  <c r="N358" i="13" s="1"/>
  <c r="O358" i="13" s="1"/>
  <c r="J358" i="13"/>
  <c r="D358" i="13"/>
  <c r="E358" i="13" s="1"/>
  <c r="H358" i="13" s="1"/>
  <c r="I358" i="13" s="1"/>
  <c r="L357" i="13"/>
  <c r="K357" i="13"/>
  <c r="M357" i="13" s="1"/>
  <c r="E357" i="13"/>
  <c r="H357" i="13" s="1"/>
  <c r="I357" i="13" s="1"/>
  <c r="J357" i="13" s="1"/>
  <c r="N357" i="13" s="1"/>
  <c r="O357" i="13" s="1"/>
  <c r="D357" i="13"/>
  <c r="M356" i="13"/>
  <c r="L356" i="13"/>
  <c r="K356" i="13"/>
  <c r="D356" i="13"/>
  <c r="E356" i="13" s="1"/>
  <c r="H356" i="13" s="1"/>
  <c r="I356" i="13" s="1"/>
  <c r="J356" i="13" s="1"/>
  <c r="N356" i="13" s="1"/>
  <c r="O356" i="13" s="1"/>
  <c r="L355" i="13"/>
  <c r="K355" i="13"/>
  <c r="M355" i="13" s="1"/>
  <c r="I355" i="13"/>
  <c r="J355" i="13" s="1"/>
  <c r="N355" i="13" s="1"/>
  <c r="O355" i="13" s="1"/>
  <c r="D355" i="13"/>
  <c r="E355" i="13" s="1"/>
  <c r="H355" i="13" s="1"/>
  <c r="L354" i="13"/>
  <c r="K354" i="13"/>
  <c r="M354" i="13" s="1"/>
  <c r="E354" i="13"/>
  <c r="H354" i="13" s="1"/>
  <c r="I354" i="13" s="1"/>
  <c r="J354" i="13" s="1"/>
  <c r="D354" i="13"/>
  <c r="M353" i="13"/>
  <c r="L353" i="13"/>
  <c r="K353" i="13"/>
  <c r="I353" i="13"/>
  <c r="J353" i="13" s="1"/>
  <c r="D353" i="13"/>
  <c r="E353" i="13" s="1"/>
  <c r="H353" i="13" s="1"/>
  <c r="L352" i="13"/>
  <c r="K352" i="13"/>
  <c r="M352" i="13" s="1"/>
  <c r="E352" i="13"/>
  <c r="H352" i="13" s="1"/>
  <c r="I352" i="13" s="1"/>
  <c r="J352" i="13" s="1"/>
  <c r="D352" i="13"/>
  <c r="M351" i="13"/>
  <c r="L351" i="13"/>
  <c r="K351" i="13"/>
  <c r="I351" i="13"/>
  <c r="J351" i="13" s="1"/>
  <c r="N351" i="13" s="1"/>
  <c r="O351" i="13" s="1"/>
  <c r="D351" i="13"/>
  <c r="E351" i="13" s="1"/>
  <c r="H351" i="13" s="1"/>
  <c r="L350" i="13"/>
  <c r="K350" i="13"/>
  <c r="M350" i="13" s="1"/>
  <c r="E350" i="13"/>
  <c r="H350" i="13" s="1"/>
  <c r="I350" i="13" s="1"/>
  <c r="J350" i="13" s="1"/>
  <c r="D350" i="13"/>
  <c r="M349" i="13"/>
  <c r="L349" i="13"/>
  <c r="K349" i="13"/>
  <c r="I349" i="13"/>
  <c r="J349" i="13" s="1"/>
  <c r="N349" i="13" s="1"/>
  <c r="O349" i="13" s="1"/>
  <c r="D349" i="13"/>
  <c r="E349" i="13" s="1"/>
  <c r="H349" i="13" s="1"/>
  <c r="L348" i="13"/>
  <c r="K348" i="13"/>
  <c r="M348" i="13" s="1"/>
  <c r="E348" i="13"/>
  <c r="H348" i="13" s="1"/>
  <c r="I348" i="13" s="1"/>
  <c r="J348" i="13" s="1"/>
  <c r="D348" i="13"/>
  <c r="M347" i="13"/>
  <c r="L347" i="13"/>
  <c r="K347" i="13"/>
  <c r="I347" i="13"/>
  <c r="J347" i="13" s="1"/>
  <c r="N347" i="13" s="1"/>
  <c r="O347" i="13" s="1"/>
  <c r="D347" i="13"/>
  <c r="E347" i="13" s="1"/>
  <c r="H347" i="13" s="1"/>
  <c r="L346" i="13"/>
  <c r="K346" i="13"/>
  <c r="M346" i="13" s="1"/>
  <c r="E346" i="13"/>
  <c r="H346" i="13" s="1"/>
  <c r="I346" i="13" s="1"/>
  <c r="J346" i="13" s="1"/>
  <c r="D346" i="13"/>
  <c r="M345" i="13"/>
  <c r="L345" i="13"/>
  <c r="K345" i="13"/>
  <c r="I345" i="13"/>
  <c r="J345" i="13" s="1"/>
  <c r="D345" i="13"/>
  <c r="E345" i="13" s="1"/>
  <c r="H345" i="13" s="1"/>
  <c r="L344" i="13"/>
  <c r="K344" i="13"/>
  <c r="M344" i="13" s="1"/>
  <c r="E344" i="13"/>
  <c r="H344" i="13" s="1"/>
  <c r="I344" i="13" s="1"/>
  <c r="J344" i="13" s="1"/>
  <c r="D344" i="13"/>
  <c r="M343" i="13"/>
  <c r="L343" i="13"/>
  <c r="K343" i="13"/>
  <c r="I343" i="13"/>
  <c r="J343" i="13" s="1"/>
  <c r="N343" i="13" s="1"/>
  <c r="O343" i="13" s="1"/>
  <c r="D343" i="13"/>
  <c r="E343" i="13" s="1"/>
  <c r="H343" i="13" s="1"/>
  <c r="L342" i="13"/>
  <c r="K342" i="13"/>
  <c r="M342" i="13" s="1"/>
  <c r="E342" i="13"/>
  <c r="H342" i="13" s="1"/>
  <c r="I342" i="13" s="1"/>
  <c r="J342" i="13" s="1"/>
  <c r="D342" i="13"/>
  <c r="M341" i="13"/>
  <c r="L341" i="13"/>
  <c r="K341" i="13"/>
  <c r="I341" i="13"/>
  <c r="J341" i="13" s="1"/>
  <c r="N341" i="13" s="1"/>
  <c r="O341" i="13" s="1"/>
  <c r="D341" i="13"/>
  <c r="E341" i="13" s="1"/>
  <c r="H341" i="13" s="1"/>
  <c r="L340" i="13"/>
  <c r="K340" i="13"/>
  <c r="M340" i="13" s="1"/>
  <c r="E340" i="13"/>
  <c r="H340" i="13" s="1"/>
  <c r="I340" i="13" s="1"/>
  <c r="J340" i="13" s="1"/>
  <c r="D340" i="13"/>
  <c r="M339" i="13"/>
  <c r="L339" i="13"/>
  <c r="K339" i="13"/>
  <c r="I339" i="13"/>
  <c r="J339" i="13" s="1"/>
  <c r="N339" i="13" s="1"/>
  <c r="O339" i="13" s="1"/>
  <c r="D339" i="13"/>
  <c r="E339" i="13" s="1"/>
  <c r="H339" i="13" s="1"/>
  <c r="L338" i="13"/>
  <c r="K338" i="13"/>
  <c r="M338" i="13" s="1"/>
  <c r="E338" i="13"/>
  <c r="H338" i="13" s="1"/>
  <c r="I338" i="13" s="1"/>
  <c r="J338" i="13" s="1"/>
  <c r="D338" i="13"/>
  <c r="M337" i="13"/>
  <c r="L337" i="13"/>
  <c r="K337" i="13"/>
  <c r="I337" i="13"/>
  <c r="J337" i="13" s="1"/>
  <c r="D337" i="13"/>
  <c r="E337" i="13" s="1"/>
  <c r="H337" i="13" s="1"/>
  <c r="L336" i="13"/>
  <c r="K336" i="13"/>
  <c r="M336" i="13" s="1"/>
  <c r="E336" i="13"/>
  <c r="H336" i="13" s="1"/>
  <c r="I336" i="13" s="1"/>
  <c r="J336" i="13" s="1"/>
  <c r="D336" i="13"/>
  <c r="M335" i="13"/>
  <c r="L335" i="13"/>
  <c r="K335" i="13"/>
  <c r="I335" i="13"/>
  <c r="J335" i="13" s="1"/>
  <c r="N335" i="13" s="1"/>
  <c r="O335" i="13" s="1"/>
  <c r="D335" i="13"/>
  <c r="E335" i="13" s="1"/>
  <c r="H335" i="13" s="1"/>
  <c r="L334" i="13"/>
  <c r="K334" i="13"/>
  <c r="M334" i="13" s="1"/>
  <c r="E334" i="13"/>
  <c r="H334" i="13" s="1"/>
  <c r="I334" i="13" s="1"/>
  <c r="J334" i="13" s="1"/>
  <c r="D334" i="13"/>
  <c r="M333" i="13"/>
  <c r="L333" i="13"/>
  <c r="K333" i="13"/>
  <c r="D333" i="13"/>
  <c r="E333" i="13" s="1"/>
  <c r="H333" i="13" s="1"/>
  <c r="I333" i="13" s="1"/>
  <c r="J333" i="13" s="1"/>
  <c r="N333" i="13" s="1"/>
  <c r="O333" i="13" s="1"/>
  <c r="L332" i="13"/>
  <c r="K332" i="13"/>
  <c r="M332" i="13" s="1"/>
  <c r="E332" i="13"/>
  <c r="H332" i="13" s="1"/>
  <c r="I332" i="13" s="1"/>
  <c r="J332" i="13" s="1"/>
  <c r="D332" i="13"/>
  <c r="M331" i="13"/>
  <c r="L331" i="13"/>
  <c r="K331" i="13"/>
  <c r="I331" i="13"/>
  <c r="J331" i="13" s="1"/>
  <c r="N331" i="13" s="1"/>
  <c r="O331" i="13" s="1"/>
  <c r="D331" i="13"/>
  <c r="E331" i="13" s="1"/>
  <c r="H331" i="13" s="1"/>
  <c r="L330" i="13"/>
  <c r="K330" i="13"/>
  <c r="M330" i="13" s="1"/>
  <c r="E330" i="13"/>
  <c r="H330" i="13" s="1"/>
  <c r="I330" i="13" s="1"/>
  <c r="J330" i="13" s="1"/>
  <c r="D330" i="13"/>
  <c r="M329" i="13"/>
  <c r="L329" i="13"/>
  <c r="K329" i="13"/>
  <c r="I329" i="13"/>
  <c r="J329" i="13" s="1"/>
  <c r="D329" i="13"/>
  <c r="E329" i="13" s="1"/>
  <c r="H329" i="13" s="1"/>
  <c r="O328" i="13"/>
  <c r="L328" i="13"/>
  <c r="K328" i="13"/>
  <c r="M328" i="13" s="1"/>
  <c r="E328" i="13"/>
  <c r="H328" i="13" s="1"/>
  <c r="I328" i="13" s="1"/>
  <c r="J328" i="13" s="1"/>
  <c r="N328" i="13" s="1"/>
  <c r="D328" i="13"/>
  <c r="M327" i="13"/>
  <c r="L327" i="13"/>
  <c r="K327" i="13"/>
  <c r="D327" i="13"/>
  <c r="E327" i="13" s="1"/>
  <c r="H327" i="13" s="1"/>
  <c r="I327" i="13" s="1"/>
  <c r="J327" i="13" s="1"/>
  <c r="N327" i="13" s="1"/>
  <c r="O327" i="13" s="1"/>
  <c r="L326" i="13"/>
  <c r="K326" i="13"/>
  <c r="M326" i="13" s="1"/>
  <c r="D326" i="13"/>
  <c r="M325" i="13"/>
  <c r="L325" i="13"/>
  <c r="K325" i="13"/>
  <c r="J325" i="13"/>
  <c r="N325" i="13" s="1"/>
  <c r="O325" i="13" s="1"/>
  <c r="I325" i="13"/>
  <c r="D325" i="13"/>
  <c r="E325" i="13" s="1"/>
  <c r="H325" i="13" s="1"/>
  <c r="L324" i="13"/>
  <c r="K324" i="13"/>
  <c r="E324" i="13"/>
  <c r="H324" i="13" s="1"/>
  <c r="I324" i="13" s="1"/>
  <c r="J324" i="13" s="1"/>
  <c r="D324" i="13"/>
  <c r="M323" i="13"/>
  <c r="L323" i="13"/>
  <c r="K323" i="13"/>
  <c r="I323" i="13"/>
  <c r="J323" i="13" s="1"/>
  <c r="N323" i="13" s="1"/>
  <c r="O323" i="13" s="1"/>
  <c r="D323" i="13"/>
  <c r="E323" i="13" s="1"/>
  <c r="H323" i="13" s="1"/>
  <c r="L322" i="13"/>
  <c r="K322" i="13"/>
  <c r="M322" i="13" s="1"/>
  <c r="D322" i="13"/>
  <c r="M321" i="13"/>
  <c r="L321" i="13"/>
  <c r="K321" i="13"/>
  <c r="I321" i="13"/>
  <c r="J321" i="13" s="1"/>
  <c r="N321" i="13" s="1"/>
  <c r="O321" i="13" s="1"/>
  <c r="D321" i="13"/>
  <c r="E321" i="13" s="1"/>
  <c r="H321" i="13" s="1"/>
  <c r="L320" i="13"/>
  <c r="K320" i="13"/>
  <c r="M320" i="13" s="1"/>
  <c r="E320" i="13"/>
  <c r="H320" i="13" s="1"/>
  <c r="I320" i="13" s="1"/>
  <c r="J320" i="13" s="1"/>
  <c r="D320" i="13"/>
  <c r="M319" i="13"/>
  <c r="L319" i="13"/>
  <c r="K319" i="13"/>
  <c r="D319" i="13"/>
  <c r="E319" i="13" s="1"/>
  <c r="H319" i="13" s="1"/>
  <c r="I319" i="13" s="1"/>
  <c r="J319" i="13" s="1"/>
  <c r="N319" i="13" s="1"/>
  <c r="O319" i="13" s="1"/>
  <c r="L318" i="13"/>
  <c r="K318" i="13"/>
  <c r="M318" i="13" s="1"/>
  <c r="D318" i="13"/>
  <c r="M317" i="13"/>
  <c r="L317" i="13"/>
  <c r="K317" i="13"/>
  <c r="D317" i="13"/>
  <c r="E317" i="13" s="1"/>
  <c r="H317" i="13" s="1"/>
  <c r="I317" i="13" s="1"/>
  <c r="J317" i="13" s="1"/>
  <c r="N317" i="13" s="1"/>
  <c r="O317" i="13" s="1"/>
  <c r="L316" i="13"/>
  <c r="K316" i="13"/>
  <c r="E316" i="13"/>
  <c r="H316" i="13" s="1"/>
  <c r="I316" i="13" s="1"/>
  <c r="J316" i="13" s="1"/>
  <c r="D316" i="13"/>
  <c r="N315" i="13"/>
  <c r="O315" i="13" s="1"/>
  <c r="M315" i="13"/>
  <c r="L315" i="13"/>
  <c r="K315" i="13"/>
  <c r="I315" i="13"/>
  <c r="J315" i="13" s="1"/>
  <c r="D315" i="13"/>
  <c r="E315" i="13" s="1"/>
  <c r="H315" i="13" s="1"/>
  <c r="O314" i="13"/>
  <c r="L314" i="13"/>
  <c r="K314" i="13"/>
  <c r="M314" i="13" s="1"/>
  <c r="E314" i="13"/>
  <c r="H314" i="13" s="1"/>
  <c r="I314" i="13" s="1"/>
  <c r="J314" i="13" s="1"/>
  <c r="N314" i="13" s="1"/>
  <c r="D314" i="13"/>
  <c r="M313" i="13"/>
  <c r="L313" i="13"/>
  <c r="K313" i="13"/>
  <c r="D313" i="13"/>
  <c r="E313" i="13" s="1"/>
  <c r="H313" i="13" s="1"/>
  <c r="I313" i="13" s="1"/>
  <c r="J313" i="13" s="1"/>
  <c r="N313" i="13" s="1"/>
  <c r="O313" i="13" s="1"/>
  <c r="L312" i="13"/>
  <c r="K312" i="13"/>
  <c r="D312" i="13"/>
  <c r="M311" i="13"/>
  <c r="L311" i="13"/>
  <c r="K311" i="13"/>
  <c r="I311" i="13"/>
  <c r="J311" i="13" s="1"/>
  <c r="N311" i="13" s="1"/>
  <c r="O311" i="13" s="1"/>
  <c r="D311" i="13"/>
  <c r="E311" i="13" s="1"/>
  <c r="H311" i="13" s="1"/>
  <c r="L310" i="13"/>
  <c r="K310" i="13"/>
  <c r="M310" i="13" s="1"/>
  <c r="D310" i="13"/>
  <c r="N309" i="13"/>
  <c r="O309" i="13" s="1"/>
  <c r="M309" i="13"/>
  <c r="L309" i="13"/>
  <c r="K309" i="13"/>
  <c r="J309" i="13"/>
  <c r="I309" i="13"/>
  <c r="D309" i="13"/>
  <c r="E309" i="13" s="1"/>
  <c r="H309" i="13" s="1"/>
  <c r="L308" i="13"/>
  <c r="K308" i="13"/>
  <c r="H308" i="13"/>
  <c r="I308" i="13" s="1"/>
  <c r="J308" i="13" s="1"/>
  <c r="E308" i="13"/>
  <c r="D308" i="13"/>
  <c r="M307" i="13"/>
  <c r="L307" i="13"/>
  <c r="K307" i="13"/>
  <c r="I307" i="13"/>
  <c r="J307" i="13" s="1"/>
  <c r="N307" i="13" s="1"/>
  <c r="O307" i="13" s="1"/>
  <c r="D307" i="13"/>
  <c r="E307" i="13" s="1"/>
  <c r="H307" i="13" s="1"/>
  <c r="L306" i="13"/>
  <c r="K306" i="13"/>
  <c r="E306" i="13"/>
  <c r="H306" i="13" s="1"/>
  <c r="I306" i="13" s="1"/>
  <c r="J306" i="13" s="1"/>
  <c r="D306" i="13"/>
  <c r="M305" i="13"/>
  <c r="L305" i="13"/>
  <c r="K305" i="13"/>
  <c r="D305" i="13"/>
  <c r="L304" i="13"/>
  <c r="K304" i="13"/>
  <c r="D304" i="13"/>
  <c r="M303" i="13"/>
  <c r="L303" i="13"/>
  <c r="K303" i="13"/>
  <c r="I303" i="13"/>
  <c r="J303" i="13" s="1"/>
  <c r="D303" i="13"/>
  <c r="E303" i="13" s="1"/>
  <c r="H303" i="13" s="1"/>
  <c r="L302" i="13"/>
  <c r="K302" i="13"/>
  <c r="M302" i="13" s="1"/>
  <c r="E302" i="13"/>
  <c r="H302" i="13" s="1"/>
  <c r="I302" i="13" s="1"/>
  <c r="J302" i="13" s="1"/>
  <c r="D302" i="13"/>
  <c r="M301" i="13"/>
  <c r="L301" i="13"/>
  <c r="K301" i="13"/>
  <c r="J301" i="13"/>
  <c r="N301" i="13" s="1"/>
  <c r="O301" i="13" s="1"/>
  <c r="D301" i="13"/>
  <c r="E301" i="13" s="1"/>
  <c r="H301" i="13" s="1"/>
  <c r="I301" i="13" s="1"/>
  <c r="L300" i="13"/>
  <c r="K300" i="13"/>
  <c r="D300" i="13"/>
  <c r="M299" i="13"/>
  <c r="L299" i="13"/>
  <c r="K299" i="13"/>
  <c r="J299" i="13"/>
  <c r="N299" i="13" s="1"/>
  <c r="O299" i="13" s="1"/>
  <c r="I299" i="13"/>
  <c r="D299" i="13"/>
  <c r="E299" i="13" s="1"/>
  <c r="H299" i="13" s="1"/>
  <c r="O298" i="13"/>
  <c r="L298" i="13"/>
  <c r="K298" i="13"/>
  <c r="M298" i="13" s="1"/>
  <c r="E298" i="13"/>
  <c r="H298" i="13" s="1"/>
  <c r="I298" i="13" s="1"/>
  <c r="J298" i="13" s="1"/>
  <c r="N298" i="13" s="1"/>
  <c r="D298" i="13"/>
  <c r="M297" i="13"/>
  <c r="L297" i="13"/>
  <c r="K297" i="13"/>
  <c r="D297" i="13"/>
  <c r="L296" i="13"/>
  <c r="K296" i="13"/>
  <c r="D296" i="13"/>
  <c r="M295" i="13"/>
  <c r="L295" i="13"/>
  <c r="K295" i="13"/>
  <c r="I295" i="13"/>
  <c r="J295" i="13" s="1"/>
  <c r="D295" i="13"/>
  <c r="E295" i="13" s="1"/>
  <c r="H295" i="13" s="1"/>
  <c r="L294" i="13"/>
  <c r="K294" i="13"/>
  <c r="M294" i="13" s="1"/>
  <c r="D294" i="13"/>
  <c r="N293" i="13"/>
  <c r="O293" i="13" s="1"/>
  <c r="M293" i="13"/>
  <c r="L293" i="13"/>
  <c r="K293" i="13"/>
  <c r="J293" i="13"/>
  <c r="I293" i="13"/>
  <c r="D293" i="13"/>
  <c r="E293" i="13" s="1"/>
  <c r="H293" i="13" s="1"/>
  <c r="L292" i="13"/>
  <c r="K292" i="13"/>
  <c r="H292" i="13"/>
  <c r="I292" i="13" s="1"/>
  <c r="J292" i="13" s="1"/>
  <c r="E292" i="13"/>
  <c r="D292" i="13"/>
  <c r="M291" i="13"/>
  <c r="L291" i="13"/>
  <c r="K291" i="13"/>
  <c r="I291" i="13"/>
  <c r="J291" i="13" s="1"/>
  <c r="N291" i="13" s="1"/>
  <c r="O291" i="13" s="1"/>
  <c r="D291" i="13"/>
  <c r="E291" i="13" s="1"/>
  <c r="H291" i="13" s="1"/>
  <c r="L290" i="13"/>
  <c r="K290" i="13"/>
  <c r="E290" i="13"/>
  <c r="H290" i="13" s="1"/>
  <c r="I290" i="13" s="1"/>
  <c r="J290" i="13" s="1"/>
  <c r="D290" i="13"/>
  <c r="M289" i="13"/>
  <c r="L289" i="13"/>
  <c r="K289" i="13"/>
  <c r="D289" i="13"/>
  <c r="L288" i="13"/>
  <c r="K288" i="13"/>
  <c r="D288" i="13"/>
  <c r="M287" i="13"/>
  <c r="L287" i="13"/>
  <c r="K287" i="13"/>
  <c r="I287" i="13"/>
  <c r="J287" i="13" s="1"/>
  <c r="N287" i="13" s="1"/>
  <c r="O287" i="13" s="1"/>
  <c r="D287" i="13"/>
  <c r="E287" i="13" s="1"/>
  <c r="H287" i="13" s="1"/>
  <c r="L286" i="13"/>
  <c r="K286" i="13"/>
  <c r="M286" i="13" s="1"/>
  <c r="E286" i="13"/>
  <c r="H286" i="13" s="1"/>
  <c r="I286" i="13" s="1"/>
  <c r="J286" i="13" s="1"/>
  <c r="N286" i="13" s="1"/>
  <c r="O286" i="13" s="1"/>
  <c r="D286" i="13"/>
  <c r="M285" i="13"/>
  <c r="L285" i="13"/>
  <c r="K285" i="13"/>
  <c r="D285" i="13"/>
  <c r="E285" i="13" s="1"/>
  <c r="H285" i="13" s="1"/>
  <c r="I285" i="13" s="1"/>
  <c r="J285" i="13" s="1"/>
  <c r="N285" i="13" s="1"/>
  <c r="O285" i="13" s="1"/>
  <c r="L284" i="13"/>
  <c r="K284" i="13"/>
  <c r="D284" i="13"/>
  <c r="M283" i="13"/>
  <c r="L283" i="13"/>
  <c r="K283" i="13"/>
  <c r="J283" i="13"/>
  <c r="N283" i="13" s="1"/>
  <c r="O283" i="13" s="1"/>
  <c r="I283" i="13"/>
  <c r="D283" i="13"/>
  <c r="E283" i="13" s="1"/>
  <c r="H283" i="13" s="1"/>
  <c r="L282" i="13"/>
  <c r="K282" i="13"/>
  <c r="M282" i="13" s="1"/>
  <c r="E282" i="13"/>
  <c r="H282" i="13" s="1"/>
  <c r="I282" i="13" s="1"/>
  <c r="J282" i="13" s="1"/>
  <c r="N282" i="13" s="1"/>
  <c r="O282" i="13" s="1"/>
  <c r="D282" i="13"/>
  <c r="M281" i="13"/>
  <c r="L281" i="13"/>
  <c r="K281" i="13"/>
  <c r="D281" i="13"/>
  <c r="L280" i="13"/>
  <c r="K280" i="13"/>
  <c r="D280" i="13"/>
  <c r="M279" i="13"/>
  <c r="L279" i="13"/>
  <c r="K279" i="13"/>
  <c r="I279" i="13"/>
  <c r="J279" i="13" s="1"/>
  <c r="D279" i="13"/>
  <c r="E279" i="13" s="1"/>
  <c r="H279" i="13" s="1"/>
  <c r="L278" i="13"/>
  <c r="K278" i="13"/>
  <c r="M278" i="13" s="1"/>
  <c r="D278" i="13"/>
  <c r="N277" i="13"/>
  <c r="O277" i="13" s="1"/>
  <c r="M277" i="13"/>
  <c r="L277" i="13"/>
  <c r="K277" i="13"/>
  <c r="J277" i="13"/>
  <c r="I277" i="13"/>
  <c r="D277" i="13"/>
  <c r="E277" i="13" s="1"/>
  <c r="H277" i="13" s="1"/>
  <c r="L276" i="13"/>
  <c r="K276" i="13"/>
  <c r="H276" i="13"/>
  <c r="I276" i="13" s="1"/>
  <c r="J276" i="13" s="1"/>
  <c r="E276" i="13"/>
  <c r="D276" i="13"/>
  <c r="M275" i="13"/>
  <c r="L275" i="13"/>
  <c r="K275" i="13"/>
  <c r="I275" i="13"/>
  <c r="J275" i="13" s="1"/>
  <c r="N275" i="13" s="1"/>
  <c r="O275" i="13" s="1"/>
  <c r="D275" i="13"/>
  <c r="E275" i="13" s="1"/>
  <c r="H275" i="13" s="1"/>
  <c r="L274" i="13"/>
  <c r="K274" i="13"/>
  <c r="E274" i="13"/>
  <c r="H274" i="13" s="1"/>
  <c r="I274" i="13" s="1"/>
  <c r="J274" i="13" s="1"/>
  <c r="D274" i="13"/>
  <c r="M273" i="13"/>
  <c r="L273" i="13"/>
  <c r="K273" i="13"/>
  <c r="D273" i="13"/>
  <c r="L272" i="13"/>
  <c r="K272" i="13"/>
  <c r="D272" i="13"/>
  <c r="M271" i="13"/>
  <c r="L271" i="13"/>
  <c r="K271" i="13"/>
  <c r="I271" i="13"/>
  <c r="J271" i="13" s="1"/>
  <c r="D271" i="13"/>
  <c r="E271" i="13" s="1"/>
  <c r="H271" i="13" s="1"/>
  <c r="L270" i="13"/>
  <c r="K270" i="13"/>
  <c r="M270" i="13" s="1"/>
  <c r="E270" i="13"/>
  <c r="H270" i="13" s="1"/>
  <c r="I270" i="13" s="1"/>
  <c r="J270" i="13" s="1"/>
  <c r="N270" i="13" s="1"/>
  <c r="O270" i="13" s="1"/>
  <c r="D270" i="13"/>
  <c r="M269" i="13"/>
  <c r="L269" i="13"/>
  <c r="K269" i="13"/>
  <c r="J269" i="13"/>
  <c r="N269" i="13" s="1"/>
  <c r="O269" i="13" s="1"/>
  <c r="D269" i="13"/>
  <c r="E269" i="13" s="1"/>
  <c r="H269" i="13" s="1"/>
  <c r="I269" i="13" s="1"/>
  <c r="L268" i="13"/>
  <c r="K268" i="13"/>
  <c r="D268" i="13"/>
  <c r="M267" i="13"/>
  <c r="L267" i="13"/>
  <c r="K267" i="13"/>
  <c r="J267" i="13"/>
  <c r="N267" i="13" s="1"/>
  <c r="O267" i="13" s="1"/>
  <c r="I267" i="13"/>
  <c r="D267" i="13"/>
  <c r="E267" i="13" s="1"/>
  <c r="H267" i="13" s="1"/>
  <c r="L266" i="13"/>
  <c r="K266" i="13"/>
  <c r="M266" i="13" s="1"/>
  <c r="E266" i="13"/>
  <c r="H266" i="13" s="1"/>
  <c r="I266" i="13" s="1"/>
  <c r="J266" i="13" s="1"/>
  <c r="N266" i="13" s="1"/>
  <c r="O266" i="13" s="1"/>
  <c r="D266" i="13"/>
  <c r="M265" i="13"/>
  <c r="L265" i="13"/>
  <c r="K265" i="13"/>
  <c r="D265" i="13"/>
  <c r="L264" i="13"/>
  <c r="K264" i="13"/>
  <c r="D264" i="13"/>
  <c r="M263" i="13"/>
  <c r="L263" i="13"/>
  <c r="K263" i="13"/>
  <c r="I263" i="13"/>
  <c r="J263" i="13" s="1"/>
  <c r="N263" i="13" s="1"/>
  <c r="O263" i="13" s="1"/>
  <c r="D263" i="13"/>
  <c r="E263" i="13" s="1"/>
  <c r="H263" i="13" s="1"/>
  <c r="L262" i="13"/>
  <c r="K262" i="13"/>
  <c r="M262" i="13" s="1"/>
  <c r="D262" i="13"/>
  <c r="N261" i="13"/>
  <c r="O261" i="13" s="1"/>
  <c r="M261" i="13"/>
  <c r="L261" i="13"/>
  <c r="K261" i="13"/>
  <c r="J261" i="13"/>
  <c r="I261" i="13"/>
  <c r="D261" i="13"/>
  <c r="E261" i="13" s="1"/>
  <c r="H261" i="13" s="1"/>
  <c r="L260" i="13"/>
  <c r="K260" i="13"/>
  <c r="H260" i="13"/>
  <c r="I260" i="13" s="1"/>
  <c r="J260" i="13" s="1"/>
  <c r="E260" i="13"/>
  <c r="D260" i="13"/>
  <c r="M259" i="13"/>
  <c r="L259" i="13"/>
  <c r="K259" i="13"/>
  <c r="I259" i="13"/>
  <c r="J259" i="13" s="1"/>
  <c r="N259" i="13" s="1"/>
  <c r="O259" i="13" s="1"/>
  <c r="D259" i="13"/>
  <c r="E259" i="13" s="1"/>
  <c r="H259" i="13" s="1"/>
  <c r="L258" i="13"/>
  <c r="K258" i="13"/>
  <c r="E258" i="13"/>
  <c r="H258" i="13" s="1"/>
  <c r="I258" i="13" s="1"/>
  <c r="J258" i="13" s="1"/>
  <c r="D258" i="13"/>
  <c r="M257" i="13"/>
  <c r="L257" i="13"/>
  <c r="K257" i="13"/>
  <c r="D257" i="13"/>
  <c r="L256" i="13"/>
  <c r="K256" i="13"/>
  <c r="M256" i="13" s="1"/>
  <c r="D256" i="13"/>
  <c r="M255" i="13"/>
  <c r="L255" i="13"/>
  <c r="K255" i="13"/>
  <c r="D255" i="13"/>
  <c r="M254" i="13"/>
  <c r="L254" i="13"/>
  <c r="K254" i="13"/>
  <c r="D254" i="13"/>
  <c r="N253" i="13"/>
  <c r="O253" i="13" s="1"/>
  <c r="L253" i="13"/>
  <c r="K253" i="13"/>
  <c r="M253" i="13" s="1"/>
  <c r="E253" i="13"/>
  <c r="H253" i="13" s="1"/>
  <c r="I253" i="13" s="1"/>
  <c r="J253" i="13" s="1"/>
  <c r="D253" i="13"/>
  <c r="L252" i="13"/>
  <c r="K252" i="13"/>
  <c r="M252" i="13" s="1"/>
  <c r="E252" i="13"/>
  <c r="H252" i="13" s="1"/>
  <c r="I252" i="13" s="1"/>
  <c r="J252" i="13" s="1"/>
  <c r="N252" i="13" s="1"/>
  <c r="O252" i="13" s="1"/>
  <c r="D252" i="13"/>
  <c r="M251" i="13"/>
  <c r="L251" i="13"/>
  <c r="K251" i="13"/>
  <c r="D251" i="13"/>
  <c r="M250" i="13"/>
  <c r="L250" i="13"/>
  <c r="K250" i="13"/>
  <c r="D250" i="13"/>
  <c r="M249" i="13"/>
  <c r="L249" i="13"/>
  <c r="K249" i="13"/>
  <c r="J249" i="13"/>
  <c r="N249" i="13" s="1"/>
  <c r="O249" i="13" s="1"/>
  <c r="E249" i="13"/>
  <c r="H249" i="13" s="1"/>
  <c r="I249" i="13" s="1"/>
  <c r="D249" i="13"/>
  <c r="M248" i="13"/>
  <c r="L248" i="13"/>
  <c r="K248" i="13"/>
  <c r="E248" i="13"/>
  <c r="H248" i="13" s="1"/>
  <c r="I248" i="13" s="1"/>
  <c r="J248" i="13" s="1"/>
  <c r="N248" i="13" s="1"/>
  <c r="O248" i="13" s="1"/>
  <c r="D248" i="13"/>
  <c r="L247" i="13"/>
  <c r="K247" i="13"/>
  <c r="M247" i="13" s="1"/>
  <c r="D247" i="13"/>
  <c r="L246" i="13"/>
  <c r="K246" i="13"/>
  <c r="M246" i="13" s="1"/>
  <c r="D246" i="13"/>
  <c r="L245" i="13"/>
  <c r="K245" i="13"/>
  <c r="M245" i="13" s="1"/>
  <c r="J245" i="13"/>
  <c r="N245" i="13" s="1"/>
  <c r="O245" i="13" s="1"/>
  <c r="E245" i="13"/>
  <c r="H245" i="13" s="1"/>
  <c r="I245" i="13" s="1"/>
  <c r="D245" i="13"/>
  <c r="E244" i="13" s="1"/>
  <c r="H244" i="13" s="1"/>
  <c r="I244" i="13" s="1"/>
  <c r="J244" i="13" s="1"/>
  <c r="L244" i="13"/>
  <c r="K244" i="13"/>
  <c r="D244" i="13"/>
  <c r="M243" i="13"/>
  <c r="L243" i="13"/>
  <c r="K243" i="13"/>
  <c r="I243" i="13"/>
  <c r="J243" i="13" s="1"/>
  <c r="E243" i="13"/>
  <c r="H243" i="13" s="1"/>
  <c r="D243" i="13"/>
  <c r="L242" i="13"/>
  <c r="K242" i="13"/>
  <c r="M242" i="13" s="1"/>
  <c r="H242" i="13"/>
  <c r="I242" i="13" s="1"/>
  <c r="J242" i="13" s="1"/>
  <c r="E242" i="13"/>
  <c r="D242" i="13"/>
  <c r="L241" i="13"/>
  <c r="K241" i="13"/>
  <c r="M241" i="13" s="1"/>
  <c r="I241" i="13"/>
  <c r="J241" i="13" s="1"/>
  <c r="N241" i="13" s="1"/>
  <c r="O241" i="13" s="1"/>
  <c r="E241" i="13"/>
  <c r="H241" i="13" s="1"/>
  <c r="D241" i="13"/>
  <c r="L240" i="13"/>
  <c r="K240" i="13"/>
  <c r="H240" i="13"/>
  <c r="I240" i="13" s="1"/>
  <c r="J240" i="13" s="1"/>
  <c r="E240" i="13"/>
  <c r="D240" i="13"/>
  <c r="M239" i="13"/>
  <c r="L239" i="13"/>
  <c r="K239" i="13"/>
  <c r="D239" i="13"/>
  <c r="M238" i="13"/>
  <c r="L238" i="13"/>
  <c r="K238" i="13"/>
  <c r="D238" i="13"/>
  <c r="L237" i="13"/>
  <c r="K237" i="13"/>
  <c r="M237" i="13" s="1"/>
  <c r="E237" i="13"/>
  <c r="H237" i="13" s="1"/>
  <c r="I237" i="13" s="1"/>
  <c r="J237" i="13" s="1"/>
  <c r="N237" i="13" s="1"/>
  <c r="O237" i="13" s="1"/>
  <c r="D237" i="13"/>
  <c r="O236" i="13"/>
  <c r="M236" i="13"/>
  <c r="L236" i="13"/>
  <c r="K236" i="13"/>
  <c r="E236" i="13"/>
  <c r="H236" i="13" s="1"/>
  <c r="I236" i="13" s="1"/>
  <c r="J236" i="13" s="1"/>
  <c r="N236" i="13" s="1"/>
  <c r="D236" i="13"/>
  <c r="M235" i="13"/>
  <c r="L235" i="13"/>
  <c r="K235" i="13"/>
  <c r="D235" i="13"/>
  <c r="M234" i="13"/>
  <c r="L234" i="13"/>
  <c r="K234" i="13"/>
  <c r="D234" i="13"/>
  <c r="M233" i="13"/>
  <c r="L233" i="13"/>
  <c r="K233" i="13"/>
  <c r="J233" i="13"/>
  <c r="N233" i="13" s="1"/>
  <c r="O233" i="13" s="1"/>
  <c r="E233" i="13"/>
  <c r="H233" i="13" s="1"/>
  <c r="I233" i="13" s="1"/>
  <c r="D233" i="13"/>
  <c r="M232" i="13"/>
  <c r="L232" i="13"/>
  <c r="K232" i="13"/>
  <c r="E232" i="13"/>
  <c r="H232" i="13" s="1"/>
  <c r="I232" i="13" s="1"/>
  <c r="J232" i="13" s="1"/>
  <c r="N232" i="13" s="1"/>
  <c r="O232" i="13" s="1"/>
  <c r="D232" i="13"/>
  <c r="L231" i="13"/>
  <c r="K231" i="13"/>
  <c r="M231" i="13" s="1"/>
  <c r="D231" i="13"/>
  <c r="E231" i="13" s="1"/>
  <c r="H231" i="13" s="1"/>
  <c r="I231" i="13" s="1"/>
  <c r="J231" i="13" s="1"/>
  <c r="N231" i="13" s="1"/>
  <c r="O231" i="13" s="1"/>
  <c r="L230" i="13"/>
  <c r="K230" i="13"/>
  <c r="M230" i="13" s="1"/>
  <c r="D230" i="13"/>
  <c r="L229" i="13"/>
  <c r="K229" i="13"/>
  <c r="M229" i="13" s="1"/>
  <c r="D229" i="13"/>
  <c r="L228" i="13"/>
  <c r="K228" i="13"/>
  <c r="D228" i="13"/>
  <c r="M227" i="13"/>
  <c r="L227" i="13"/>
  <c r="K227" i="13"/>
  <c r="I227" i="13"/>
  <c r="J227" i="13" s="1"/>
  <c r="N227" i="13" s="1"/>
  <c r="O227" i="13" s="1"/>
  <c r="E227" i="13"/>
  <c r="H227" i="13" s="1"/>
  <c r="D227" i="13"/>
  <c r="L226" i="13"/>
  <c r="K226" i="13"/>
  <c r="M226" i="13" s="1"/>
  <c r="E226" i="13"/>
  <c r="H226" i="13" s="1"/>
  <c r="I226" i="13" s="1"/>
  <c r="J226" i="13" s="1"/>
  <c r="N226" i="13" s="1"/>
  <c r="O226" i="13" s="1"/>
  <c r="D226" i="13"/>
  <c r="L225" i="13"/>
  <c r="K225" i="13"/>
  <c r="M225" i="13" s="1"/>
  <c r="J225" i="13"/>
  <c r="N225" i="13" s="1"/>
  <c r="O225" i="13" s="1"/>
  <c r="I225" i="13"/>
  <c r="E225" i="13"/>
  <c r="H225" i="13" s="1"/>
  <c r="D225" i="13"/>
  <c r="L224" i="13"/>
  <c r="K224" i="13"/>
  <c r="M224" i="13" s="1"/>
  <c r="H224" i="13"/>
  <c r="I224" i="13" s="1"/>
  <c r="J224" i="13" s="1"/>
  <c r="N224" i="13" s="1"/>
  <c r="O224" i="13" s="1"/>
  <c r="E224" i="13"/>
  <c r="D224" i="13"/>
  <c r="M223" i="13"/>
  <c r="L223" i="13"/>
  <c r="K223" i="13"/>
  <c r="E223" i="13"/>
  <c r="H223" i="13" s="1"/>
  <c r="I223" i="13" s="1"/>
  <c r="J223" i="13" s="1"/>
  <c r="N223" i="13" s="1"/>
  <c r="O223" i="13" s="1"/>
  <c r="D223" i="13"/>
  <c r="M222" i="13"/>
  <c r="L222" i="13"/>
  <c r="K222" i="13"/>
  <c r="E222" i="13"/>
  <c r="H222" i="13" s="1"/>
  <c r="I222" i="13" s="1"/>
  <c r="J222" i="13" s="1"/>
  <c r="N222" i="13" s="1"/>
  <c r="O222" i="13" s="1"/>
  <c r="D222" i="13"/>
  <c r="N221" i="13"/>
  <c r="O221" i="13" s="1"/>
  <c r="L221" i="13"/>
  <c r="K221" i="13"/>
  <c r="M221" i="13" s="1"/>
  <c r="E221" i="13"/>
  <c r="H221" i="13" s="1"/>
  <c r="I221" i="13" s="1"/>
  <c r="J221" i="13" s="1"/>
  <c r="D221" i="13"/>
  <c r="E220" i="13" s="1"/>
  <c r="L220" i="13"/>
  <c r="K220" i="13"/>
  <c r="M220" i="13" s="1"/>
  <c r="H220" i="13"/>
  <c r="I220" i="13" s="1"/>
  <c r="J220" i="13" s="1"/>
  <c r="N220" i="13" s="1"/>
  <c r="O220" i="13" s="1"/>
  <c r="D220" i="13"/>
  <c r="L219" i="13"/>
  <c r="K219" i="13"/>
  <c r="E219" i="13"/>
  <c r="H219" i="13" s="1"/>
  <c r="I219" i="13" s="1"/>
  <c r="J219" i="13" s="1"/>
  <c r="D219" i="13"/>
  <c r="O218" i="13"/>
  <c r="L218" i="13"/>
  <c r="M218" i="13" s="1"/>
  <c r="K218" i="13"/>
  <c r="D218" i="13"/>
  <c r="E218" i="13" s="1"/>
  <c r="H218" i="13" s="1"/>
  <c r="I218" i="13" s="1"/>
  <c r="J218" i="13" s="1"/>
  <c r="N218" i="13" s="1"/>
  <c r="L217" i="13"/>
  <c r="K217" i="13"/>
  <c r="M217" i="13" s="1"/>
  <c r="D217" i="13"/>
  <c r="E216" i="13" s="1"/>
  <c r="H216" i="13" s="1"/>
  <c r="I216" i="13" s="1"/>
  <c r="M216" i="13"/>
  <c r="L216" i="13"/>
  <c r="K216" i="13"/>
  <c r="J216" i="13"/>
  <c r="D216" i="13"/>
  <c r="M215" i="13"/>
  <c r="L215" i="13"/>
  <c r="K215" i="13"/>
  <c r="J215" i="13"/>
  <c r="N215" i="13" s="1"/>
  <c r="O215" i="13" s="1"/>
  <c r="E215" i="13"/>
  <c r="H215" i="13" s="1"/>
  <c r="I215" i="13" s="1"/>
  <c r="D215" i="13"/>
  <c r="M214" i="13"/>
  <c r="L214" i="13"/>
  <c r="K214" i="13"/>
  <c r="I214" i="13"/>
  <c r="J214" i="13" s="1"/>
  <c r="E214" i="13"/>
  <c r="H214" i="13" s="1"/>
  <c r="D214" i="13"/>
  <c r="L213" i="13"/>
  <c r="K213" i="13"/>
  <c r="M213" i="13" s="1"/>
  <c r="H213" i="13"/>
  <c r="I213" i="13" s="1"/>
  <c r="J213" i="13" s="1"/>
  <c r="N213" i="13" s="1"/>
  <c r="O213" i="13" s="1"/>
  <c r="E213" i="13"/>
  <c r="D213" i="13"/>
  <c r="E212" i="13" s="1"/>
  <c r="L212" i="13"/>
  <c r="K212" i="13"/>
  <c r="M212" i="13" s="1"/>
  <c r="H212" i="13"/>
  <c r="I212" i="13" s="1"/>
  <c r="J212" i="13" s="1"/>
  <c r="N212" i="13" s="1"/>
  <c r="O212" i="13" s="1"/>
  <c r="D212" i="13"/>
  <c r="L211" i="13"/>
  <c r="M211" i="13" s="1"/>
  <c r="K211" i="13"/>
  <c r="E211" i="13"/>
  <c r="H211" i="13" s="1"/>
  <c r="I211" i="13" s="1"/>
  <c r="J211" i="13" s="1"/>
  <c r="N211" i="13" s="1"/>
  <c r="O211" i="13" s="1"/>
  <c r="D211" i="13"/>
  <c r="L210" i="13"/>
  <c r="M210" i="13" s="1"/>
  <c r="K210" i="13"/>
  <c r="H210" i="13"/>
  <c r="I210" i="13" s="1"/>
  <c r="J210" i="13" s="1"/>
  <c r="N210" i="13" s="1"/>
  <c r="O210" i="13" s="1"/>
  <c r="E210" i="13"/>
  <c r="D210" i="13"/>
  <c r="L209" i="13"/>
  <c r="K209" i="13"/>
  <c r="M209" i="13" s="1"/>
  <c r="D209" i="13"/>
  <c r="E209" i="13" s="1"/>
  <c r="H209" i="13" s="1"/>
  <c r="I209" i="13" s="1"/>
  <c r="J209" i="13" s="1"/>
  <c r="N209" i="13" s="1"/>
  <c r="O209" i="13" s="1"/>
  <c r="L208" i="13"/>
  <c r="M208" i="13" s="1"/>
  <c r="K208" i="13"/>
  <c r="D208" i="13"/>
  <c r="N207" i="13"/>
  <c r="O207" i="13" s="1"/>
  <c r="L207" i="13"/>
  <c r="K207" i="13"/>
  <c r="M207" i="13" s="1"/>
  <c r="D207" i="13"/>
  <c r="E207" i="13" s="1"/>
  <c r="H207" i="13" s="1"/>
  <c r="I207" i="13" s="1"/>
  <c r="J207" i="13" s="1"/>
  <c r="L206" i="13"/>
  <c r="K206" i="13"/>
  <c r="D206" i="13"/>
  <c r="M205" i="13"/>
  <c r="L205" i="13"/>
  <c r="K205" i="13"/>
  <c r="D205" i="13"/>
  <c r="M204" i="13"/>
  <c r="L204" i="13"/>
  <c r="K204" i="13"/>
  <c r="I204" i="13"/>
  <c r="J204" i="13" s="1"/>
  <c r="N204" i="13" s="1"/>
  <c r="O204" i="13" s="1"/>
  <c r="H204" i="13"/>
  <c r="E204" i="13"/>
  <c r="D204" i="13"/>
  <c r="L203" i="13"/>
  <c r="K203" i="13"/>
  <c r="M203" i="13" s="1"/>
  <c r="E203" i="13"/>
  <c r="H203" i="13" s="1"/>
  <c r="I203" i="13" s="1"/>
  <c r="J203" i="13" s="1"/>
  <c r="N203" i="13" s="1"/>
  <c r="O203" i="13" s="1"/>
  <c r="D203" i="13"/>
  <c r="L202" i="13"/>
  <c r="M202" i="13" s="1"/>
  <c r="K202" i="13"/>
  <c r="H202" i="13"/>
  <c r="I202" i="13" s="1"/>
  <c r="J202" i="13" s="1"/>
  <c r="E202" i="13"/>
  <c r="D202" i="13"/>
  <c r="M201" i="13"/>
  <c r="L201" i="13"/>
  <c r="K201" i="13"/>
  <c r="J201" i="13"/>
  <c r="N201" i="13" s="1"/>
  <c r="O201" i="13" s="1"/>
  <c r="D201" i="13"/>
  <c r="E201" i="13" s="1"/>
  <c r="H201" i="13" s="1"/>
  <c r="I201" i="13" s="1"/>
  <c r="L200" i="13"/>
  <c r="K200" i="13"/>
  <c r="M200" i="13" s="1"/>
  <c r="E200" i="13"/>
  <c r="H200" i="13" s="1"/>
  <c r="I200" i="13" s="1"/>
  <c r="J200" i="13" s="1"/>
  <c r="D200" i="13"/>
  <c r="M199" i="13"/>
  <c r="L199" i="13"/>
  <c r="K199" i="13"/>
  <c r="E199" i="13"/>
  <c r="H199" i="13" s="1"/>
  <c r="I199" i="13" s="1"/>
  <c r="J199" i="13" s="1"/>
  <c r="D199" i="13"/>
  <c r="M198" i="13"/>
  <c r="L198" i="13"/>
  <c r="K198" i="13"/>
  <c r="H198" i="13"/>
  <c r="I198" i="13" s="1"/>
  <c r="J198" i="13" s="1"/>
  <c r="N198" i="13" s="1"/>
  <c r="O198" i="13" s="1"/>
  <c r="E198" i="13"/>
  <c r="D198" i="13"/>
  <c r="L197" i="13"/>
  <c r="K197" i="13"/>
  <c r="M197" i="13" s="1"/>
  <c r="E197" i="13"/>
  <c r="H197" i="13" s="1"/>
  <c r="I197" i="13" s="1"/>
  <c r="J197" i="13" s="1"/>
  <c r="N197" i="13" s="1"/>
  <c r="O197" i="13" s="1"/>
  <c r="D197" i="13"/>
  <c r="L196" i="13"/>
  <c r="K196" i="13"/>
  <c r="M196" i="13" s="1"/>
  <c r="H196" i="13"/>
  <c r="I196" i="13" s="1"/>
  <c r="J196" i="13" s="1"/>
  <c r="N196" i="13" s="1"/>
  <c r="O196" i="13" s="1"/>
  <c r="E196" i="13"/>
  <c r="D196" i="13"/>
  <c r="M195" i="13"/>
  <c r="L195" i="13"/>
  <c r="K195" i="13"/>
  <c r="D195" i="13"/>
  <c r="E195" i="13" s="1"/>
  <c r="H195" i="13" s="1"/>
  <c r="I195" i="13" s="1"/>
  <c r="J195" i="13" s="1"/>
  <c r="N195" i="13" s="1"/>
  <c r="O195" i="13" s="1"/>
  <c r="N194" i="13"/>
  <c r="O194" i="13" s="1"/>
  <c r="L194" i="13"/>
  <c r="K194" i="13"/>
  <c r="M194" i="13" s="1"/>
  <c r="D194" i="13"/>
  <c r="E194" i="13" s="1"/>
  <c r="H194" i="13" s="1"/>
  <c r="I194" i="13" s="1"/>
  <c r="J194" i="13" s="1"/>
  <c r="L193" i="13"/>
  <c r="K193" i="13"/>
  <c r="E193" i="13"/>
  <c r="H193" i="13" s="1"/>
  <c r="I193" i="13" s="1"/>
  <c r="J193" i="13" s="1"/>
  <c r="D193" i="13"/>
  <c r="M192" i="13"/>
  <c r="L192" i="13"/>
  <c r="K192" i="13"/>
  <c r="D192" i="13"/>
  <c r="L191" i="13"/>
  <c r="K191" i="13"/>
  <c r="M191" i="13" s="1"/>
  <c r="D191" i="13"/>
  <c r="M190" i="13"/>
  <c r="L190" i="13"/>
  <c r="K190" i="13"/>
  <c r="D190" i="13"/>
  <c r="E190" i="13" s="1"/>
  <c r="H190" i="13" s="1"/>
  <c r="I190" i="13" s="1"/>
  <c r="J190" i="13" s="1"/>
  <c r="N190" i="13" s="1"/>
  <c r="O190" i="13" s="1"/>
  <c r="L189" i="13"/>
  <c r="K189" i="13"/>
  <c r="E189" i="13"/>
  <c r="H189" i="13" s="1"/>
  <c r="I189" i="13" s="1"/>
  <c r="J189" i="13" s="1"/>
  <c r="D189" i="13"/>
  <c r="M188" i="13"/>
  <c r="L188" i="13"/>
  <c r="K188" i="13"/>
  <c r="D188" i="13"/>
  <c r="L187" i="13"/>
  <c r="K187" i="13"/>
  <c r="M187" i="13" s="1"/>
  <c r="D187" i="13"/>
  <c r="M186" i="13"/>
  <c r="L186" i="13"/>
  <c r="K186" i="13"/>
  <c r="D186" i="13"/>
  <c r="E186" i="13" s="1"/>
  <c r="H186" i="13" s="1"/>
  <c r="I186" i="13" s="1"/>
  <c r="J186" i="13" s="1"/>
  <c r="N186" i="13" s="1"/>
  <c r="O186" i="13" s="1"/>
  <c r="L185" i="13"/>
  <c r="K185" i="13"/>
  <c r="E185" i="13"/>
  <c r="H185" i="13" s="1"/>
  <c r="I185" i="13" s="1"/>
  <c r="J185" i="13" s="1"/>
  <c r="D185" i="13"/>
  <c r="M184" i="13"/>
  <c r="L184" i="13"/>
  <c r="K184" i="13"/>
  <c r="D184" i="13"/>
  <c r="L183" i="13"/>
  <c r="K183" i="13"/>
  <c r="M183" i="13" s="1"/>
  <c r="D183" i="13"/>
  <c r="M182" i="13"/>
  <c r="L182" i="13"/>
  <c r="K182" i="13"/>
  <c r="D182" i="13"/>
  <c r="E182" i="13" s="1"/>
  <c r="H182" i="13" s="1"/>
  <c r="I182" i="13" s="1"/>
  <c r="J182" i="13" s="1"/>
  <c r="N182" i="13" s="1"/>
  <c r="O182" i="13" s="1"/>
  <c r="L181" i="13"/>
  <c r="K181" i="13"/>
  <c r="E181" i="13"/>
  <c r="H181" i="13" s="1"/>
  <c r="I181" i="13" s="1"/>
  <c r="J181" i="13" s="1"/>
  <c r="D181" i="13"/>
  <c r="M180" i="13"/>
  <c r="L180" i="13"/>
  <c r="K180" i="13"/>
  <c r="D180" i="13"/>
  <c r="L179" i="13"/>
  <c r="K179" i="13"/>
  <c r="M179" i="13" s="1"/>
  <c r="D179" i="13"/>
  <c r="M178" i="13"/>
  <c r="L178" i="13"/>
  <c r="K178" i="13"/>
  <c r="D178" i="13"/>
  <c r="E178" i="13" s="1"/>
  <c r="H178" i="13" s="1"/>
  <c r="I178" i="13" s="1"/>
  <c r="J178" i="13" s="1"/>
  <c r="N178" i="13" s="1"/>
  <c r="O178" i="13" s="1"/>
  <c r="L177" i="13"/>
  <c r="K177" i="13"/>
  <c r="E177" i="13"/>
  <c r="H177" i="13" s="1"/>
  <c r="I177" i="13" s="1"/>
  <c r="J177" i="13" s="1"/>
  <c r="D177" i="13"/>
  <c r="M176" i="13"/>
  <c r="L176" i="13"/>
  <c r="K176" i="13"/>
  <c r="D176" i="13"/>
  <c r="L175" i="13"/>
  <c r="K175" i="13"/>
  <c r="M175" i="13" s="1"/>
  <c r="D175" i="13"/>
  <c r="M174" i="13"/>
  <c r="L174" i="13"/>
  <c r="K174" i="13"/>
  <c r="D174" i="13"/>
  <c r="E174" i="13" s="1"/>
  <c r="H174" i="13" s="1"/>
  <c r="I174" i="13" s="1"/>
  <c r="J174" i="13" s="1"/>
  <c r="N174" i="13" s="1"/>
  <c r="O174" i="13" s="1"/>
  <c r="L173" i="13"/>
  <c r="K173" i="13"/>
  <c r="E173" i="13"/>
  <c r="H173" i="13" s="1"/>
  <c r="I173" i="13" s="1"/>
  <c r="J173" i="13" s="1"/>
  <c r="D173" i="13"/>
  <c r="M172" i="13"/>
  <c r="L172" i="13"/>
  <c r="K172" i="13"/>
  <c r="D172" i="13"/>
  <c r="L171" i="13"/>
  <c r="K171" i="13"/>
  <c r="M171" i="13" s="1"/>
  <c r="D171" i="13"/>
  <c r="M170" i="13"/>
  <c r="L170" i="13"/>
  <c r="K170" i="13"/>
  <c r="D170" i="13"/>
  <c r="E170" i="13" s="1"/>
  <c r="H170" i="13" s="1"/>
  <c r="I170" i="13" s="1"/>
  <c r="J170" i="13" s="1"/>
  <c r="N170" i="13" s="1"/>
  <c r="O170" i="13" s="1"/>
  <c r="L169" i="13"/>
  <c r="K169" i="13"/>
  <c r="E169" i="13"/>
  <c r="H169" i="13" s="1"/>
  <c r="I169" i="13" s="1"/>
  <c r="J169" i="13" s="1"/>
  <c r="D169" i="13"/>
  <c r="M168" i="13"/>
  <c r="L168" i="13"/>
  <c r="K168" i="13"/>
  <c r="D168" i="13"/>
  <c r="L167" i="13"/>
  <c r="K167" i="13"/>
  <c r="M167" i="13" s="1"/>
  <c r="D167" i="13"/>
  <c r="M166" i="13"/>
  <c r="L166" i="13"/>
  <c r="K166" i="13"/>
  <c r="D166" i="13"/>
  <c r="E166" i="13" s="1"/>
  <c r="H166" i="13" s="1"/>
  <c r="I166" i="13" s="1"/>
  <c r="J166" i="13" s="1"/>
  <c r="N166" i="13" s="1"/>
  <c r="O166" i="13" s="1"/>
  <c r="L165" i="13"/>
  <c r="K165" i="13"/>
  <c r="E165" i="13"/>
  <c r="H165" i="13" s="1"/>
  <c r="I165" i="13" s="1"/>
  <c r="J165" i="13" s="1"/>
  <c r="D165" i="13"/>
  <c r="M164" i="13"/>
  <c r="L164" i="13"/>
  <c r="K164" i="13"/>
  <c r="D164" i="13"/>
  <c r="L163" i="13"/>
  <c r="K163" i="13"/>
  <c r="M163" i="13" s="1"/>
  <c r="D163" i="13"/>
  <c r="M162" i="13"/>
  <c r="L162" i="13"/>
  <c r="K162" i="13"/>
  <c r="D162" i="13"/>
  <c r="E162" i="13" s="1"/>
  <c r="H162" i="13" s="1"/>
  <c r="I162" i="13" s="1"/>
  <c r="J162" i="13" s="1"/>
  <c r="N162" i="13" s="1"/>
  <c r="O162" i="13" s="1"/>
  <c r="L161" i="13"/>
  <c r="K161" i="13"/>
  <c r="E161" i="13"/>
  <c r="H161" i="13" s="1"/>
  <c r="I161" i="13" s="1"/>
  <c r="J161" i="13" s="1"/>
  <c r="D161" i="13"/>
  <c r="M160" i="13"/>
  <c r="L160" i="13"/>
  <c r="K160" i="13"/>
  <c r="D160" i="13"/>
  <c r="L159" i="13"/>
  <c r="K159" i="13"/>
  <c r="M159" i="13" s="1"/>
  <c r="D159" i="13"/>
  <c r="M158" i="13"/>
  <c r="L158" i="13"/>
  <c r="K158" i="13"/>
  <c r="D158" i="13"/>
  <c r="E158" i="13" s="1"/>
  <c r="H158" i="13" s="1"/>
  <c r="I158" i="13" s="1"/>
  <c r="J158" i="13" s="1"/>
  <c r="N158" i="13" s="1"/>
  <c r="O158" i="13" s="1"/>
  <c r="L157" i="13"/>
  <c r="K157" i="13"/>
  <c r="E157" i="13"/>
  <c r="H157" i="13" s="1"/>
  <c r="I157" i="13" s="1"/>
  <c r="J157" i="13" s="1"/>
  <c r="D157" i="13"/>
  <c r="M156" i="13"/>
  <c r="L156" i="13"/>
  <c r="K156" i="13"/>
  <c r="D156" i="13"/>
  <c r="L155" i="13"/>
  <c r="K155" i="13"/>
  <c r="M155" i="13" s="1"/>
  <c r="D155" i="13"/>
  <c r="M154" i="13"/>
  <c r="L154" i="13"/>
  <c r="K154" i="13"/>
  <c r="D154" i="13"/>
  <c r="E154" i="13" s="1"/>
  <c r="H154" i="13" s="1"/>
  <c r="I154" i="13" s="1"/>
  <c r="J154" i="13" s="1"/>
  <c r="N154" i="13" s="1"/>
  <c r="O154" i="13" s="1"/>
  <c r="L153" i="13"/>
  <c r="K153" i="13"/>
  <c r="E153" i="13"/>
  <c r="H153" i="13" s="1"/>
  <c r="I153" i="13" s="1"/>
  <c r="J153" i="13" s="1"/>
  <c r="D153" i="13"/>
  <c r="M152" i="13"/>
  <c r="L152" i="13"/>
  <c r="K152" i="13"/>
  <c r="D152" i="13"/>
  <c r="E152" i="13" s="1"/>
  <c r="H152" i="13" s="1"/>
  <c r="I152" i="13" s="1"/>
  <c r="J152" i="13" s="1"/>
  <c r="N152" i="13" s="1"/>
  <c r="O152" i="13" s="1"/>
  <c r="L151" i="13"/>
  <c r="K151" i="13"/>
  <c r="E151" i="13"/>
  <c r="H151" i="13" s="1"/>
  <c r="I151" i="13" s="1"/>
  <c r="J151" i="13" s="1"/>
  <c r="D151" i="13"/>
  <c r="M150" i="13"/>
  <c r="L150" i="13"/>
  <c r="K150" i="13"/>
  <c r="D150" i="13"/>
  <c r="E150" i="13" s="1"/>
  <c r="H150" i="13" s="1"/>
  <c r="I150" i="13" s="1"/>
  <c r="J150" i="13" s="1"/>
  <c r="N150" i="13" s="1"/>
  <c r="O150" i="13" s="1"/>
  <c r="L149" i="13"/>
  <c r="K149" i="13"/>
  <c r="M149" i="13" s="1"/>
  <c r="E149" i="13"/>
  <c r="H149" i="13" s="1"/>
  <c r="I149" i="13" s="1"/>
  <c r="J149" i="13" s="1"/>
  <c r="N149" i="13" s="1"/>
  <c r="O149" i="13" s="1"/>
  <c r="D149" i="13"/>
  <c r="M148" i="13"/>
  <c r="L148" i="13"/>
  <c r="K148" i="13"/>
  <c r="D148" i="13"/>
  <c r="E148" i="13" s="1"/>
  <c r="H148" i="13" s="1"/>
  <c r="I148" i="13" s="1"/>
  <c r="J148" i="13" s="1"/>
  <c r="N148" i="13" s="1"/>
  <c r="O148" i="13" s="1"/>
  <c r="L147" i="13"/>
  <c r="K147" i="13"/>
  <c r="M147" i="13" s="1"/>
  <c r="D147" i="13"/>
  <c r="M146" i="13"/>
  <c r="L146" i="13"/>
  <c r="K146" i="13"/>
  <c r="I146" i="13"/>
  <c r="J146" i="13" s="1"/>
  <c r="N146" i="13" s="1"/>
  <c r="O146" i="13" s="1"/>
  <c r="D146" i="13"/>
  <c r="E146" i="13" s="1"/>
  <c r="H146" i="13" s="1"/>
  <c r="L145" i="13"/>
  <c r="K145" i="13"/>
  <c r="M145" i="13" s="1"/>
  <c r="E145" i="13"/>
  <c r="H145" i="13" s="1"/>
  <c r="I145" i="13" s="1"/>
  <c r="J145" i="13" s="1"/>
  <c r="N145" i="13" s="1"/>
  <c r="O145" i="13" s="1"/>
  <c r="D145" i="13"/>
  <c r="M144" i="13"/>
  <c r="L144" i="13"/>
  <c r="K144" i="13"/>
  <c r="D144" i="13"/>
  <c r="E144" i="13" s="1"/>
  <c r="H144" i="13" s="1"/>
  <c r="I144" i="13" s="1"/>
  <c r="J144" i="13" s="1"/>
  <c r="N144" i="13" s="1"/>
  <c r="O144" i="13" s="1"/>
  <c r="L143" i="13"/>
  <c r="K143" i="13"/>
  <c r="E143" i="13"/>
  <c r="H143" i="13" s="1"/>
  <c r="I143" i="13" s="1"/>
  <c r="J143" i="13" s="1"/>
  <c r="D143" i="13"/>
  <c r="M142" i="13"/>
  <c r="L142" i="13"/>
  <c r="K142" i="13"/>
  <c r="D142" i="13"/>
  <c r="E142" i="13" s="1"/>
  <c r="H142" i="13" s="1"/>
  <c r="I142" i="13" s="1"/>
  <c r="J142" i="13" s="1"/>
  <c r="N142" i="13" s="1"/>
  <c r="O142" i="13" s="1"/>
  <c r="L141" i="13"/>
  <c r="K141" i="13"/>
  <c r="M141" i="13" s="1"/>
  <c r="E141" i="13"/>
  <c r="H141" i="13" s="1"/>
  <c r="I141" i="13" s="1"/>
  <c r="J141" i="13" s="1"/>
  <c r="N141" i="13" s="1"/>
  <c r="O141" i="13" s="1"/>
  <c r="D141" i="13"/>
  <c r="M140" i="13"/>
  <c r="L140" i="13"/>
  <c r="K140" i="13"/>
  <c r="D140" i="13"/>
  <c r="E140" i="13" s="1"/>
  <c r="H140" i="13" s="1"/>
  <c r="I140" i="13" s="1"/>
  <c r="J140" i="13" s="1"/>
  <c r="N140" i="13" s="1"/>
  <c r="O140" i="13" s="1"/>
  <c r="L139" i="13"/>
  <c r="K139" i="13"/>
  <c r="M139" i="13" s="1"/>
  <c r="D139" i="13"/>
  <c r="M138" i="13"/>
  <c r="L138" i="13"/>
  <c r="K138" i="13"/>
  <c r="I138" i="13"/>
  <c r="J138" i="13" s="1"/>
  <c r="N138" i="13" s="1"/>
  <c r="O138" i="13" s="1"/>
  <c r="D138" i="13"/>
  <c r="E138" i="13" s="1"/>
  <c r="H138" i="13" s="1"/>
  <c r="L137" i="13"/>
  <c r="K137" i="13"/>
  <c r="M137" i="13" s="1"/>
  <c r="E137" i="13"/>
  <c r="H137" i="13" s="1"/>
  <c r="I137" i="13" s="1"/>
  <c r="J137" i="13" s="1"/>
  <c r="N137" i="13" s="1"/>
  <c r="O137" i="13" s="1"/>
  <c r="D137" i="13"/>
  <c r="M136" i="13"/>
  <c r="L136" i="13"/>
  <c r="K136" i="13"/>
  <c r="D136" i="13"/>
  <c r="E136" i="13" s="1"/>
  <c r="H136" i="13" s="1"/>
  <c r="I136" i="13" s="1"/>
  <c r="J136" i="13" s="1"/>
  <c r="N136" i="13" s="1"/>
  <c r="O136" i="13" s="1"/>
  <c r="L135" i="13"/>
  <c r="K135" i="13"/>
  <c r="E135" i="13"/>
  <c r="H135" i="13" s="1"/>
  <c r="I135" i="13" s="1"/>
  <c r="J135" i="13" s="1"/>
  <c r="D135" i="13"/>
  <c r="M134" i="13"/>
  <c r="L134" i="13"/>
  <c r="K134" i="13"/>
  <c r="D134" i="13"/>
  <c r="E134" i="13" s="1"/>
  <c r="H134" i="13" s="1"/>
  <c r="I134" i="13" s="1"/>
  <c r="J134" i="13" s="1"/>
  <c r="N134" i="13" s="1"/>
  <c r="O134" i="13" s="1"/>
  <c r="L133" i="13"/>
  <c r="K133" i="13"/>
  <c r="M133" i="13" s="1"/>
  <c r="E133" i="13"/>
  <c r="H133" i="13" s="1"/>
  <c r="I133" i="13" s="1"/>
  <c r="J133" i="13" s="1"/>
  <c r="N133" i="13" s="1"/>
  <c r="O133" i="13" s="1"/>
  <c r="D133" i="13"/>
  <c r="M132" i="13"/>
  <c r="L132" i="13"/>
  <c r="K132" i="13"/>
  <c r="D132" i="13"/>
  <c r="E132" i="13" s="1"/>
  <c r="H132" i="13" s="1"/>
  <c r="I132" i="13" s="1"/>
  <c r="J132" i="13" s="1"/>
  <c r="N132" i="13" s="1"/>
  <c r="O132" i="13" s="1"/>
  <c r="L131" i="13"/>
  <c r="K131" i="13"/>
  <c r="M131" i="13" s="1"/>
  <c r="D131" i="13"/>
  <c r="M130" i="13"/>
  <c r="L130" i="13"/>
  <c r="K130" i="13"/>
  <c r="I130" i="13"/>
  <c r="J130" i="13" s="1"/>
  <c r="N130" i="13" s="1"/>
  <c r="O130" i="13" s="1"/>
  <c r="D130" i="13"/>
  <c r="E130" i="13" s="1"/>
  <c r="H130" i="13" s="1"/>
  <c r="L129" i="13"/>
  <c r="K129" i="13"/>
  <c r="M129" i="13" s="1"/>
  <c r="E129" i="13"/>
  <c r="H129" i="13" s="1"/>
  <c r="I129" i="13" s="1"/>
  <c r="J129" i="13" s="1"/>
  <c r="N129" i="13" s="1"/>
  <c r="O129" i="13" s="1"/>
  <c r="D129" i="13"/>
  <c r="M128" i="13"/>
  <c r="L128" i="13"/>
  <c r="K128" i="13"/>
  <c r="D128" i="13"/>
  <c r="E128" i="13" s="1"/>
  <c r="H128" i="13" s="1"/>
  <c r="I128" i="13" s="1"/>
  <c r="J128" i="13" s="1"/>
  <c r="N128" i="13" s="1"/>
  <c r="O128" i="13" s="1"/>
  <c r="L127" i="13"/>
  <c r="K127" i="13"/>
  <c r="E127" i="13"/>
  <c r="H127" i="13" s="1"/>
  <c r="I127" i="13" s="1"/>
  <c r="J127" i="13" s="1"/>
  <c r="D127" i="13"/>
  <c r="M126" i="13"/>
  <c r="L126" i="13"/>
  <c r="K126" i="13"/>
  <c r="D126" i="13"/>
  <c r="E126" i="13" s="1"/>
  <c r="H126" i="13" s="1"/>
  <c r="I126" i="13" s="1"/>
  <c r="J126" i="13" s="1"/>
  <c r="N126" i="13" s="1"/>
  <c r="O126" i="13" s="1"/>
  <c r="L125" i="13"/>
  <c r="K125" i="13"/>
  <c r="M125" i="13" s="1"/>
  <c r="E125" i="13"/>
  <c r="H125" i="13" s="1"/>
  <c r="I125" i="13" s="1"/>
  <c r="J125" i="13" s="1"/>
  <c r="N125" i="13" s="1"/>
  <c r="O125" i="13" s="1"/>
  <c r="D125" i="13"/>
  <c r="M124" i="13"/>
  <c r="L124" i="13"/>
  <c r="K124" i="13"/>
  <c r="D124" i="13"/>
  <c r="E124" i="13" s="1"/>
  <c r="H124" i="13" s="1"/>
  <c r="I124" i="13" s="1"/>
  <c r="J124" i="13" s="1"/>
  <c r="N124" i="13" s="1"/>
  <c r="O124" i="13" s="1"/>
  <c r="L123" i="13"/>
  <c r="K123" i="13"/>
  <c r="M123" i="13" s="1"/>
  <c r="D123" i="13"/>
  <c r="M122" i="13"/>
  <c r="L122" i="13"/>
  <c r="K122" i="13"/>
  <c r="I122" i="13"/>
  <c r="J122" i="13" s="1"/>
  <c r="N122" i="13" s="1"/>
  <c r="O122" i="13" s="1"/>
  <c r="D122" i="13"/>
  <c r="E122" i="13" s="1"/>
  <c r="H122" i="13" s="1"/>
  <c r="L121" i="13"/>
  <c r="K121" i="13"/>
  <c r="M121" i="13" s="1"/>
  <c r="E121" i="13"/>
  <c r="H121" i="13" s="1"/>
  <c r="I121" i="13" s="1"/>
  <c r="J121" i="13" s="1"/>
  <c r="N121" i="13" s="1"/>
  <c r="O121" i="13" s="1"/>
  <c r="D121" i="13"/>
  <c r="M120" i="13"/>
  <c r="L120" i="13"/>
  <c r="K120" i="13"/>
  <c r="D120" i="13"/>
  <c r="E120" i="13" s="1"/>
  <c r="H120" i="13" s="1"/>
  <c r="I120" i="13" s="1"/>
  <c r="J120" i="13" s="1"/>
  <c r="N120" i="13" s="1"/>
  <c r="O120" i="13" s="1"/>
  <c r="L119" i="13"/>
  <c r="K119" i="13"/>
  <c r="E119" i="13"/>
  <c r="H119" i="13" s="1"/>
  <c r="I119" i="13" s="1"/>
  <c r="J119" i="13" s="1"/>
  <c r="D119" i="13"/>
  <c r="M118" i="13"/>
  <c r="L118" i="13"/>
  <c r="K118" i="13"/>
  <c r="D118" i="13"/>
  <c r="E118" i="13" s="1"/>
  <c r="H118" i="13" s="1"/>
  <c r="I118" i="13" s="1"/>
  <c r="J118" i="13" s="1"/>
  <c r="N118" i="13" s="1"/>
  <c r="O118" i="13" s="1"/>
  <c r="L117" i="13"/>
  <c r="K117" i="13"/>
  <c r="M117" i="13" s="1"/>
  <c r="E117" i="13"/>
  <c r="H117" i="13" s="1"/>
  <c r="I117" i="13" s="1"/>
  <c r="J117" i="13" s="1"/>
  <c r="N117" i="13" s="1"/>
  <c r="O117" i="13" s="1"/>
  <c r="D117" i="13"/>
  <c r="M116" i="13"/>
  <c r="L116" i="13"/>
  <c r="K116" i="13"/>
  <c r="D116" i="13"/>
  <c r="E116" i="13" s="1"/>
  <c r="H116" i="13" s="1"/>
  <c r="I116" i="13" s="1"/>
  <c r="J116" i="13" s="1"/>
  <c r="N116" i="13" s="1"/>
  <c r="O116" i="13" s="1"/>
  <c r="L115" i="13"/>
  <c r="K115" i="13"/>
  <c r="M115" i="13" s="1"/>
  <c r="D115" i="13"/>
  <c r="M114" i="13"/>
  <c r="L114" i="13"/>
  <c r="K114" i="13"/>
  <c r="I114" i="13"/>
  <c r="J114" i="13" s="1"/>
  <c r="N114" i="13" s="1"/>
  <c r="O114" i="13" s="1"/>
  <c r="D114" i="13"/>
  <c r="E114" i="13" s="1"/>
  <c r="H114" i="13" s="1"/>
  <c r="L113" i="13"/>
  <c r="K113" i="13"/>
  <c r="M113" i="13" s="1"/>
  <c r="E113" i="13"/>
  <c r="H113" i="13" s="1"/>
  <c r="I113" i="13" s="1"/>
  <c r="J113" i="13" s="1"/>
  <c r="N113" i="13" s="1"/>
  <c r="O113" i="13" s="1"/>
  <c r="D113" i="13"/>
  <c r="M112" i="13"/>
  <c r="L112" i="13"/>
  <c r="K112" i="13"/>
  <c r="D112" i="13"/>
  <c r="E112" i="13" s="1"/>
  <c r="H112" i="13" s="1"/>
  <c r="I112" i="13" s="1"/>
  <c r="J112" i="13" s="1"/>
  <c r="N112" i="13" s="1"/>
  <c r="O112" i="13" s="1"/>
  <c r="L111" i="13"/>
  <c r="K111" i="13"/>
  <c r="E111" i="13"/>
  <c r="H111" i="13" s="1"/>
  <c r="I111" i="13" s="1"/>
  <c r="J111" i="13" s="1"/>
  <c r="D111" i="13"/>
  <c r="M110" i="13"/>
  <c r="L110" i="13"/>
  <c r="K110" i="13"/>
  <c r="D110" i="13"/>
  <c r="E110" i="13" s="1"/>
  <c r="H110" i="13" s="1"/>
  <c r="I110" i="13" s="1"/>
  <c r="J110" i="13" s="1"/>
  <c r="N110" i="13" s="1"/>
  <c r="O110" i="13" s="1"/>
  <c r="L109" i="13"/>
  <c r="K109" i="13"/>
  <c r="M109" i="13" s="1"/>
  <c r="E109" i="13"/>
  <c r="H109" i="13" s="1"/>
  <c r="I109" i="13" s="1"/>
  <c r="J109" i="13" s="1"/>
  <c r="N109" i="13" s="1"/>
  <c r="O109" i="13" s="1"/>
  <c r="D109" i="13"/>
  <c r="M108" i="13"/>
  <c r="L108" i="13"/>
  <c r="K108" i="13"/>
  <c r="D108" i="13"/>
  <c r="E108" i="13" s="1"/>
  <c r="H108" i="13" s="1"/>
  <c r="I108" i="13" s="1"/>
  <c r="J108" i="13" s="1"/>
  <c r="N108" i="13" s="1"/>
  <c r="O108" i="13" s="1"/>
  <c r="L107" i="13"/>
  <c r="K107" i="13"/>
  <c r="M107" i="13" s="1"/>
  <c r="D107" i="13"/>
  <c r="M106" i="13"/>
  <c r="L106" i="13"/>
  <c r="K106" i="13"/>
  <c r="I106" i="13"/>
  <c r="J106" i="13" s="1"/>
  <c r="N106" i="13" s="1"/>
  <c r="O106" i="13" s="1"/>
  <c r="D106" i="13"/>
  <c r="E106" i="13" s="1"/>
  <c r="H106" i="13" s="1"/>
  <c r="L105" i="13"/>
  <c r="K105" i="13"/>
  <c r="M105" i="13" s="1"/>
  <c r="E105" i="13"/>
  <c r="H105" i="13" s="1"/>
  <c r="I105" i="13" s="1"/>
  <c r="J105" i="13" s="1"/>
  <c r="N105" i="13" s="1"/>
  <c r="O105" i="13" s="1"/>
  <c r="D105" i="13"/>
  <c r="M104" i="13"/>
  <c r="L104" i="13"/>
  <c r="K104" i="13"/>
  <c r="D104" i="13"/>
  <c r="E104" i="13" s="1"/>
  <c r="H104" i="13" s="1"/>
  <c r="I104" i="13" s="1"/>
  <c r="J104" i="13" s="1"/>
  <c r="N104" i="13" s="1"/>
  <c r="O104" i="13" s="1"/>
  <c r="L103" i="13"/>
  <c r="K103" i="13"/>
  <c r="E103" i="13"/>
  <c r="H103" i="13" s="1"/>
  <c r="I103" i="13" s="1"/>
  <c r="J103" i="13" s="1"/>
  <c r="D103" i="13"/>
  <c r="M102" i="13"/>
  <c r="L102" i="13"/>
  <c r="K102" i="13"/>
  <c r="D102" i="13"/>
  <c r="E102" i="13" s="1"/>
  <c r="H102" i="13" s="1"/>
  <c r="I102" i="13" s="1"/>
  <c r="J102" i="13" s="1"/>
  <c r="N102" i="13" s="1"/>
  <c r="O102" i="13" s="1"/>
  <c r="L101" i="13"/>
  <c r="K101" i="13"/>
  <c r="M101" i="13" s="1"/>
  <c r="E101" i="13"/>
  <c r="H101" i="13" s="1"/>
  <c r="I101" i="13" s="1"/>
  <c r="J101" i="13" s="1"/>
  <c r="N101" i="13" s="1"/>
  <c r="O101" i="13" s="1"/>
  <c r="D101" i="13"/>
  <c r="M100" i="13"/>
  <c r="L100" i="13"/>
  <c r="K100" i="13"/>
  <c r="D100" i="13"/>
  <c r="E100" i="13" s="1"/>
  <c r="H100" i="13" s="1"/>
  <c r="I100" i="13" s="1"/>
  <c r="J100" i="13" s="1"/>
  <c r="N100" i="13" s="1"/>
  <c r="O100" i="13" s="1"/>
  <c r="L99" i="13"/>
  <c r="K99" i="13"/>
  <c r="M99" i="13" s="1"/>
  <c r="D99" i="13"/>
  <c r="M98" i="13"/>
  <c r="L98" i="13"/>
  <c r="K98" i="13"/>
  <c r="I98" i="13"/>
  <c r="J98" i="13" s="1"/>
  <c r="N98" i="13" s="1"/>
  <c r="O98" i="13" s="1"/>
  <c r="D98" i="13"/>
  <c r="E98" i="13" s="1"/>
  <c r="H98" i="13" s="1"/>
  <c r="L97" i="13"/>
  <c r="K97" i="13"/>
  <c r="M97" i="13" s="1"/>
  <c r="E97" i="13"/>
  <c r="H97" i="13" s="1"/>
  <c r="I97" i="13" s="1"/>
  <c r="J97" i="13" s="1"/>
  <c r="N97" i="13" s="1"/>
  <c r="O97" i="13" s="1"/>
  <c r="D97" i="13"/>
  <c r="M96" i="13"/>
  <c r="L96" i="13"/>
  <c r="K96" i="13"/>
  <c r="D96" i="13"/>
  <c r="E96" i="13" s="1"/>
  <c r="H96" i="13" s="1"/>
  <c r="I96" i="13" s="1"/>
  <c r="J96" i="13" s="1"/>
  <c r="N96" i="13" s="1"/>
  <c r="O96" i="13" s="1"/>
  <c r="L95" i="13"/>
  <c r="K95" i="13"/>
  <c r="E95" i="13"/>
  <c r="H95" i="13" s="1"/>
  <c r="I95" i="13" s="1"/>
  <c r="J95" i="13" s="1"/>
  <c r="D95" i="13"/>
  <c r="L94" i="13"/>
  <c r="M94" i="13" s="1"/>
  <c r="K94" i="13"/>
  <c r="D94" i="13"/>
  <c r="E94" i="13" s="1"/>
  <c r="H94" i="13" s="1"/>
  <c r="I94" i="13" s="1"/>
  <c r="J94" i="13" s="1"/>
  <c r="N94" i="13" s="1"/>
  <c r="O94" i="13" s="1"/>
  <c r="L93" i="13"/>
  <c r="K93" i="13"/>
  <c r="M93" i="13" s="1"/>
  <c r="D93" i="13"/>
  <c r="E93" i="13" s="1"/>
  <c r="H93" i="13" s="1"/>
  <c r="I93" i="13" s="1"/>
  <c r="J93" i="13" s="1"/>
  <c r="N93" i="13" s="1"/>
  <c r="O93" i="13" s="1"/>
  <c r="M92" i="13"/>
  <c r="L92" i="13"/>
  <c r="K92" i="13"/>
  <c r="D92" i="13"/>
  <c r="E92" i="13" s="1"/>
  <c r="H92" i="13" s="1"/>
  <c r="I92" i="13" s="1"/>
  <c r="J92" i="13" s="1"/>
  <c r="N92" i="13" s="1"/>
  <c r="O92" i="13" s="1"/>
  <c r="L91" i="13"/>
  <c r="K91" i="13"/>
  <c r="E91" i="13"/>
  <c r="H91" i="13" s="1"/>
  <c r="I91" i="13" s="1"/>
  <c r="J91" i="13" s="1"/>
  <c r="D91" i="13"/>
  <c r="L90" i="13"/>
  <c r="M90" i="13" s="1"/>
  <c r="K90" i="13"/>
  <c r="D90" i="13"/>
  <c r="E90" i="13" s="1"/>
  <c r="H90" i="13" s="1"/>
  <c r="I90" i="13" s="1"/>
  <c r="J90" i="13" s="1"/>
  <c r="N90" i="13" s="1"/>
  <c r="O90" i="13" s="1"/>
  <c r="L89" i="13"/>
  <c r="K89" i="13"/>
  <c r="M89" i="13" s="1"/>
  <c r="D89" i="13"/>
  <c r="E89" i="13" s="1"/>
  <c r="H89" i="13" s="1"/>
  <c r="I89" i="13" s="1"/>
  <c r="J89" i="13" s="1"/>
  <c r="N89" i="13" s="1"/>
  <c r="O89" i="13" s="1"/>
  <c r="M88" i="13"/>
  <c r="L88" i="13"/>
  <c r="K88" i="13"/>
  <c r="D88" i="13"/>
  <c r="E88" i="13" s="1"/>
  <c r="H88" i="13" s="1"/>
  <c r="I88" i="13" s="1"/>
  <c r="J88" i="13" s="1"/>
  <c r="N88" i="13" s="1"/>
  <c r="O88" i="13" s="1"/>
  <c r="L87" i="13"/>
  <c r="K87" i="13"/>
  <c r="M87" i="13" s="1"/>
  <c r="D87" i="13"/>
  <c r="M86" i="13"/>
  <c r="L86" i="13"/>
  <c r="K86" i="13"/>
  <c r="I86" i="13"/>
  <c r="J86" i="13" s="1"/>
  <c r="N86" i="13" s="1"/>
  <c r="O86" i="13" s="1"/>
  <c r="D86" i="13"/>
  <c r="E86" i="13" s="1"/>
  <c r="H86" i="13" s="1"/>
  <c r="L85" i="13"/>
  <c r="K85" i="13"/>
  <c r="D85" i="13"/>
  <c r="E85" i="13" s="1"/>
  <c r="H85" i="13" s="1"/>
  <c r="I85" i="13" s="1"/>
  <c r="J85" i="13" s="1"/>
  <c r="M84" i="13"/>
  <c r="L84" i="13"/>
  <c r="K84" i="13"/>
  <c r="D84" i="13"/>
  <c r="E84" i="13" s="1"/>
  <c r="H84" i="13" s="1"/>
  <c r="I84" i="13" s="1"/>
  <c r="J84" i="13" s="1"/>
  <c r="N84" i="13" s="1"/>
  <c r="O84" i="13" s="1"/>
  <c r="L83" i="13"/>
  <c r="K83" i="13"/>
  <c r="M83" i="13" s="1"/>
  <c r="D83" i="13"/>
  <c r="L82" i="13"/>
  <c r="M82" i="13" s="1"/>
  <c r="K82" i="13"/>
  <c r="D82" i="13"/>
  <c r="E82" i="13" s="1"/>
  <c r="H82" i="13" s="1"/>
  <c r="I82" i="13" s="1"/>
  <c r="J82" i="13" s="1"/>
  <c r="L81" i="13"/>
  <c r="K81" i="13"/>
  <c r="M81" i="13" s="1"/>
  <c r="E81" i="13"/>
  <c r="H81" i="13" s="1"/>
  <c r="I81" i="13" s="1"/>
  <c r="J81" i="13" s="1"/>
  <c r="N81" i="13" s="1"/>
  <c r="O81" i="13" s="1"/>
  <c r="D81" i="13"/>
  <c r="M80" i="13"/>
  <c r="L80" i="13"/>
  <c r="K80" i="13"/>
  <c r="H80" i="13"/>
  <c r="I80" i="13" s="1"/>
  <c r="J80" i="13" s="1"/>
  <c r="N80" i="13" s="1"/>
  <c r="O80" i="13" s="1"/>
  <c r="D80" i="13"/>
  <c r="E80" i="13" s="1"/>
  <c r="L79" i="13"/>
  <c r="K79" i="13"/>
  <c r="M79" i="13" s="1"/>
  <c r="E79" i="13"/>
  <c r="H79" i="13" s="1"/>
  <c r="I79" i="13" s="1"/>
  <c r="J79" i="13" s="1"/>
  <c r="N79" i="13" s="1"/>
  <c r="O79" i="13" s="1"/>
  <c r="D79" i="13"/>
  <c r="L78" i="13"/>
  <c r="M78" i="13" s="1"/>
  <c r="K78" i="13"/>
  <c r="D78" i="13"/>
  <c r="E78" i="13" s="1"/>
  <c r="H78" i="13" s="1"/>
  <c r="I78" i="13" s="1"/>
  <c r="J78" i="13" s="1"/>
  <c r="L77" i="13"/>
  <c r="K77" i="13"/>
  <c r="M77" i="13" s="1"/>
  <c r="D77" i="13"/>
  <c r="E77" i="13" s="1"/>
  <c r="H77" i="13" s="1"/>
  <c r="I77" i="13" s="1"/>
  <c r="J77" i="13" s="1"/>
  <c r="N77" i="13" s="1"/>
  <c r="O77" i="13" s="1"/>
  <c r="M76" i="13"/>
  <c r="L76" i="13"/>
  <c r="K76" i="13"/>
  <c r="D76" i="13"/>
  <c r="E76" i="13" s="1"/>
  <c r="H76" i="13" s="1"/>
  <c r="I76" i="13" s="1"/>
  <c r="J76" i="13" s="1"/>
  <c r="N76" i="13" s="1"/>
  <c r="O76" i="13" s="1"/>
  <c r="L75" i="13"/>
  <c r="K75" i="13"/>
  <c r="E75" i="13"/>
  <c r="H75" i="13" s="1"/>
  <c r="I75" i="13" s="1"/>
  <c r="J75" i="13" s="1"/>
  <c r="D75" i="13"/>
  <c r="L74" i="13"/>
  <c r="M74" i="13" s="1"/>
  <c r="K74" i="13"/>
  <c r="D74" i="13"/>
  <c r="E74" i="13" s="1"/>
  <c r="H74" i="13" s="1"/>
  <c r="I74" i="13" s="1"/>
  <c r="J74" i="13" s="1"/>
  <c r="N74" i="13" s="1"/>
  <c r="O74" i="13" s="1"/>
  <c r="L73" i="13"/>
  <c r="K73" i="13"/>
  <c r="M73" i="13" s="1"/>
  <c r="D73" i="13"/>
  <c r="E73" i="13" s="1"/>
  <c r="H73" i="13" s="1"/>
  <c r="I73" i="13" s="1"/>
  <c r="J73" i="13" s="1"/>
  <c r="N73" i="13" s="1"/>
  <c r="O73" i="13" s="1"/>
  <c r="M72" i="13"/>
  <c r="L72" i="13"/>
  <c r="K72" i="13"/>
  <c r="D72" i="13"/>
  <c r="E72" i="13" s="1"/>
  <c r="H72" i="13" s="1"/>
  <c r="I72" i="13" s="1"/>
  <c r="J72" i="13" s="1"/>
  <c r="N72" i="13" s="1"/>
  <c r="O72" i="13" s="1"/>
  <c r="L71" i="13"/>
  <c r="K71" i="13"/>
  <c r="M71" i="13" s="1"/>
  <c r="D71" i="13"/>
  <c r="M70" i="13"/>
  <c r="L70" i="13"/>
  <c r="K70" i="13"/>
  <c r="I70" i="13"/>
  <c r="J70" i="13" s="1"/>
  <c r="N70" i="13" s="1"/>
  <c r="O70" i="13" s="1"/>
  <c r="D70" i="13"/>
  <c r="E70" i="13" s="1"/>
  <c r="H70" i="13" s="1"/>
  <c r="L69" i="13"/>
  <c r="K69" i="13"/>
  <c r="D69" i="13"/>
  <c r="E69" i="13" s="1"/>
  <c r="H69" i="13" s="1"/>
  <c r="I69" i="13" s="1"/>
  <c r="J69" i="13" s="1"/>
  <c r="M68" i="13"/>
  <c r="L68" i="13"/>
  <c r="K68" i="13"/>
  <c r="D68" i="13"/>
  <c r="E68" i="13" s="1"/>
  <c r="H68" i="13" s="1"/>
  <c r="I68" i="13" s="1"/>
  <c r="J68" i="13" s="1"/>
  <c r="N68" i="13" s="1"/>
  <c r="O68" i="13" s="1"/>
  <c r="L67" i="13"/>
  <c r="K67" i="13"/>
  <c r="M67" i="13" s="1"/>
  <c r="D67" i="13"/>
  <c r="L66" i="13"/>
  <c r="M66" i="13" s="1"/>
  <c r="K66" i="13"/>
  <c r="D66" i="13"/>
  <c r="E66" i="13" s="1"/>
  <c r="H66" i="13" s="1"/>
  <c r="I66" i="13" s="1"/>
  <c r="J66" i="13" s="1"/>
  <c r="L65" i="13"/>
  <c r="K65" i="13"/>
  <c r="M65" i="13" s="1"/>
  <c r="E65" i="13"/>
  <c r="H65" i="13" s="1"/>
  <c r="I65" i="13" s="1"/>
  <c r="J65" i="13" s="1"/>
  <c r="N65" i="13" s="1"/>
  <c r="O65" i="13" s="1"/>
  <c r="D65" i="13"/>
  <c r="M64" i="13"/>
  <c r="L64" i="13"/>
  <c r="K64" i="13"/>
  <c r="H64" i="13"/>
  <c r="I64" i="13" s="1"/>
  <c r="J64" i="13" s="1"/>
  <c r="N64" i="13" s="1"/>
  <c r="O64" i="13" s="1"/>
  <c r="D64" i="13"/>
  <c r="E64" i="13" s="1"/>
  <c r="L63" i="13"/>
  <c r="K63" i="13"/>
  <c r="M63" i="13" s="1"/>
  <c r="E63" i="13"/>
  <c r="H63" i="13" s="1"/>
  <c r="I63" i="13" s="1"/>
  <c r="J63" i="13" s="1"/>
  <c r="N63" i="13" s="1"/>
  <c r="O63" i="13" s="1"/>
  <c r="D63" i="13"/>
  <c r="L62" i="13"/>
  <c r="M62" i="13" s="1"/>
  <c r="K62" i="13"/>
  <c r="D62" i="13"/>
  <c r="E62" i="13" s="1"/>
  <c r="H62" i="13" s="1"/>
  <c r="I62" i="13" s="1"/>
  <c r="J62" i="13" s="1"/>
  <c r="L61" i="13"/>
  <c r="M61" i="13" s="1"/>
  <c r="K61" i="13"/>
  <c r="D61" i="13"/>
  <c r="E61" i="13" s="1"/>
  <c r="H61" i="13" s="1"/>
  <c r="I61" i="13" s="1"/>
  <c r="J61" i="13" s="1"/>
  <c r="L60" i="13"/>
  <c r="K60" i="13"/>
  <c r="M60" i="13" s="1"/>
  <c r="D60" i="13"/>
  <c r="E60" i="13" s="1"/>
  <c r="H60" i="13" s="1"/>
  <c r="I60" i="13" s="1"/>
  <c r="J60" i="13" s="1"/>
  <c r="L59" i="13"/>
  <c r="M59" i="13" s="1"/>
  <c r="K59" i="13"/>
  <c r="D59" i="13"/>
  <c r="E59" i="13" s="1"/>
  <c r="H59" i="13" s="1"/>
  <c r="I59" i="13" s="1"/>
  <c r="J59" i="13" s="1"/>
  <c r="N59" i="13" s="1"/>
  <c r="O59" i="13" s="1"/>
  <c r="L58" i="13"/>
  <c r="K58" i="13"/>
  <c r="M58" i="13" s="1"/>
  <c r="D58" i="13"/>
  <c r="E58" i="13" s="1"/>
  <c r="H58" i="13" s="1"/>
  <c r="I58" i="13" s="1"/>
  <c r="J58" i="13" s="1"/>
  <c r="N58" i="13" s="1"/>
  <c r="O58" i="13" s="1"/>
  <c r="L57" i="13"/>
  <c r="M57" i="13" s="1"/>
  <c r="K57" i="13"/>
  <c r="D57" i="13"/>
  <c r="E57" i="13" s="1"/>
  <c r="H57" i="13" s="1"/>
  <c r="I57" i="13" s="1"/>
  <c r="J57" i="13" s="1"/>
  <c r="L56" i="13"/>
  <c r="K56" i="13"/>
  <c r="M56" i="13" s="1"/>
  <c r="D56" i="13"/>
  <c r="E56" i="13" s="1"/>
  <c r="H56" i="13" s="1"/>
  <c r="I56" i="13" s="1"/>
  <c r="J56" i="13" s="1"/>
  <c r="L55" i="13"/>
  <c r="M55" i="13" s="1"/>
  <c r="K55" i="13"/>
  <c r="D55" i="13"/>
  <c r="E55" i="13" s="1"/>
  <c r="H55" i="13" s="1"/>
  <c r="I55" i="13" s="1"/>
  <c r="J55" i="13" s="1"/>
  <c r="N55" i="13" s="1"/>
  <c r="O55" i="13" s="1"/>
  <c r="L54" i="13"/>
  <c r="K54" i="13"/>
  <c r="M54" i="13" s="1"/>
  <c r="D54" i="13"/>
  <c r="E54" i="13" s="1"/>
  <c r="H54" i="13" s="1"/>
  <c r="I54" i="13" s="1"/>
  <c r="J54" i="13" s="1"/>
  <c r="L53" i="13"/>
  <c r="M53" i="13" s="1"/>
  <c r="K53" i="13"/>
  <c r="D53" i="13"/>
  <c r="E53" i="13" s="1"/>
  <c r="H53" i="13" s="1"/>
  <c r="I53" i="13" s="1"/>
  <c r="J53" i="13" s="1"/>
  <c r="L52" i="13"/>
  <c r="K52" i="13"/>
  <c r="M52" i="13" s="1"/>
  <c r="D52" i="13"/>
  <c r="E52" i="13" s="1"/>
  <c r="H52" i="13" s="1"/>
  <c r="I52" i="13" s="1"/>
  <c r="J52" i="13" s="1"/>
  <c r="L51" i="13"/>
  <c r="M51" i="13" s="1"/>
  <c r="K51" i="13"/>
  <c r="D51" i="13"/>
  <c r="E51" i="13" s="1"/>
  <c r="H51" i="13" s="1"/>
  <c r="I51" i="13" s="1"/>
  <c r="J51" i="13" s="1"/>
  <c r="N51" i="13" s="1"/>
  <c r="O51" i="13" s="1"/>
  <c r="L50" i="13"/>
  <c r="K50" i="13"/>
  <c r="M50" i="13" s="1"/>
  <c r="D50" i="13"/>
  <c r="E50" i="13" s="1"/>
  <c r="H50" i="13" s="1"/>
  <c r="I50" i="13" s="1"/>
  <c r="J50" i="13" s="1"/>
  <c r="N50" i="13" s="1"/>
  <c r="O50" i="13" s="1"/>
  <c r="L49" i="13"/>
  <c r="M49" i="13" s="1"/>
  <c r="K49" i="13"/>
  <c r="D49" i="13"/>
  <c r="E49" i="13" s="1"/>
  <c r="H49" i="13" s="1"/>
  <c r="I49" i="13" s="1"/>
  <c r="J49" i="13" s="1"/>
  <c r="L48" i="13"/>
  <c r="K48" i="13"/>
  <c r="M48" i="13" s="1"/>
  <c r="D48" i="13"/>
  <c r="E48" i="13" s="1"/>
  <c r="H48" i="13" s="1"/>
  <c r="I48" i="13" s="1"/>
  <c r="J48" i="13" s="1"/>
  <c r="L47" i="13"/>
  <c r="M47" i="13" s="1"/>
  <c r="K47" i="13"/>
  <c r="D47" i="13"/>
  <c r="E47" i="13" s="1"/>
  <c r="H47" i="13" s="1"/>
  <c r="I47" i="13" s="1"/>
  <c r="J47" i="13" s="1"/>
  <c r="N47" i="13" s="1"/>
  <c r="O47" i="13" s="1"/>
  <c r="L46" i="13"/>
  <c r="K46" i="13"/>
  <c r="M46" i="13" s="1"/>
  <c r="D46" i="13"/>
  <c r="E46" i="13" s="1"/>
  <c r="H46" i="13" s="1"/>
  <c r="I46" i="13" s="1"/>
  <c r="J46" i="13" s="1"/>
  <c r="L45" i="13"/>
  <c r="M45" i="13" s="1"/>
  <c r="K45" i="13"/>
  <c r="D45" i="13"/>
  <c r="E45" i="13" s="1"/>
  <c r="H45" i="13" s="1"/>
  <c r="I45" i="13" s="1"/>
  <c r="J45" i="13" s="1"/>
  <c r="L44" i="13"/>
  <c r="K44" i="13"/>
  <c r="M44" i="13" s="1"/>
  <c r="D44" i="13"/>
  <c r="E44" i="13" s="1"/>
  <c r="H44" i="13" s="1"/>
  <c r="I44" i="13" s="1"/>
  <c r="J44" i="13" s="1"/>
  <c r="L43" i="13"/>
  <c r="M43" i="13" s="1"/>
  <c r="K43" i="13"/>
  <c r="D43" i="13"/>
  <c r="E43" i="13" s="1"/>
  <c r="H43" i="13" s="1"/>
  <c r="I43" i="13" s="1"/>
  <c r="J43" i="13" s="1"/>
  <c r="N43" i="13" s="1"/>
  <c r="O43" i="13" s="1"/>
  <c r="L42" i="13"/>
  <c r="K42" i="13"/>
  <c r="M42" i="13" s="1"/>
  <c r="D42" i="13"/>
  <c r="E42" i="13" s="1"/>
  <c r="H42" i="13" s="1"/>
  <c r="I42" i="13" s="1"/>
  <c r="J42" i="13" s="1"/>
  <c r="N42" i="13" s="1"/>
  <c r="O42" i="13" s="1"/>
  <c r="L41" i="13"/>
  <c r="M41" i="13" s="1"/>
  <c r="K41" i="13"/>
  <c r="D41" i="13"/>
  <c r="E41" i="13" s="1"/>
  <c r="H41" i="13" s="1"/>
  <c r="I41" i="13" s="1"/>
  <c r="J41" i="13" s="1"/>
  <c r="L40" i="13"/>
  <c r="K40" i="13"/>
  <c r="M40" i="13" s="1"/>
  <c r="D40" i="13"/>
  <c r="E40" i="13" s="1"/>
  <c r="H40" i="13" s="1"/>
  <c r="I40" i="13" s="1"/>
  <c r="J40" i="13" s="1"/>
  <c r="L39" i="13"/>
  <c r="M39" i="13" s="1"/>
  <c r="K39" i="13"/>
  <c r="D39" i="13"/>
  <c r="E39" i="13" s="1"/>
  <c r="H39" i="13" s="1"/>
  <c r="I39" i="13" s="1"/>
  <c r="J39" i="13" s="1"/>
  <c r="N39" i="13" s="1"/>
  <c r="O39" i="13" s="1"/>
  <c r="L38" i="13"/>
  <c r="K38" i="13"/>
  <c r="M38" i="13" s="1"/>
  <c r="D38" i="13"/>
  <c r="E38" i="13" s="1"/>
  <c r="H38" i="13" s="1"/>
  <c r="I38" i="13" s="1"/>
  <c r="J38" i="13" s="1"/>
  <c r="L37" i="13"/>
  <c r="M37" i="13" s="1"/>
  <c r="K37" i="13"/>
  <c r="D37" i="13"/>
  <c r="E37" i="13" s="1"/>
  <c r="H37" i="13" s="1"/>
  <c r="I37" i="13" s="1"/>
  <c r="J37" i="13" s="1"/>
  <c r="L36" i="13"/>
  <c r="K36" i="13"/>
  <c r="M36" i="13" s="1"/>
  <c r="D36" i="13"/>
  <c r="E36" i="13" s="1"/>
  <c r="H36" i="13" s="1"/>
  <c r="I36" i="13" s="1"/>
  <c r="J36" i="13" s="1"/>
  <c r="L35" i="13"/>
  <c r="M35" i="13" s="1"/>
  <c r="K35" i="13"/>
  <c r="D35" i="13"/>
  <c r="E35" i="13" s="1"/>
  <c r="H35" i="13" s="1"/>
  <c r="I35" i="13" s="1"/>
  <c r="J35" i="13" s="1"/>
  <c r="N35" i="13" s="1"/>
  <c r="O35" i="13" s="1"/>
  <c r="L34" i="13"/>
  <c r="K34" i="13"/>
  <c r="M34" i="13" s="1"/>
  <c r="D34" i="13"/>
  <c r="E34" i="13" s="1"/>
  <c r="H34" i="13" s="1"/>
  <c r="I34" i="13" s="1"/>
  <c r="J34" i="13" s="1"/>
  <c r="N34" i="13" s="1"/>
  <c r="O34" i="13" s="1"/>
  <c r="L33" i="13"/>
  <c r="M33" i="13" s="1"/>
  <c r="K33" i="13"/>
  <c r="D33" i="13"/>
  <c r="E33" i="13" s="1"/>
  <c r="H33" i="13" s="1"/>
  <c r="I33" i="13" s="1"/>
  <c r="J33" i="13" s="1"/>
  <c r="L32" i="13"/>
  <c r="K32" i="13"/>
  <c r="M32" i="13" s="1"/>
  <c r="D32" i="13"/>
  <c r="E32" i="13" s="1"/>
  <c r="H32" i="13" s="1"/>
  <c r="I32" i="13" s="1"/>
  <c r="J32" i="13" s="1"/>
  <c r="L31" i="13"/>
  <c r="M31" i="13" s="1"/>
  <c r="K31" i="13"/>
  <c r="D31" i="13"/>
  <c r="E31" i="13" s="1"/>
  <c r="H31" i="13" s="1"/>
  <c r="I31" i="13" s="1"/>
  <c r="J31" i="13" s="1"/>
  <c r="N31" i="13" s="1"/>
  <c r="O31" i="13" s="1"/>
  <c r="L30" i="13"/>
  <c r="K30" i="13"/>
  <c r="M30" i="13" s="1"/>
  <c r="D30" i="13"/>
  <c r="E30" i="13" s="1"/>
  <c r="H30" i="13" s="1"/>
  <c r="I30" i="13" s="1"/>
  <c r="J30" i="13" s="1"/>
  <c r="L29" i="13"/>
  <c r="M29" i="13" s="1"/>
  <c r="K29" i="13"/>
  <c r="D29" i="13"/>
  <c r="E29" i="13" s="1"/>
  <c r="H29" i="13" s="1"/>
  <c r="I29" i="13" s="1"/>
  <c r="J29" i="13" s="1"/>
  <c r="L28" i="13"/>
  <c r="K28" i="13"/>
  <c r="M28" i="13" s="1"/>
  <c r="D28" i="13"/>
  <c r="E28" i="13" s="1"/>
  <c r="H28" i="13" s="1"/>
  <c r="I28" i="13" s="1"/>
  <c r="J28" i="13" s="1"/>
  <c r="L27" i="13"/>
  <c r="M27" i="13" s="1"/>
  <c r="K27" i="13"/>
  <c r="D27" i="13"/>
  <c r="E27" i="13" s="1"/>
  <c r="H27" i="13" s="1"/>
  <c r="I27" i="13" s="1"/>
  <c r="J27" i="13" s="1"/>
  <c r="N27" i="13" s="1"/>
  <c r="O27" i="13" s="1"/>
  <c r="L26" i="13"/>
  <c r="K26" i="13"/>
  <c r="M26" i="13" s="1"/>
  <c r="D26" i="13"/>
  <c r="E26" i="13" s="1"/>
  <c r="H26" i="13" s="1"/>
  <c r="I26" i="13" s="1"/>
  <c r="J26" i="13" s="1"/>
  <c r="N26" i="13" s="1"/>
  <c r="O26" i="13" s="1"/>
  <c r="L25" i="13"/>
  <c r="M25" i="13" s="1"/>
  <c r="K25" i="13"/>
  <c r="D25" i="13"/>
  <c r="E25" i="13" s="1"/>
  <c r="H25" i="13" s="1"/>
  <c r="I25" i="13" s="1"/>
  <c r="J25" i="13" s="1"/>
  <c r="L24" i="13"/>
  <c r="K24" i="13"/>
  <c r="M24" i="13" s="1"/>
  <c r="D24" i="13"/>
  <c r="E24" i="13" s="1"/>
  <c r="H24" i="13" s="1"/>
  <c r="I24" i="13" s="1"/>
  <c r="L23" i="13"/>
  <c r="M23" i="13" s="1"/>
  <c r="K23" i="13"/>
  <c r="D23" i="13"/>
  <c r="E23" i="13" s="1"/>
  <c r="H23" i="13" s="1"/>
  <c r="L22" i="13"/>
  <c r="K22" i="13"/>
  <c r="M22" i="13" s="1"/>
  <c r="D22" i="13"/>
  <c r="E22" i="13" s="1"/>
  <c r="H22" i="13" s="1"/>
  <c r="L21" i="13"/>
  <c r="M21" i="13" s="1"/>
  <c r="K21" i="13"/>
  <c r="D21" i="13"/>
  <c r="E21" i="13" s="1"/>
  <c r="H21" i="13" s="1"/>
  <c r="L20" i="13"/>
  <c r="K20" i="13"/>
  <c r="M20" i="13" s="1"/>
  <c r="D20" i="13"/>
  <c r="E20" i="13" s="1"/>
  <c r="H20" i="13" s="1"/>
  <c r="L19" i="13"/>
  <c r="M19" i="13" s="1"/>
  <c r="K19" i="13"/>
  <c r="D19" i="13"/>
  <c r="E19" i="13" s="1"/>
  <c r="H19" i="13" s="1"/>
  <c r="L18" i="13"/>
  <c r="K18" i="13"/>
  <c r="M18" i="13" s="1"/>
  <c r="D18" i="13"/>
  <c r="E18" i="13" s="1"/>
  <c r="H18" i="13" s="1"/>
  <c r="L17" i="13"/>
  <c r="M17" i="13" s="1"/>
  <c r="K17" i="13"/>
  <c r="D17" i="13"/>
  <c r="E17" i="13" s="1"/>
  <c r="H17" i="13" s="1"/>
  <c r="L16" i="13"/>
  <c r="K16" i="13"/>
  <c r="M16" i="13" s="1"/>
  <c r="D16" i="13"/>
  <c r="E16" i="13" s="1"/>
  <c r="H16" i="13" s="1"/>
  <c r="L15" i="13"/>
  <c r="M15" i="13" s="1"/>
  <c r="K15" i="13"/>
  <c r="D15" i="13"/>
  <c r="E15" i="13" s="1"/>
  <c r="H15" i="13" s="1"/>
  <c r="L14" i="13"/>
  <c r="K14" i="13"/>
  <c r="M14" i="13" s="1"/>
  <c r="D14" i="13"/>
  <c r="E14" i="13" s="1"/>
  <c r="H14" i="13" s="1"/>
  <c r="L13" i="13"/>
  <c r="M13" i="13" s="1"/>
  <c r="K13" i="13"/>
  <c r="D13" i="13"/>
  <c r="E13" i="13" s="1"/>
  <c r="H13" i="13" s="1"/>
  <c r="L12" i="13"/>
  <c r="K12" i="13"/>
  <c r="M12" i="13" s="1"/>
  <c r="D12" i="13"/>
  <c r="E12" i="13" s="1"/>
  <c r="H12" i="13" s="1"/>
  <c r="L11" i="13"/>
  <c r="M11" i="13" s="1"/>
  <c r="K11" i="13"/>
  <c r="D11" i="13"/>
  <c r="E11" i="13" s="1"/>
  <c r="H11" i="13" s="1"/>
  <c r="L10" i="13"/>
  <c r="K10" i="13"/>
  <c r="M10" i="13" s="1"/>
  <c r="D10" i="13"/>
  <c r="E10" i="13" s="1"/>
  <c r="H10" i="13" s="1"/>
  <c r="L9" i="13"/>
  <c r="M9" i="13" s="1"/>
  <c r="K9" i="13"/>
  <c r="D9" i="13"/>
  <c r="E9" i="13" s="1"/>
  <c r="H9" i="13" s="1"/>
  <c r="L8" i="13"/>
  <c r="K8" i="13"/>
  <c r="M8" i="13" s="1"/>
  <c r="D8" i="13"/>
  <c r="E8" i="13" s="1"/>
  <c r="H8" i="13" s="1"/>
  <c r="L7" i="13"/>
  <c r="M7" i="13" s="1"/>
  <c r="K7" i="13"/>
  <c r="H7" i="13"/>
  <c r="D7" i="13"/>
  <c r="E7" i="13" s="1"/>
  <c r="L6" i="13"/>
  <c r="K6" i="13"/>
  <c r="M6" i="13" s="1"/>
  <c r="D6" i="13"/>
  <c r="E6" i="13" s="1"/>
  <c r="H6" i="13" s="1"/>
  <c r="L5" i="13"/>
  <c r="M5" i="13" s="1"/>
  <c r="K5" i="13"/>
  <c r="D5" i="13"/>
  <c r="L4" i="13"/>
  <c r="K4" i="13"/>
  <c r="M4" i="13" s="1"/>
  <c r="D4" i="13"/>
  <c r="E4" i="13" s="1"/>
  <c r="H4" i="13" s="1"/>
  <c r="E3" i="13"/>
  <c r="H3" i="13" s="1"/>
  <c r="D3" i="13"/>
  <c r="N22" i="19" l="1"/>
  <c r="O22" i="19" s="1"/>
  <c r="O22" i="18"/>
  <c r="N22" i="18"/>
  <c r="N22" i="17"/>
  <c r="O22" i="17" s="1"/>
  <c r="N22" i="16"/>
  <c r="O22" i="16" s="1"/>
  <c r="O22" i="15"/>
  <c r="N22" i="15"/>
  <c r="N22" i="14"/>
  <c r="O22" i="14" s="1"/>
  <c r="O22" i="12"/>
  <c r="N22" i="12"/>
  <c r="O22" i="11"/>
  <c r="N22" i="11"/>
  <c r="N22" i="10"/>
  <c r="O22" i="10" s="1"/>
  <c r="O22" i="9"/>
  <c r="N22" i="9"/>
  <c r="N22" i="8"/>
  <c r="O22" i="8" s="1"/>
  <c r="N22" i="5"/>
  <c r="O22" i="5" s="1"/>
  <c r="O22" i="4"/>
  <c r="N22" i="4"/>
  <c r="N22" i="3"/>
  <c r="O22" i="3" s="1"/>
  <c r="J21" i="19"/>
  <c r="I20" i="19"/>
  <c r="J21" i="18"/>
  <c r="I20" i="18"/>
  <c r="J21" i="17"/>
  <c r="I20" i="17"/>
  <c r="J21" i="16"/>
  <c r="I20" i="16"/>
  <c r="J21" i="15"/>
  <c r="I20" i="15"/>
  <c r="J21" i="14"/>
  <c r="I20" i="14"/>
  <c r="J21" i="12"/>
  <c r="I20" i="12"/>
  <c r="J21" i="11"/>
  <c r="I20" i="11"/>
  <c r="J21" i="10"/>
  <c r="I20" i="10"/>
  <c r="J21" i="9"/>
  <c r="I20" i="9"/>
  <c r="J21" i="8"/>
  <c r="I20" i="8"/>
  <c r="J21" i="5"/>
  <c r="I20" i="5"/>
  <c r="J21" i="4"/>
  <c r="I20" i="4"/>
  <c r="J21" i="3"/>
  <c r="I20" i="3"/>
  <c r="O22" i="2"/>
  <c r="J21" i="2"/>
  <c r="N21" i="2" s="1"/>
  <c r="I20" i="2"/>
  <c r="J24" i="1"/>
  <c r="I23" i="1"/>
  <c r="E10" i="1"/>
  <c r="E14" i="1"/>
  <c r="H14" i="1" s="1"/>
  <c r="E18" i="1"/>
  <c r="H18" i="1" s="1"/>
  <c r="E22" i="1"/>
  <c r="H22" i="1" s="1"/>
  <c r="N30" i="13"/>
  <c r="O30" i="13" s="1"/>
  <c r="N38" i="13"/>
  <c r="O38" i="13" s="1"/>
  <c r="N46" i="13"/>
  <c r="O46" i="13" s="1"/>
  <c r="N54" i="13"/>
  <c r="O54" i="13" s="1"/>
  <c r="N62" i="13"/>
  <c r="O62" i="13" s="1"/>
  <c r="N66" i="13"/>
  <c r="O66" i="13" s="1"/>
  <c r="E5" i="13"/>
  <c r="H5" i="13" s="1"/>
  <c r="N25" i="13"/>
  <c r="O25" i="13" s="1"/>
  <c r="N33" i="13"/>
  <c r="O33" i="13" s="1"/>
  <c r="N41" i="13"/>
  <c r="O41" i="13" s="1"/>
  <c r="N49" i="13"/>
  <c r="O49" i="13" s="1"/>
  <c r="N57" i="13"/>
  <c r="O57" i="13" s="1"/>
  <c r="N28" i="13"/>
  <c r="O28" i="13" s="1"/>
  <c r="N36" i="13"/>
  <c r="O36" i="13" s="1"/>
  <c r="N44" i="13"/>
  <c r="O44" i="13" s="1"/>
  <c r="N52" i="13"/>
  <c r="O52" i="13" s="1"/>
  <c r="N60" i="13"/>
  <c r="O60" i="13" s="1"/>
  <c r="N78" i="13"/>
  <c r="O78" i="13" s="1"/>
  <c r="N82" i="13"/>
  <c r="O82" i="13" s="1"/>
  <c r="N29" i="13"/>
  <c r="O29" i="13" s="1"/>
  <c r="N37" i="13"/>
  <c r="O37" i="13" s="1"/>
  <c r="N45" i="13"/>
  <c r="O45" i="13" s="1"/>
  <c r="N53" i="13"/>
  <c r="O53" i="13" s="1"/>
  <c r="N61" i="13"/>
  <c r="O61" i="13" s="1"/>
  <c r="J24" i="13"/>
  <c r="N24" i="13" s="1"/>
  <c r="O24" i="13" s="1"/>
  <c r="I23" i="13"/>
  <c r="N32" i="13"/>
  <c r="O32" i="13" s="1"/>
  <c r="N40" i="13"/>
  <c r="O40" i="13" s="1"/>
  <c r="N48" i="13"/>
  <c r="O48" i="13" s="1"/>
  <c r="N56" i="13"/>
  <c r="O56" i="13" s="1"/>
  <c r="E83" i="13"/>
  <c r="H83" i="13" s="1"/>
  <c r="I83" i="13" s="1"/>
  <c r="J83" i="13" s="1"/>
  <c r="N83" i="13" s="1"/>
  <c r="O83" i="13" s="1"/>
  <c r="N199" i="13"/>
  <c r="O199" i="13" s="1"/>
  <c r="N202" i="13"/>
  <c r="O202" i="13" s="1"/>
  <c r="N214" i="13"/>
  <c r="O214" i="13" s="1"/>
  <c r="E71" i="13"/>
  <c r="H71" i="13" s="1"/>
  <c r="I71" i="13" s="1"/>
  <c r="J71" i="13" s="1"/>
  <c r="N71" i="13" s="1"/>
  <c r="O71" i="13" s="1"/>
  <c r="M75" i="13"/>
  <c r="N75" i="13" s="1"/>
  <c r="O75" i="13" s="1"/>
  <c r="M85" i="13"/>
  <c r="N85" i="13" s="1"/>
  <c r="O85" i="13" s="1"/>
  <c r="M95" i="13"/>
  <c r="N95" i="13" s="1"/>
  <c r="O95" i="13" s="1"/>
  <c r="E99" i="13"/>
  <c r="H99" i="13" s="1"/>
  <c r="I99" i="13" s="1"/>
  <c r="J99" i="13" s="1"/>
  <c r="N99" i="13" s="1"/>
  <c r="O99" i="13" s="1"/>
  <c r="M111" i="13"/>
  <c r="N111" i="13" s="1"/>
  <c r="O111" i="13" s="1"/>
  <c r="E115" i="13"/>
  <c r="H115" i="13" s="1"/>
  <c r="I115" i="13" s="1"/>
  <c r="J115" i="13" s="1"/>
  <c r="N115" i="13" s="1"/>
  <c r="O115" i="13" s="1"/>
  <c r="M127" i="13"/>
  <c r="N127" i="13" s="1"/>
  <c r="O127" i="13" s="1"/>
  <c r="E131" i="13"/>
  <c r="H131" i="13" s="1"/>
  <c r="I131" i="13" s="1"/>
  <c r="J131" i="13" s="1"/>
  <c r="N131" i="13" s="1"/>
  <c r="O131" i="13" s="1"/>
  <c r="M143" i="13"/>
  <c r="N143" i="13" s="1"/>
  <c r="O143" i="13" s="1"/>
  <c r="E147" i="13"/>
  <c r="H147" i="13" s="1"/>
  <c r="I147" i="13" s="1"/>
  <c r="J147" i="13" s="1"/>
  <c r="N147" i="13" s="1"/>
  <c r="O147" i="13" s="1"/>
  <c r="M153" i="13"/>
  <c r="N153" i="13" s="1"/>
  <c r="O153" i="13" s="1"/>
  <c r="E159" i="13"/>
  <c r="H159" i="13" s="1"/>
  <c r="I159" i="13" s="1"/>
  <c r="J159" i="13" s="1"/>
  <c r="N159" i="13" s="1"/>
  <c r="O159" i="13" s="1"/>
  <c r="E160" i="13"/>
  <c r="H160" i="13" s="1"/>
  <c r="I160" i="13" s="1"/>
  <c r="J160" i="13" s="1"/>
  <c r="N160" i="13" s="1"/>
  <c r="O160" i="13" s="1"/>
  <c r="M161" i="13"/>
  <c r="N161" i="13" s="1"/>
  <c r="O161" i="13" s="1"/>
  <c r="E167" i="13"/>
  <c r="H167" i="13" s="1"/>
  <c r="I167" i="13" s="1"/>
  <c r="J167" i="13" s="1"/>
  <c r="N167" i="13" s="1"/>
  <c r="O167" i="13" s="1"/>
  <c r="E168" i="13"/>
  <c r="H168" i="13" s="1"/>
  <c r="I168" i="13" s="1"/>
  <c r="J168" i="13" s="1"/>
  <c r="N168" i="13" s="1"/>
  <c r="O168" i="13" s="1"/>
  <c r="M169" i="13"/>
  <c r="N169" i="13" s="1"/>
  <c r="O169" i="13" s="1"/>
  <c r="E175" i="13"/>
  <c r="H175" i="13" s="1"/>
  <c r="I175" i="13" s="1"/>
  <c r="J175" i="13" s="1"/>
  <c r="N175" i="13" s="1"/>
  <c r="O175" i="13" s="1"/>
  <c r="E176" i="13"/>
  <c r="H176" i="13" s="1"/>
  <c r="I176" i="13" s="1"/>
  <c r="J176" i="13" s="1"/>
  <c r="N176" i="13" s="1"/>
  <c r="O176" i="13" s="1"/>
  <c r="M177" i="13"/>
  <c r="N177" i="13" s="1"/>
  <c r="O177" i="13" s="1"/>
  <c r="E183" i="13"/>
  <c r="H183" i="13" s="1"/>
  <c r="I183" i="13" s="1"/>
  <c r="J183" i="13" s="1"/>
  <c r="N183" i="13" s="1"/>
  <c r="O183" i="13" s="1"/>
  <c r="E184" i="13"/>
  <c r="H184" i="13" s="1"/>
  <c r="I184" i="13" s="1"/>
  <c r="J184" i="13" s="1"/>
  <c r="N184" i="13" s="1"/>
  <c r="O184" i="13" s="1"/>
  <c r="M185" i="13"/>
  <c r="N185" i="13" s="1"/>
  <c r="O185" i="13" s="1"/>
  <c r="E191" i="13"/>
  <c r="H191" i="13" s="1"/>
  <c r="I191" i="13" s="1"/>
  <c r="J191" i="13" s="1"/>
  <c r="N191" i="13" s="1"/>
  <c r="O191" i="13" s="1"/>
  <c r="E192" i="13"/>
  <c r="H192" i="13" s="1"/>
  <c r="I192" i="13" s="1"/>
  <c r="J192" i="13" s="1"/>
  <c r="N192" i="13" s="1"/>
  <c r="O192" i="13" s="1"/>
  <c r="M193" i="13"/>
  <c r="N193" i="13" s="1"/>
  <c r="O193" i="13" s="1"/>
  <c r="M219" i="13"/>
  <c r="N219" i="13" s="1"/>
  <c r="O219" i="13" s="1"/>
  <c r="E228" i="13"/>
  <c r="H228" i="13" s="1"/>
  <c r="I228" i="13" s="1"/>
  <c r="J228" i="13" s="1"/>
  <c r="E229" i="13"/>
  <c r="H229" i="13" s="1"/>
  <c r="I229" i="13" s="1"/>
  <c r="J229" i="13" s="1"/>
  <c r="N229" i="13" s="1"/>
  <c r="O229" i="13" s="1"/>
  <c r="N216" i="13"/>
  <c r="O216" i="13" s="1"/>
  <c r="E67" i="13"/>
  <c r="H67" i="13" s="1"/>
  <c r="I67" i="13" s="1"/>
  <c r="J67" i="13" s="1"/>
  <c r="N67" i="13" s="1"/>
  <c r="O67" i="13" s="1"/>
  <c r="E206" i="13"/>
  <c r="H206" i="13" s="1"/>
  <c r="I206" i="13" s="1"/>
  <c r="J206" i="13" s="1"/>
  <c r="E205" i="13"/>
  <c r="H205" i="13" s="1"/>
  <c r="I205" i="13" s="1"/>
  <c r="J205" i="13" s="1"/>
  <c r="N205" i="13" s="1"/>
  <c r="O205" i="13" s="1"/>
  <c r="N243" i="13"/>
  <c r="O243" i="13" s="1"/>
  <c r="M69" i="13"/>
  <c r="N69" i="13" s="1"/>
  <c r="O69" i="13" s="1"/>
  <c r="E87" i="13"/>
  <c r="H87" i="13" s="1"/>
  <c r="I87" i="13" s="1"/>
  <c r="J87" i="13" s="1"/>
  <c r="N87" i="13" s="1"/>
  <c r="O87" i="13" s="1"/>
  <c r="M91" i="13"/>
  <c r="N91" i="13" s="1"/>
  <c r="O91" i="13" s="1"/>
  <c r="M103" i="13"/>
  <c r="N103" i="13" s="1"/>
  <c r="O103" i="13" s="1"/>
  <c r="E107" i="13"/>
  <c r="H107" i="13" s="1"/>
  <c r="I107" i="13" s="1"/>
  <c r="J107" i="13" s="1"/>
  <c r="N107" i="13" s="1"/>
  <c r="O107" i="13" s="1"/>
  <c r="M119" i="13"/>
  <c r="N119" i="13" s="1"/>
  <c r="O119" i="13" s="1"/>
  <c r="E123" i="13"/>
  <c r="H123" i="13" s="1"/>
  <c r="I123" i="13" s="1"/>
  <c r="J123" i="13" s="1"/>
  <c r="N123" i="13" s="1"/>
  <c r="O123" i="13" s="1"/>
  <c r="M135" i="13"/>
  <c r="N135" i="13" s="1"/>
  <c r="O135" i="13" s="1"/>
  <c r="E139" i="13"/>
  <c r="H139" i="13" s="1"/>
  <c r="I139" i="13" s="1"/>
  <c r="J139" i="13" s="1"/>
  <c r="N139" i="13" s="1"/>
  <c r="O139" i="13" s="1"/>
  <c r="M151" i="13"/>
  <c r="N151" i="13" s="1"/>
  <c r="O151" i="13" s="1"/>
  <c r="E155" i="13"/>
  <c r="H155" i="13" s="1"/>
  <c r="I155" i="13" s="1"/>
  <c r="J155" i="13" s="1"/>
  <c r="N155" i="13" s="1"/>
  <c r="O155" i="13" s="1"/>
  <c r="E156" i="13"/>
  <c r="H156" i="13" s="1"/>
  <c r="I156" i="13" s="1"/>
  <c r="J156" i="13" s="1"/>
  <c r="N156" i="13" s="1"/>
  <c r="O156" i="13" s="1"/>
  <c r="M157" i="13"/>
  <c r="N157" i="13" s="1"/>
  <c r="O157" i="13" s="1"/>
  <c r="E163" i="13"/>
  <c r="H163" i="13" s="1"/>
  <c r="I163" i="13" s="1"/>
  <c r="J163" i="13" s="1"/>
  <c r="N163" i="13" s="1"/>
  <c r="O163" i="13" s="1"/>
  <c r="E164" i="13"/>
  <c r="H164" i="13" s="1"/>
  <c r="I164" i="13" s="1"/>
  <c r="J164" i="13" s="1"/>
  <c r="N164" i="13" s="1"/>
  <c r="O164" i="13" s="1"/>
  <c r="M165" i="13"/>
  <c r="N165" i="13" s="1"/>
  <c r="O165" i="13" s="1"/>
  <c r="E171" i="13"/>
  <c r="H171" i="13" s="1"/>
  <c r="I171" i="13" s="1"/>
  <c r="J171" i="13" s="1"/>
  <c r="N171" i="13" s="1"/>
  <c r="O171" i="13" s="1"/>
  <c r="E172" i="13"/>
  <c r="H172" i="13" s="1"/>
  <c r="I172" i="13" s="1"/>
  <c r="J172" i="13" s="1"/>
  <c r="N172" i="13" s="1"/>
  <c r="O172" i="13" s="1"/>
  <c r="M173" i="13"/>
  <c r="N173" i="13" s="1"/>
  <c r="O173" i="13" s="1"/>
  <c r="E179" i="13"/>
  <c r="H179" i="13" s="1"/>
  <c r="I179" i="13" s="1"/>
  <c r="J179" i="13" s="1"/>
  <c r="N179" i="13" s="1"/>
  <c r="O179" i="13" s="1"/>
  <c r="E180" i="13"/>
  <c r="H180" i="13" s="1"/>
  <c r="I180" i="13" s="1"/>
  <c r="J180" i="13" s="1"/>
  <c r="N180" i="13" s="1"/>
  <c r="O180" i="13" s="1"/>
  <c r="M181" i="13"/>
  <c r="N181" i="13" s="1"/>
  <c r="O181" i="13" s="1"/>
  <c r="E187" i="13"/>
  <c r="H187" i="13" s="1"/>
  <c r="I187" i="13" s="1"/>
  <c r="J187" i="13" s="1"/>
  <c r="N187" i="13" s="1"/>
  <c r="O187" i="13" s="1"/>
  <c r="E188" i="13"/>
  <c r="H188" i="13" s="1"/>
  <c r="I188" i="13" s="1"/>
  <c r="J188" i="13" s="1"/>
  <c r="N188" i="13" s="1"/>
  <c r="O188" i="13" s="1"/>
  <c r="M189" i="13"/>
  <c r="N189" i="13" s="1"/>
  <c r="O189" i="13" s="1"/>
  <c r="N200" i="13"/>
  <c r="O200" i="13" s="1"/>
  <c r="M206" i="13"/>
  <c r="E230" i="13"/>
  <c r="H230" i="13" s="1"/>
  <c r="I230" i="13" s="1"/>
  <c r="J230" i="13" s="1"/>
  <c r="N230" i="13" s="1"/>
  <c r="O230" i="13" s="1"/>
  <c r="M228" i="13"/>
  <c r="E255" i="13"/>
  <c r="H255" i="13" s="1"/>
  <c r="I255" i="13" s="1"/>
  <c r="J255" i="13" s="1"/>
  <c r="N255" i="13" s="1"/>
  <c r="O255" i="13" s="1"/>
  <c r="E254" i="13"/>
  <c r="H254" i="13" s="1"/>
  <c r="I254" i="13" s="1"/>
  <c r="J254" i="13" s="1"/>
  <c r="N254" i="13" s="1"/>
  <c r="O254" i="13" s="1"/>
  <c r="E257" i="13"/>
  <c r="H257" i="13" s="1"/>
  <c r="I257" i="13" s="1"/>
  <c r="J257" i="13" s="1"/>
  <c r="N257" i="13" s="1"/>
  <c r="O257" i="13" s="1"/>
  <c r="E256" i="13"/>
  <c r="H256" i="13" s="1"/>
  <c r="I256" i="13" s="1"/>
  <c r="J256" i="13" s="1"/>
  <c r="N256" i="13" s="1"/>
  <c r="O256" i="13" s="1"/>
  <c r="N242" i="13"/>
  <c r="O242" i="13" s="1"/>
  <c r="N279" i="13"/>
  <c r="O279" i="13" s="1"/>
  <c r="E281" i="13"/>
  <c r="H281" i="13" s="1"/>
  <c r="I281" i="13" s="1"/>
  <c r="J281" i="13" s="1"/>
  <c r="N281" i="13" s="1"/>
  <c r="O281" i="13" s="1"/>
  <c r="E280" i="13"/>
  <c r="H280" i="13" s="1"/>
  <c r="I280" i="13" s="1"/>
  <c r="J280" i="13" s="1"/>
  <c r="N303" i="13"/>
  <c r="O303" i="13" s="1"/>
  <c r="E305" i="13"/>
  <c r="H305" i="13" s="1"/>
  <c r="I305" i="13" s="1"/>
  <c r="J305" i="13" s="1"/>
  <c r="N305" i="13" s="1"/>
  <c r="O305" i="13" s="1"/>
  <c r="E304" i="13"/>
  <c r="H304" i="13" s="1"/>
  <c r="I304" i="13" s="1"/>
  <c r="J304" i="13" s="1"/>
  <c r="E235" i="13"/>
  <c r="H235" i="13" s="1"/>
  <c r="I235" i="13" s="1"/>
  <c r="J235" i="13" s="1"/>
  <c r="N235" i="13" s="1"/>
  <c r="O235" i="13" s="1"/>
  <c r="E234" i="13"/>
  <c r="H234" i="13" s="1"/>
  <c r="I234" i="13" s="1"/>
  <c r="J234" i="13" s="1"/>
  <c r="N234" i="13" s="1"/>
  <c r="O234" i="13" s="1"/>
  <c r="E239" i="13"/>
  <c r="H239" i="13" s="1"/>
  <c r="I239" i="13" s="1"/>
  <c r="J239" i="13" s="1"/>
  <c r="N239" i="13" s="1"/>
  <c r="O239" i="13" s="1"/>
  <c r="E238" i="13"/>
  <c r="H238" i="13" s="1"/>
  <c r="I238" i="13" s="1"/>
  <c r="J238" i="13" s="1"/>
  <c r="N238" i="13" s="1"/>
  <c r="O238" i="13" s="1"/>
  <c r="E247" i="13"/>
  <c r="H247" i="13" s="1"/>
  <c r="I247" i="13" s="1"/>
  <c r="J247" i="13" s="1"/>
  <c r="N247" i="13" s="1"/>
  <c r="O247" i="13" s="1"/>
  <c r="E246" i="13"/>
  <c r="H246" i="13" s="1"/>
  <c r="I246" i="13" s="1"/>
  <c r="J246" i="13" s="1"/>
  <c r="N246" i="13" s="1"/>
  <c r="O246" i="13" s="1"/>
  <c r="N271" i="13"/>
  <c r="O271" i="13" s="1"/>
  <c r="E273" i="13"/>
  <c r="H273" i="13" s="1"/>
  <c r="I273" i="13" s="1"/>
  <c r="J273" i="13" s="1"/>
  <c r="N273" i="13" s="1"/>
  <c r="O273" i="13" s="1"/>
  <c r="E272" i="13"/>
  <c r="H272" i="13" s="1"/>
  <c r="I272" i="13" s="1"/>
  <c r="J272" i="13" s="1"/>
  <c r="E217" i="13"/>
  <c r="H217" i="13" s="1"/>
  <c r="I217" i="13" s="1"/>
  <c r="J217" i="13" s="1"/>
  <c r="N217" i="13" s="1"/>
  <c r="O217" i="13" s="1"/>
  <c r="E251" i="13"/>
  <c r="H251" i="13" s="1"/>
  <c r="I251" i="13" s="1"/>
  <c r="J251" i="13" s="1"/>
  <c r="N251" i="13" s="1"/>
  <c r="O251" i="13" s="1"/>
  <c r="E250" i="13"/>
  <c r="H250" i="13" s="1"/>
  <c r="I250" i="13" s="1"/>
  <c r="J250" i="13" s="1"/>
  <c r="N250" i="13" s="1"/>
  <c r="O250" i="13" s="1"/>
  <c r="N295" i="13"/>
  <c r="O295" i="13" s="1"/>
  <c r="E297" i="13"/>
  <c r="H297" i="13" s="1"/>
  <c r="I297" i="13" s="1"/>
  <c r="J297" i="13" s="1"/>
  <c r="N297" i="13" s="1"/>
  <c r="O297" i="13" s="1"/>
  <c r="E296" i="13"/>
  <c r="H296" i="13" s="1"/>
  <c r="I296" i="13" s="1"/>
  <c r="J296" i="13" s="1"/>
  <c r="E208" i="13"/>
  <c r="H208" i="13" s="1"/>
  <c r="I208" i="13" s="1"/>
  <c r="J208" i="13" s="1"/>
  <c r="N208" i="13" s="1"/>
  <c r="O208" i="13" s="1"/>
  <c r="M240" i="13"/>
  <c r="N240" i="13" s="1"/>
  <c r="O240" i="13" s="1"/>
  <c r="N258" i="13"/>
  <c r="O258" i="13" s="1"/>
  <c r="N302" i="13"/>
  <c r="O302" i="13" s="1"/>
  <c r="M244" i="13"/>
  <c r="N244" i="13" s="1"/>
  <c r="O244" i="13" s="1"/>
  <c r="E265" i="13"/>
  <c r="H265" i="13" s="1"/>
  <c r="I265" i="13" s="1"/>
  <c r="J265" i="13" s="1"/>
  <c r="N265" i="13" s="1"/>
  <c r="O265" i="13" s="1"/>
  <c r="E264" i="13"/>
  <c r="H264" i="13" s="1"/>
  <c r="I264" i="13" s="1"/>
  <c r="J264" i="13" s="1"/>
  <c r="E289" i="13"/>
  <c r="H289" i="13" s="1"/>
  <c r="I289" i="13" s="1"/>
  <c r="J289" i="13" s="1"/>
  <c r="N289" i="13" s="1"/>
  <c r="O289" i="13" s="1"/>
  <c r="E288" i="13"/>
  <c r="H288" i="13" s="1"/>
  <c r="I288" i="13" s="1"/>
  <c r="J288" i="13" s="1"/>
  <c r="M258" i="13"/>
  <c r="E262" i="13"/>
  <c r="H262" i="13" s="1"/>
  <c r="I262" i="13" s="1"/>
  <c r="J262" i="13" s="1"/>
  <c r="N262" i="13" s="1"/>
  <c r="O262" i="13" s="1"/>
  <c r="M274" i="13"/>
  <c r="N274" i="13" s="1"/>
  <c r="O274" i="13" s="1"/>
  <c r="E278" i="13"/>
  <c r="H278" i="13" s="1"/>
  <c r="I278" i="13" s="1"/>
  <c r="J278" i="13" s="1"/>
  <c r="N278" i="13" s="1"/>
  <c r="O278" i="13" s="1"/>
  <c r="M290" i="13"/>
  <c r="N290" i="13" s="1"/>
  <c r="O290" i="13" s="1"/>
  <c r="E294" i="13"/>
  <c r="H294" i="13" s="1"/>
  <c r="I294" i="13" s="1"/>
  <c r="J294" i="13" s="1"/>
  <c r="N294" i="13" s="1"/>
  <c r="O294" i="13" s="1"/>
  <c r="M306" i="13"/>
  <c r="N306" i="13" s="1"/>
  <c r="O306" i="13" s="1"/>
  <c r="E310" i="13"/>
  <c r="H310" i="13" s="1"/>
  <c r="I310" i="13" s="1"/>
  <c r="J310" i="13" s="1"/>
  <c r="N310" i="13" s="1"/>
  <c r="O310" i="13" s="1"/>
  <c r="E322" i="13"/>
  <c r="H322" i="13" s="1"/>
  <c r="I322" i="13" s="1"/>
  <c r="J322" i="13" s="1"/>
  <c r="N322" i="13" s="1"/>
  <c r="O322" i="13" s="1"/>
  <c r="N329" i="13"/>
  <c r="O329" i="13" s="1"/>
  <c r="N337" i="13"/>
  <c r="O337" i="13" s="1"/>
  <c r="N345" i="13"/>
  <c r="O345" i="13" s="1"/>
  <c r="N353" i="13"/>
  <c r="O353" i="13" s="1"/>
  <c r="N368" i="13"/>
  <c r="O368" i="13" s="1"/>
  <c r="E383" i="13"/>
  <c r="H383" i="13" s="1"/>
  <c r="I383" i="13" s="1"/>
  <c r="J383" i="13" s="1"/>
  <c r="N383" i="13" s="1"/>
  <c r="O383" i="13" s="1"/>
  <c r="N392" i="13"/>
  <c r="O392" i="13" s="1"/>
  <c r="M268" i="13"/>
  <c r="M284" i="13"/>
  <c r="M300" i="13"/>
  <c r="E318" i="13"/>
  <c r="H318" i="13" s="1"/>
  <c r="I318" i="13" s="1"/>
  <c r="J318" i="13" s="1"/>
  <c r="N318" i="13" s="1"/>
  <c r="O318" i="13" s="1"/>
  <c r="N334" i="13"/>
  <c r="O334" i="13" s="1"/>
  <c r="N342" i="13"/>
  <c r="O342" i="13" s="1"/>
  <c r="N350" i="13"/>
  <c r="O350" i="13" s="1"/>
  <c r="N387" i="13"/>
  <c r="O387" i="13" s="1"/>
  <c r="E366" i="13"/>
  <c r="H366" i="13" s="1"/>
  <c r="I366" i="13" s="1"/>
  <c r="J366" i="13" s="1"/>
  <c r="N366" i="13" s="1"/>
  <c r="O366" i="13" s="1"/>
  <c r="E365" i="13"/>
  <c r="H365" i="13" s="1"/>
  <c r="I365" i="13" s="1"/>
  <c r="J365" i="13" s="1"/>
  <c r="N365" i="13" s="1"/>
  <c r="O365" i="13" s="1"/>
  <c r="M272" i="13"/>
  <c r="M288" i="13"/>
  <c r="M304" i="13"/>
  <c r="N336" i="13"/>
  <c r="O336" i="13" s="1"/>
  <c r="N344" i="13"/>
  <c r="O344" i="13" s="1"/>
  <c r="N352" i="13"/>
  <c r="O352" i="13" s="1"/>
  <c r="N384" i="13"/>
  <c r="O384" i="13" s="1"/>
  <c r="N308" i="13"/>
  <c r="O308" i="13" s="1"/>
  <c r="N364" i="13"/>
  <c r="O364" i="13" s="1"/>
  <c r="N455" i="13"/>
  <c r="O455" i="13" s="1"/>
  <c r="M260" i="13"/>
  <c r="N260" i="13" s="1"/>
  <c r="O260" i="13" s="1"/>
  <c r="M276" i="13"/>
  <c r="N276" i="13" s="1"/>
  <c r="O276" i="13" s="1"/>
  <c r="M292" i="13"/>
  <c r="N292" i="13" s="1"/>
  <c r="O292" i="13" s="1"/>
  <c r="M308" i="13"/>
  <c r="E312" i="13"/>
  <c r="H312" i="13" s="1"/>
  <c r="I312" i="13" s="1"/>
  <c r="J312" i="13" s="1"/>
  <c r="N320" i="13"/>
  <c r="O320" i="13" s="1"/>
  <c r="M324" i="13"/>
  <c r="N324" i="13" s="1"/>
  <c r="O324" i="13" s="1"/>
  <c r="N330" i="13"/>
  <c r="O330" i="13" s="1"/>
  <c r="N338" i="13"/>
  <c r="O338" i="13" s="1"/>
  <c r="N346" i="13"/>
  <c r="O346" i="13" s="1"/>
  <c r="N354" i="13"/>
  <c r="O354" i="13" s="1"/>
  <c r="N367" i="13"/>
  <c r="O367" i="13" s="1"/>
  <c r="M264" i="13"/>
  <c r="E268" i="13"/>
  <c r="H268" i="13" s="1"/>
  <c r="I268" i="13" s="1"/>
  <c r="J268" i="13" s="1"/>
  <c r="N268" i="13" s="1"/>
  <c r="O268" i="13" s="1"/>
  <c r="M280" i="13"/>
  <c r="E284" i="13"/>
  <c r="H284" i="13" s="1"/>
  <c r="I284" i="13" s="1"/>
  <c r="J284" i="13" s="1"/>
  <c r="N284" i="13" s="1"/>
  <c r="O284" i="13" s="1"/>
  <c r="M296" i="13"/>
  <c r="E300" i="13"/>
  <c r="H300" i="13" s="1"/>
  <c r="I300" i="13" s="1"/>
  <c r="J300" i="13" s="1"/>
  <c r="M312" i="13"/>
  <c r="M316" i="13"/>
  <c r="N316" i="13" s="1"/>
  <c r="O316" i="13" s="1"/>
  <c r="E326" i="13"/>
  <c r="H326" i="13" s="1"/>
  <c r="I326" i="13" s="1"/>
  <c r="J326" i="13" s="1"/>
  <c r="N326" i="13" s="1"/>
  <c r="O326" i="13" s="1"/>
  <c r="N332" i="13"/>
  <c r="O332" i="13" s="1"/>
  <c r="N340" i="13"/>
  <c r="O340" i="13" s="1"/>
  <c r="N348" i="13"/>
  <c r="O348" i="13" s="1"/>
  <c r="N381" i="13"/>
  <c r="O381" i="13" s="1"/>
  <c r="N424" i="13"/>
  <c r="O424" i="13" s="1"/>
  <c r="N440" i="13"/>
  <c r="O440" i="13" s="1"/>
  <c r="E451" i="13"/>
  <c r="H451" i="13" s="1"/>
  <c r="I451" i="13" s="1"/>
  <c r="J451" i="13" s="1"/>
  <c r="N477" i="13"/>
  <c r="O477" i="13" s="1"/>
  <c r="N482" i="13"/>
  <c r="O482" i="13" s="1"/>
  <c r="E499" i="13"/>
  <c r="H499" i="13" s="1"/>
  <c r="I499" i="13" s="1"/>
  <c r="J499" i="13" s="1"/>
  <c r="N499" i="13" s="1"/>
  <c r="O499" i="13" s="1"/>
  <c r="N501" i="13"/>
  <c r="O501" i="13" s="1"/>
  <c r="E382" i="13"/>
  <c r="H382" i="13" s="1"/>
  <c r="I382" i="13" s="1"/>
  <c r="J382" i="13" s="1"/>
  <c r="N382" i="13" s="1"/>
  <c r="O382" i="13" s="1"/>
  <c r="E398" i="13"/>
  <c r="H398" i="13" s="1"/>
  <c r="I398" i="13" s="1"/>
  <c r="J398" i="13" s="1"/>
  <c r="N398" i="13" s="1"/>
  <c r="O398" i="13" s="1"/>
  <c r="M399" i="13"/>
  <c r="N399" i="13" s="1"/>
  <c r="O399" i="13" s="1"/>
  <c r="E422" i="13"/>
  <c r="H422" i="13" s="1"/>
  <c r="I422" i="13" s="1"/>
  <c r="J422" i="13" s="1"/>
  <c r="N422" i="13" s="1"/>
  <c r="O422" i="13" s="1"/>
  <c r="M428" i="13"/>
  <c r="N428" i="13" s="1"/>
  <c r="O428" i="13" s="1"/>
  <c r="E447" i="13"/>
  <c r="H447" i="13" s="1"/>
  <c r="I447" i="13" s="1"/>
  <c r="J447" i="13" s="1"/>
  <c r="N447" i="13" s="1"/>
  <c r="O447" i="13" s="1"/>
  <c r="M451" i="13"/>
  <c r="E464" i="13"/>
  <c r="H464" i="13" s="1"/>
  <c r="I464" i="13" s="1"/>
  <c r="J464" i="13" s="1"/>
  <c r="N464" i="13" s="1"/>
  <c r="O464" i="13" s="1"/>
  <c r="E467" i="13"/>
  <c r="H467" i="13" s="1"/>
  <c r="I467" i="13" s="1"/>
  <c r="J467" i="13" s="1"/>
  <c r="N408" i="13"/>
  <c r="O408" i="13" s="1"/>
  <c r="E471" i="13"/>
  <c r="H471" i="13" s="1"/>
  <c r="I471" i="13" s="1"/>
  <c r="J471" i="13" s="1"/>
  <c r="E430" i="13"/>
  <c r="H430" i="13" s="1"/>
  <c r="I430" i="13" s="1"/>
  <c r="J430" i="13" s="1"/>
  <c r="N430" i="13" s="1"/>
  <c r="O430" i="13" s="1"/>
  <c r="N459" i="13"/>
  <c r="O459" i="13" s="1"/>
  <c r="N466" i="13"/>
  <c r="O466" i="13" s="1"/>
  <c r="E518" i="13"/>
  <c r="H518" i="13" s="1"/>
  <c r="I518" i="13" s="1"/>
  <c r="J518" i="13" s="1"/>
  <c r="N518" i="13" s="1"/>
  <c r="O518" i="13" s="1"/>
  <c r="E517" i="13"/>
  <c r="H517" i="13" s="1"/>
  <c r="I517" i="13" s="1"/>
  <c r="J517" i="13" s="1"/>
  <c r="N517" i="13" s="1"/>
  <c r="O517" i="13" s="1"/>
  <c r="E373" i="13"/>
  <c r="H373" i="13" s="1"/>
  <c r="I373" i="13" s="1"/>
  <c r="J373" i="13" s="1"/>
  <c r="N373" i="13" s="1"/>
  <c r="O373" i="13" s="1"/>
  <c r="E386" i="13"/>
  <c r="H386" i="13" s="1"/>
  <c r="I386" i="13" s="1"/>
  <c r="J386" i="13" s="1"/>
  <c r="N386" i="13" s="1"/>
  <c r="O386" i="13" s="1"/>
  <c r="M389" i="13"/>
  <c r="N389" i="13" s="1"/>
  <c r="O389" i="13" s="1"/>
  <c r="M396" i="13"/>
  <c r="N396" i="13" s="1"/>
  <c r="O396" i="13" s="1"/>
  <c r="E425" i="13"/>
  <c r="H425" i="13" s="1"/>
  <c r="I425" i="13" s="1"/>
  <c r="J425" i="13" s="1"/>
  <c r="N425" i="13" s="1"/>
  <c r="O425" i="13" s="1"/>
  <c r="E434" i="13"/>
  <c r="H434" i="13" s="1"/>
  <c r="I434" i="13" s="1"/>
  <c r="J434" i="13" s="1"/>
  <c r="N434" i="13" s="1"/>
  <c r="O434" i="13" s="1"/>
  <c r="M452" i="13"/>
  <c r="N452" i="13" s="1"/>
  <c r="O452" i="13" s="1"/>
  <c r="N463" i="13"/>
  <c r="O463" i="13" s="1"/>
  <c r="N449" i="13"/>
  <c r="O449" i="13" s="1"/>
  <c r="M467" i="13"/>
  <c r="N494" i="13"/>
  <c r="O494" i="13" s="1"/>
  <c r="N543" i="13"/>
  <c r="O543" i="13" s="1"/>
  <c r="M455" i="13"/>
  <c r="M487" i="13"/>
  <c r="N487" i="13" s="1"/>
  <c r="O487" i="13" s="1"/>
  <c r="N574" i="13"/>
  <c r="O574" i="13" s="1"/>
  <c r="E522" i="13"/>
  <c r="H522" i="13" s="1"/>
  <c r="I522" i="13" s="1"/>
  <c r="J522" i="13" s="1"/>
  <c r="N522" i="13" s="1"/>
  <c r="O522" i="13" s="1"/>
  <c r="E521" i="13"/>
  <c r="H521" i="13" s="1"/>
  <c r="I521" i="13" s="1"/>
  <c r="J521" i="13" s="1"/>
  <c r="N521" i="13" s="1"/>
  <c r="O521" i="13" s="1"/>
  <c r="N546" i="13"/>
  <c r="O546" i="13" s="1"/>
  <c r="M471" i="13"/>
  <c r="E495" i="13"/>
  <c r="H495" i="13" s="1"/>
  <c r="I495" i="13" s="1"/>
  <c r="J495" i="13" s="1"/>
  <c r="N495" i="13" s="1"/>
  <c r="O495" i="13" s="1"/>
  <c r="N502" i="13"/>
  <c r="O502" i="13" s="1"/>
  <c r="N504" i="13"/>
  <c r="O504" i="13" s="1"/>
  <c r="N530" i="13"/>
  <c r="O530" i="13" s="1"/>
  <c r="N545" i="13"/>
  <c r="O545" i="13" s="1"/>
  <c r="M511" i="13"/>
  <c r="N511" i="13" s="1"/>
  <c r="O511" i="13" s="1"/>
  <c r="M531" i="13"/>
  <c r="N531" i="13" s="1"/>
  <c r="O531" i="13" s="1"/>
  <c r="M563" i="13"/>
  <c r="N563" i="13" s="1"/>
  <c r="O563" i="13" s="1"/>
  <c r="E567" i="13"/>
  <c r="H567" i="13" s="1"/>
  <c r="I567" i="13" s="1"/>
  <c r="J567" i="13" s="1"/>
  <c r="N567" i="13" s="1"/>
  <c r="O567" i="13" s="1"/>
  <c r="E596" i="13"/>
  <c r="H596" i="13" s="1"/>
  <c r="I596" i="13" s="1"/>
  <c r="J596" i="13" s="1"/>
  <c r="N596" i="13" s="1"/>
  <c r="O596" i="13" s="1"/>
  <c r="E595" i="13"/>
  <c r="H595" i="13" s="1"/>
  <c r="I595" i="13" s="1"/>
  <c r="J595" i="13" s="1"/>
  <c r="N595" i="13" s="1"/>
  <c r="O595" i="13" s="1"/>
  <c r="E602" i="13"/>
  <c r="H602" i="13" s="1"/>
  <c r="I602" i="13" s="1"/>
  <c r="J602" i="13" s="1"/>
  <c r="N602" i="13" s="1"/>
  <c r="O602" i="13" s="1"/>
  <c r="E601" i="13"/>
  <c r="H601" i="13" s="1"/>
  <c r="I601" i="13" s="1"/>
  <c r="J601" i="13" s="1"/>
  <c r="N601" i="13" s="1"/>
  <c r="O601" i="13" s="1"/>
  <c r="E604" i="13"/>
  <c r="H604" i="13" s="1"/>
  <c r="I604" i="13" s="1"/>
  <c r="J604" i="13" s="1"/>
  <c r="N604" i="13" s="1"/>
  <c r="O604" i="13" s="1"/>
  <c r="E603" i="13"/>
  <c r="H603" i="13" s="1"/>
  <c r="I603" i="13" s="1"/>
  <c r="J603" i="13" s="1"/>
  <c r="N603" i="13" s="1"/>
  <c r="O603" i="13" s="1"/>
  <c r="N611" i="13"/>
  <c r="O611" i="13" s="1"/>
  <c r="M515" i="13"/>
  <c r="N515" i="13" s="1"/>
  <c r="O515" i="13" s="1"/>
  <c r="M551" i="13"/>
  <c r="N551" i="13" s="1"/>
  <c r="O551" i="13" s="1"/>
  <c r="N562" i="13"/>
  <c r="O562" i="13" s="1"/>
  <c r="N581" i="13"/>
  <c r="O581" i="13" s="1"/>
  <c r="N586" i="13"/>
  <c r="O586" i="13" s="1"/>
  <c r="N613" i="13"/>
  <c r="O613" i="13" s="1"/>
  <c r="N620" i="13"/>
  <c r="O620" i="13" s="1"/>
  <c r="N538" i="13"/>
  <c r="O538" i="13" s="1"/>
  <c r="E608" i="13"/>
  <c r="H608" i="13" s="1"/>
  <c r="I608" i="13" s="1"/>
  <c r="J608" i="13" s="1"/>
  <c r="N608" i="13" s="1"/>
  <c r="O608" i="13" s="1"/>
  <c r="E607" i="13"/>
  <c r="H607" i="13" s="1"/>
  <c r="I607" i="13" s="1"/>
  <c r="J607" i="13" s="1"/>
  <c r="N607" i="13" s="1"/>
  <c r="O607" i="13" s="1"/>
  <c r="E506" i="13"/>
  <c r="H506" i="13" s="1"/>
  <c r="I506" i="13" s="1"/>
  <c r="J506" i="13" s="1"/>
  <c r="N506" i="13" s="1"/>
  <c r="O506" i="13" s="1"/>
  <c r="M523" i="13"/>
  <c r="N523" i="13" s="1"/>
  <c r="O523" i="13" s="1"/>
  <c r="M527" i="13"/>
  <c r="N527" i="13" s="1"/>
  <c r="O527" i="13" s="1"/>
  <c r="E532" i="13"/>
  <c r="H532" i="13" s="1"/>
  <c r="I532" i="13" s="1"/>
  <c r="J532" i="13" s="1"/>
  <c r="N532" i="13" s="1"/>
  <c r="O532" i="13" s="1"/>
  <c r="E544" i="13"/>
  <c r="H544" i="13" s="1"/>
  <c r="I544" i="13" s="1"/>
  <c r="J544" i="13" s="1"/>
  <c r="N544" i="13" s="1"/>
  <c r="O544" i="13" s="1"/>
  <c r="E564" i="13"/>
  <c r="H564" i="13" s="1"/>
  <c r="I564" i="13" s="1"/>
  <c r="J564" i="13" s="1"/>
  <c r="N564" i="13" s="1"/>
  <c r="O564" i="13" s="1"/>
  <c r="N585" i="13"/>
  <c r="O585" i="13" s="1"/>
  <c r="E510" i="13"/>
  <c r="H510" i="13" s="1"/>
  <c r="I510" i="13" s="1"/>
  <c r="J510" i="13" s="1"/>
  <c r="N510" i="13" s="1"/>
  <c r="O510" i="13" s="1"/>
  <c r="E514" i="13"/>
  <c r="H514" i="13" s="1"/>
  <c r="I514" i="13" s="1"/>
  <c r="J514" i="13" s="1"/>
  <c r="N514" i="13" s="1"/>
  <c r="O514" i="13" s="1"/>
  <c r="M535" i="13"/>
  <c r="N535" i="13" s="1"/>
  <c r="O535" i="13" s="1"/>
  <c r="N587" i="13"/>
  <c r="O587" i="13" s="1"/>
  <c r="M559" i="13"/>
  <c r="N559" i="13" s="1"/>
  <c r="O559" i="13" s="1"/>
  <c r="E616" i="13"/>
  <c r="H616" i="13" s="1"/>
  <c r="I616" i="13" s="1"/>
  <c r="J616" i="13" s="1"/>
  <c r="N616" i="13" s="1"/>
  <c r="O616" i="13" s="1"/>
  <c r="E615" i="13"/>
  <c r="H615" i="13" s="1"/>
  <c r="I615" i="13" s="1"/>
  <c r="J615" i="13" s="1"/>
  <c r="N615" i="13" s="1"/>
  <c r="O615" i="13" s="1"/>
  <c r="E625" i="13"/>
  <c r="H625" i="13" s="1"/>
  <c r="I625" i="13" s="1"/>
  <c r="J625" i="13" s="1"/>
  <c r="N625" i="13" s="1"/>
  <c r="O625" i="13" s="1"/>
  <c r="E626" i="13"/>
  <c r="H626" i="13" s="1"/>
  <c r="I626" i="13" s="1"/>
  <c r="J626" i="13" s="1"/>
  <c r="N626" i="13" s="1"/>
  <c r="O626" i="13" s="1"/>
  <c r="N650" i="13"/>
  <c r="O650" i="13" s="1"/>
  <c r="E589" i="13"/>
  <c r="H589" i="13" s="1"/>
  <c r="I589" i="13" s="1"/>
  <c r="J589" i="13" s="1"/>
  <c r="N589" i="13" s="1"/>
  <c r="O589" i="13" s="1"/>
  <c r="M605" i="13"/>
  <c r="N605" i="13" s="1"/>
  <c r="O605" i="13" s="1"/>
  <c r="E619" i="13"/>
  <c r="H619" i="13" s="1"/>
  <c r="I619" i="13" s="1"/>
  <c r="J619" i="13" s="1"/>
  <c r="N619" i="13" s="1"/>
  <c r="O619" i="13" s="1"/>
  <c r="M636" i="13"/>
  <c r="N636" i="13" s="1"/>
  <c r="O636" i="13" s="1"/>
  <c r="E660" i="13"/>
  <c r="H660" i="13" s="1"/>
  <c r="I660" i="13" s="1"/>
  <c r="J660" i="13" s="1"/>
  <c r="N660" i="13" s="1"/>
  <c r="O660" i="13" s="1"/>
  <c r="E661" i="13"/>
  <c r="H661" i="13" s="1"/>
  <c r="I661" i="13" s="1"/>
  <c r="J661" i="13" s="1"/>
  <c r="N661" i="13" s="1"/>
  <c r="O661" i="13" s="1"/>
  <c r="E631" i="13"/>
  <c r="H631" i="13" s="1"/>
  <c r="I631" i="13" s="1"/>
  <c r="J631" i="13" s="1"/>
  <c r="N631" i="13" s="1"/>
  <c r="O631" i="13" s="1"/>
  <c r="E630" i="13"/>
  <c r="H630" i="13" s="1"/>
  <c r="I630" i="13" s="1"/>
  <c r="J630" i="13" s="1"/>
  <c r="N630" i="13" s="1"/>
  <c r="O630" i="13" s="1"/>
  <c r="N635" i="13"/>
  <c r="O635" i="13" s="1"/>
  <c r="E639" i="13"/>
  <c r="H639" i="13" s="1"/>
  <c r="I639" i="13" s="1"/>
  <c r="J639" i="13" s="1"/>
  <c r="N639" i="13" s="1"/>
  <c r="O639" i="13" s="1"/>
  <c r="E638" i="13"/>
  <c r="H638" i="13" s="1"/>
  <c r="I638" i="13" s="1"/>
  <c r="J638" i="13" s="1"/>
  <c r="N638" i="13" s="1"/>
  <c r="O638" i="13" s="1"/>
  <c r="N652" i="13"/>
  <c r="O652" i="13" s="1"/>
  <c r="M652" i="13"/>
  <c r="M617" i="13"/>
  <c r="N617" i="13" s="1"/>
  <c r="O617" i="13" s="1"/>
  <c r="N634" i="13"/>
  <c r="O634" i="13" s="1"/>
  <c r="N643" i="13"/>
  <c r="O643" i="13" s="1"/>
  <c r="N668" i="13"/>
  <c r="O668" i="13" s="1"/>
  <c r="E592" i="13"/>
  <c r="H592" i="13" s="1"/>
  <c r="I592" i="13" s="1"/>
  <c r="J592" i="13" s="1"/>
  <c r="N592" i="13" s="1"/>
  <c r="O592" i="13" s="1"/>
  <c r="E591" i="13"/>
  <c r="H591" i="13" s="1"/>
  <c r="I591" i="13" s="1"/>
  <c r="J591" i="13" s="1"/>
  <c r="N591" i="13" s="1"/>
  <c r="O591" i="13" s="1"/>
  <c r="E647" i="13"/>
  <c r="H647" i="13" s="1"/>
  <c r="I647" i="13" s="1"/>
  <c r="J647" i="13" s="1"/>
  <c r="N647" i="13" s="1"/>
  <c r="O647" i="13" s="1"/>
  <c r="E646" i="13"/>
  <c r="H646" i="13" s="1"/>
  <c r="I646" i="13" s="1"/>
  <c r="J646" i="13" s="1"/>
  <c r="N646" i="13" s="1"/>
  <c r="O646" i="13" s="1"/>
  <c r="N655" i="13"/>
  <c r="O655" i="13" s="1"/>
  <c r="N656" i="13"/>
  <c r="O656" i="13" s="1"/>
  <c r="M609" i="13"/>
  <c r="N609" i="13" s="1"/>
  <c r="O609" i="13" s="1"/>
  <c r="M621" i="13"/>
  <c r="N621" i="13" s="1"/>
  <c r="O621" i="13" s="1"/>
  <c r="N637" i="13"/>
  <c r="O637" i="13" s="1"/>
  <c r="M654" i="13"/>
  <c r="N654" i="13" s="1"/>
  <c r="O654" i="13" s="1"/>
  <c r="E663" i="13"/>
  <c r="H663" i="13" s="1"/>
  <c r="I663" i="13" s="1"/>
  <c r="J663" i="13" s="1"/>
  <c r="N663" i="13" s="1"/>
  <c r="O663" i="13" s="1"/>
  <c r="E662" i="13"/>
  <c r="H662" i="13" s="1"/>
  <c r="I662" i="13" s="1"/>
  <c r="J662" i="13" s="1"/>
  <c r="N662" i="13" s="1"/>
  <c r="O662" i="13" s="1"/>
  <c r="M670" i="13"/>
  <c r="N670" i="13" s="1"/>
  <c r="O670" i="13" s="1"/>
  <c r="E677" i="13"/>
  <c r="H677" i="13" s="1"/>
  <c r="I677" i="13" s="1"/>
  <c r="J677" i="13" s="1"/>
  <c r="N677" i="13" s="1"/>
  <c r="O677" i="13" s="1"/>
  <c r="E679" i="13"/>
  <c r="H679" i="13" s="1"/>
  <c r="I679" i="13" s="1"/>
  <c r="J679" i="13" s="1"/>
  <c r="N679" i="13" s="1"/>
  <c r="O679" i="13" s="1"/>
  <c r="E678" i="13"/>
  <c r="H678" i="13" s="1"/>
  <c r="I678" i="13" s="1"/>
  <c r="J678" i="13" s="1"/>
  <c r="N678" i="13" s="1"/>
  <c r="O678" i="13" s="1"/>
  <c r="M686" i="13"/>
  <c r="N686" i="13" s="1"/>
  <c r="O686" i="13" s="1"/>
  <c r="E693" i="13"/>
  <c r="H693" i="13" s="1"/>
  <c r="I693" i="13" s="1"/>
  <c r="J693" i="13" s="1"/>
  <c r="N693" i="13" s="1"/>
  <c r="O693" i="13" s="1"/>
  <c r="E695" i="13"/>
  <c r="H695" i="13" s="1"/>
  <c r="I695" i="13" s="1"/>
  <c r="J695" i="13" s="1"/>
  <c r="N695" i="13" s="1"/>
  <c r="O695" i="13" s="1"/>
  <c r="E694" i="13"/>
  <c r="H694" i="13" s="1"/>
  <c r="I694" i="13" s="1"/>
  <c r="J694" i="13" s="1"/>
  <c r="N694" i="13" s="1"/>
  <c r="O694" i="13" s="1"/>
  <c r="N671" i="13"/>
  <c r="O671" i="13" s="1"/>
  <c r="N687" i="13"/>
  <c r="O687" i="13" s="1"/>
  <c r="N698" i="13"/>
  <c r="O698" i="13" s="1"/>
  <c r="N703" i="13"/>
  <c r="O703" i="13" s="1"/>
  <c r="E640" i="13"/>
  <c r="H640" i="13" s="1"/>
  <c r="I640" i="13" s="1"/>
  <c r="J640" i="13" s="1"/>
  <c r="N640" i="13" s="1"/>
  <c r="O640" i="13" s="1"/>
  <c r="M656" i="13"/>
  <c r="M672" i="13"/>
  <c r="N672" i="13" s="1"/>
  <c r="O672" i="13" s="1"/>
  <c r="M688" i="13"/>
  <c r="N688" i="13" s="1"/>
  <c r="O688" i="13" s="1"/>
  <c r="E710" i="13"/>
  <c r="H710" i="13" s="1"/>
  <c r="I710" i="13" s="1"/>
  <c r="J710" i="13" s="1"/>
  <c r="N710" i="13" s="1"/>
  <c r="O710" i="13" s="1"/>
  <c r="N714" i="13"/>
  <c r="O714" i="13" s="1"/>
  <c r="M696" i="13"/>
  <c r="N696" i="13" s="1"/>
  <c r="O696" i="13" s="1"/>
  <c r="E632" i="13"/>
  <c r="H632" i="13" s="1"/>
  <c r="I632" i="13" s="1"/>
  <c r="J632" i="13" s="1"/>
  <c r="N632" i="13" s="1"/>
  <c r="O632" i="13" s="1"/>
  <c r="E648" i="13"/>
  <c r="H648" i="13" s="1"/>
  <c r="I648" i="13" s="1"/>
  <c r="J648" i="13" s="1"/>
  <c r="N648" i="13" s="1"/>
  <c r="O648" i="13" s="1"/>
  <c r="E657" i="13"/>
  <c r="H657" i="13" s="1"/>
  <c r="I657" i="13" s="1"/>
  <c r="J657" i="13" s="1"/>
  <c r="N657" i="13" s="1"/>
  <c r="O657" i="13" s="1"/>
  <c r="M664" i="13"/>
  <c r="N664" i="13" s="1"/>
  <c r="O664" i="13" s="1"/>
  <c r="E673" i="13"/>
  <c r="H673" i="13" s="1"/>
  <c r="I673" i="13" s="1"/>
  <c r="J673" i="13" s="1"/>
  <c r="N673" i="13" s="1"/>
  <c r="O673" i="13" s="1"/>
  <c r="E658" i="13"/>
  <c r="H658" i="13" s="1"/>
  <c r="I658" i="13" s="1"/>
  <c r="J658" i="13" s="1"/>
  <c r="N658" i="13" s="1"/>
  <c r="O658" i="13" s="1"/>
  <c r="E674" i="13"/>
  <c r="H674" i="13" s="1"/>
  <c r="I674" i="13" s="1"/>
  <c r="J674" i="13" s="1"/>
  <c r="N674" i="13" s="1"/>
  <c r="O674" i="13" s="1"/>
  <c r="E690" i="13"/>
  <c r="H690" i="13" s="1"/>
  <c r="I690" i="13" s="1"/>
  <c r="J690" i="13" s="1"/>
  <c r="N690" i="13" s="1"/>
  <c r="O690" i="13" s="1"/>
  <c r="E706" i="13"/>
  <c r="H706" i="13" s="1"/>
  <c r="I706" i="13" s="1"/>
  <c r="J706" i="13" s="1"/>
  <c r="N706" i="13" s="1"/>
  <c r="O706" i="13" s="1"/>
  <c r="N21" i="19" l="1"/>
  <c r="O21" i="19" s="1"/>
  <c r="O21" i="18"/>
  <c r="N21" i="18"/>
  <c r="N21" i="17"/>
  <c r="O21" i="17" s="1"/>
  <c r="N21" i="16"/>
  <c r="O21" i="16" s="1"/>
  <c r="O21" i="15"/>
  <c r="N21" i="15"/>
  <c r="O21" i="14"/>
  <c r="N21" i="14"/>
  <c r="O21" i="12"/>
  <c r="N21" i="12"/>
  <c r="N21" i="11"/>
  <c r="O21" i="11" s="1"/>
  <c r="N21" i="10"/>
  <c r="O21" i="10" s="1"/>
  <c r="O21" i="9"/>
  <c r="N21" i="9"/>
  <c r="N21" i="8"/>
  <c r="O21" i="8" s="1"/>
  <c r="N21" i="5"/>
  <c r="O21" i="5" s="1"/>
  <c r="N21" i="4"/>
  <c r="O21" i="4" s="1"/>
  <c r="O21" i="3"/>
  <c r="N21" i="3"/>
  <c r="N24" i="1"/>
  <c r="O24" i="1" s="1"/>
  <c r="J20" i="19"/>
  <c r="I19" i="19"/>
  <c r="I19" i="18"/>
  <c r="J20" i="18"/>
  <c r="J20" i="17"/>
  <c r="I19" i="17"/>
  <c r="J20" i="16"/>
  <c r="I19" i="16"/>
  <c r="J20" i="15"/>
  <c r="I19" i="15"/>
  <c r="J20" i="14"/>
  <c r="I19" i="14"/>
  <c r="J20" i="12"/>
  <c r="I19" i="12"/>
  <c r="J20" i="11"/>
  <c r="I19" i="11"/>
  <c r="J20" i="10"/>
  <c r="I19" i="10"/>
  <c r="J20" i="9"/>
  <c r="I19" i="9"/>
  <c r="J20" i="8"/>
  <c r="I19" i="8"/>
  <c r="J20" i="5"/>
  <c r="I19" i="5"/>
  <c r="J20" i="4"/>
  <c r="I19" i="4"/>
  <c r="J20" i="3"/>
  <c r="I19" i="3"/>
  <c r="O21" i="2"/>
  <c r="J20" i="2"/>
  <c r="N20" i="2" s="1"/>
  <c r="I19" i="2"/>
  <c r="J23" i="1"/>
  <c r="I22" i="1"/>
  <c r="N296" i="13"/>
  <c r="O296" i="13" s="1"/>
  <c r="N304" i="13"/>
  <c r="O304" i="13" s="1"/>
  <c r="N264" i="13"/>
  <c r="O264" i="13" s="1"/>
  <c r="J23" i="13"/>
  <c r="N23" i="13" s="1"/>
  <c r="O23" i="13" s="1"/>
  <c r="I22" i="13"/>
  <c r="N280" i="13"/>
  <c r="O280" i="13" s="1"/>
  <c r="N471" i="13"/>
  <c r="O471" i="13" s="1"/>
  <c r="N451" i="13"/>
  <c r="O451" i="13" s="1"/>
  <c r="N206" i="13"/>
  <c r="O206" i="13" s="1"/>
  <c r="N312" i="13"/>
  <c r="O312" i="13" s="1"/>
  <c r="N300" i="13"/>
  <c r="O300" i="13" s="1"/>
  <c r="N228" i="13"/>
  <c r="O228" i="13" s="1"/>
  <c r="N467" i="13"/>
  <c r="O467" i="13" s="1"/>
  <c r="N288" i="13"/>
  <c r="O288" i="13" s="1"/>
  <c r="N272" i="13"/>
  <c r="O272" i="13" s="1"/>
  <c r="N20" i="19" l="1"/>
  <c r="O20" i="19" s="1"/>
  <c r="N20" i="18"/>
  <c r="O20" i="18" s="1"/>
  <c r="N20" i="17"/>
  <c r="O20" i="17" s="1"/>
  <c r="N20" i="16"/>
  <c r="O20" i="16" s="1"/>
  <c r="O20" i="15"/>
  <c r="N20" i="15"/>
  <c r="N20" i="14"/>
  <c r="O20" i="14" s="1"/>
  <c r="N20" i="12"/>
  <c r="O20" i="12" s="1"/>
  <c r="N20" i="11"/>
  <c r="O20" i="11" s="1"/>
  <c r="N20" i="10"/>
  <c r="O20" i="10" s="1"/>
  <c r="O20" i="9"/>
  <c r="N20" i="9"/>
  <c r="N20" i="8"/>
  <c r="O20" i="8" s="1"/>
  <c r="N20" i="5"/>
  <c r="O20" i="5" s="1"/>
  <c r="N20" i="4"/>
  <c r="O20" i="4" s="1"/>
  <c r="N20" i="3"/>
  <c r="O20" i="3" s="1"/>
  <c r="O23" i="1"/>
  <c r="N23" i="1"/>
  <c r="I18" i="19"/>
  <c r="J19" i="19"/>
  <c r="I18" i="18"/>
  <c r="J19" i="18"/>
  <c r="I18" i="17"/>
  <c r="J19" i="17"/>
  <c r="I18" i="16"/>
  <c r="J19" i="16"/>
  <c r="I18" i="15"/>
  <c r="J19" i="15"/>
  <c r="I18" i="14"/>
  <c r="J19" i="14"/>
  <c r="I18" i="12"/>
  <c r="J19" i="12"/>
  <c r="I18" i="11"/>
  <c r="J19" i="11"/>
  <c r="I18" i="10"/>
  <c r="J19" i="10"/>
  <c r="I18" i="9"/>
  <c r="J19" i="9"/>
  <c r="I18" i="8"/>
  <c r="J19" i="8"/>
  <c r="I18" i="5"/>
  <c r="J19" i="5"/>
  <c r="I18" i="4"/>
  <c r="J19" i="4"/>
  <c r="I18" i="3"/>
  <c r="J19" i="3"/>
  <c r="O20" i="2"/>
  <c r="I18" i="2"/>
  <c r="J19" i="2"/>
  <c r="N19" i="2" s="1"/>
  <c r="J22" i="1"/>
  <c r="I21" i="1"/>
  <c r="I21" i="13"/>
  <c r="J22" i="13"/>
  <c r="N22" i="13" s="1"/>
  <c r="O22" i="13" s="1"/>
  <c r="N19" i="19" l="1"/>
  <c r="O19" i="19" s="1"/>
  <c r="O19" i="18"/>
  <c r="N19" i="18"/>
  <c r="N19" i="17"/>
  <c r="O19" i="17" s="1"/>
  <c r="O19" i="16"/>
  <c r="N19" i="16"/>
  <c r="N19" i="15"/>
  <c r="O19" i="15" s="1"/>
  <c r="N19" i="14"/>
  <c r="O19" i="14" s="1"/>
  <c r="N19" i="12"/>
  <c r="O19" i="12" s="1"/>
  <c r="N19" i="11"/>
  <c r="O19" i="11" s="1"/>
  <c r="O19" i="10"/>
  <c r="N19" i="10"/>
  <c r="O19" i="9"/>
  <c r="N19" i="9"/>
  <c r="N19" i="8"/>
  <c r="O19" i="8" s="1"/>
  <c r="N19" i="5"/>
  <c r="O19" i="5" s="1"/>
  <c r="N19" i="4"/>
  <c r="O19" i="4" s="1"/>
  <c r="N19" i="3"/>
  <c r="O19" i="3" s="1"/>
  <c r="N22" i="1"/>
  <c r="O22" i="1" s="1"/>
  <c r="I17" i="19"/>
  <c r="J18" i="19"/>
  <c r="I17" i="18"/>
  <c r="J18" i="18"/>
  <c r="I17" i="17"/>
  <c r="J18" i="17"/>
  <c r="I17" i="16"/>
  <c r="J18" i="16"/>
  <c r="I17" i="15"/>
  <c r="J18" i="15"/>
  <c r="I17" i="14"/>
  <c r="J18" i="14"/>
  <c r="I17" i="12"/>
  <c r="J18" i="12"/>
  <c r="I17" i="11"/>
  <c r="J18" i="11"/>
  <c r="I17" i="10"/>
  <c r="J18" i="10"/>
  <c r="I17" i="9"/>
  <c r="J18" i="9"/>
  <c r="I17" i="8"/>
  <c r="J18" i="8"/>
  <c r="I17" i="5"/>
  <c r="J18" i="5"/>
  <c r="I17" i="4"/>
  <c r="J18" i="4"/>
  <c r="I17" i="3"/>
  <c r="J18" i="3"/>
  <c r="O19" i="2"/>
  <c r="I17" i="2"/>
  <c r="J18" i="2"/>
  <c r="N18" i="2" s="1"/>
  <c r="J21" i="1"/>
  <c r="I20" i="1"/>
  <c r="I20" i="13"/>
  <c r="J21" i="13"/>
  <c r="N21" i="13" s="1"/>
  <c r="O21" i="13" s="1"/>
  <c r="N18" i="19" l="1"/>
  <c r="O18" i="19" s="1"/>
  <c r="O18" i="18"/>
  <c r="N18" i="18"/>
  <c r="N18" i="17"/>
  <c r="O18" i="17" s="1"/>
  <c r="N18" i="16"/>
  <c r="O18" i="16" s="1"/>
  <c r="N18" i="15"/>
  <c r="O18" i="15" s="1"/>
  <c r="N18" i="14"/>
  <c r="O18" i="14" s="1"/>
  <c r="N18" i="12"/>
  <c r="O18" i="12" s="1"/>
  <c r="N18" i="11"/>
  <c r="O18" i="11" s="1"/>
  <c r="N18" i="10"/>
  <c r="O18" i="10" s="1"/>
  <c r="O18" i="9"/>
  <c r="N18" i="9"/>
  <c r="N18" i="8"/>
  <c r="O18" i="8" s="1"/>
  <c r="N18" i="5"/>
  <c r="O18" i="5" s="1"/>
  <c r="N18" i="4"/>
  <c r="O18" i="4" s="1"/>
  <c r="N18" i="3"/>
  <c r="O18" i="3" s="1"/>
  <c r="N21" i="1"/>
  <c r="O21" i="1" s="1"/>
  <c r="J17" i="19"/>
  <c r="I16" i="19"/>
  <c r="J17" i="18"/>
  <c r="I16" i="18"/>
  <c r="J17" i="17"/>
  <c r="I16" i="17"/>
  <c r="J17" i="16"/>
  <c r="I16" i="16"/>
  <c r="J17" i="15"/>
  <c r="I16" i="15"/>
  <c r="J17" i="14"/>
  <c r="I16" i="14"/>
  <c r="J17" i="12"/>
  <c r="I16" i="12"/>
  <c r="J17" i="11"/>
  <c r="I16" i="11"/>
  <c r="J17" i="10"/>
  <c r="I16" i="10"/>
  <c r="J17" i="9"/>
  <c r="I16" i="9"/>
  <c r="J17" i="8"/>
  <c r="I16" i="8"/>
  <c r="J17" i="5"/>
  <c r="I16" i="5"/>
  <c r="J17" i="4"/>
  <c r="I16" i="4"/>
  <c r="J17" i="3"/>
  <c r="I16" i="3"/>
  <c r="O18" i="2"/>
  <c r="J17" i="2"/>
  <c r="N17" i="2" s="1"/>
  <c r="I16" i="2"/>
  <c r="J20" i="1"/>
  <c r="I19" i="1"/>
  <c r="J20" i="13"/>
  <c r="N20" i="13" s="1"/>
  <c r="O20" i="13" s="1"/>
  <c r="I19" i="13"/>
  <c r="N17" i="19" l="1"/>
  <c r="O17" i="19" s="1"/>
  <c r="O17" i="18"/>
  <c r="N17" i="18"/>
  <c r="O17" i="17"/>
  <c r="N17" i="17"/>
  <c r="N17" i="16"/>
  <c r="O17" i="16" s="1"/>
  <c r="O17" i="15"/>
  <c r="N17" i="15"/>
  <c r="N17" i="14"/>
  <c r="O17" i="14" s="1"/>
  <c r="N17" i="12"/>
  <c r="O17" i="12" s="1"/>
  <c r="N17" i="11"/>
  <c r="O17" i="11" s="1"/>
  <c r="O17" i="10"/>
  <c r="N17" i="10"/>
  <c r="O17" i="9"/>
  <c r="N17" i="9"/>
  <c r="N17" i="8"/>
  <c r="O17" i="8" s="1"/>
  <c r="N17" i="5"/>
  <c r="O17" i="5" s="1"/>
  <c r="N17" i="4"/>
  <c r="O17" i="4" s="1"/>
  <c r="N17" i="3"/>
  <c r="O17" i="3" s="1"/>
  <c r="N20" i="1"/>
  <c r="O20" i="1" s="1"/>
  <c r="J16" i="19"/>
  <c r="I15" i="19"/>
  <c r="J16" i="18"/>
  <c r="I15" i="18"/>
  <c r="I15" i="17"/>
  <c r="J16" i="17"/>
  <c r="J16" i="16"/>
  <c r="I15" i="16"/>
  <c r="I15" i="15"/>
  <c r="J16" i="15"/>
  <c r="J16" i="14"/>
  <c r="I15" i="14"/>
  <c r="J16" i="12"/>
  <c r="I15" i="12"/>
  <c r="J16" i="11"/>
  <c r="I15" i="11"/>
  <c r="J16" i="10"/>
  <c r="I15" i="10"/>
  <c r="J16" i="9"/>
  <c r="I15" i="9"/>
  <c r="J16" i="8"/>
  <c r="I15" i="8"/>
  <c r="J16" i="5"/>
  <c r="I15" i="5"/>
  <c r="I15" i="4"/>
  <c r="J16" i="4"/>
  <c r="J16" i="3"/>
  <c r="I15" i="3"/>
  <c r="O17" i="2"/>
  <c r="J16" i="2"/>
  <c r="N16" i="2" s="1"/>
  <c r="I15" i="2"/>
  <c r="J19" i="1"/>
  <c r="I18" i="1"/>
  <c r="J19" i="13"/>
  <c r="N19" i="13" s="1"/>
  <c r="O19" i="13" s="1"/>
  <c r="I18" i="13"/>
  <c r="N16" i="19" l="1"/>
  <c r="O16" i="19" s="1"/>
  <c r="O16" i="18"/>
  <c r="N16" i="18"/>
  <c r="N16" i="17"/>
  <c r="O16" i="17" s="1"/>
  <c r="N16" i="16"/>
  <c r="O16" i="16" s="1"/>
  <c r="O16" i="15"/>
  <c r="N16" i="15"/>
  <c r="N16" i="14"/>
  <c r="O16" i="14" s="1"/>
  <c r="N16" i="12"/>
  <c r="O16" i="12" s="1"/>
  <c r="N16" i="11"/>
  <c r="O16" i="11" s="1"/>
  <c r="N16" i="10"/>
  <c r="O16" i="10" s="1"/>
  <c r="O16" i="9"/>
  <c r="N16" i="9"/>
  <c r="N16" i="8"/>
  <c r="O16" i="8" s="1"/>
  <c r="N16" i="5"/>
  <c r="O16" i="5" s="1"/>
  <c r="O16" i="4"/>
  <c r="N16" i="4"/>
  <c r="O16" i="3"/>
  <c r="N16" i="3"/>
  <c r="N19" i="1"/>
  <c r="O19" i="1" s="1"/>
  <c r="I14" i="19"/>
  <c r="J15" i="19"/>
  <c r="I14" i="18"/>
  <c r="J15" i="18"/>
  <c r="I14" i="17"/>
  <c r="J15" i="17"/>
  <c r="I14" i="16"/>
  <c r="J15" i="16"/>
  <c r="I14" i="15"/>
  <c r="J15" i="15"/>
  <c r="I14" i="14"/>
  <c r="J15" i="14"/>
  <c r="I14" i="12"/>
  <c r="J15" i="12"/>
  <c r="I14" i="11"/>
  <c r="J15" i="11"/>
  <c r="I14" i="10"/>
  <c r="J15" i="10"/>
  <c r="I14" i="9"/>
  <c r="J15" i="9"/>
  <c r="I14" i="8"/>
  <c r="J15" i="8"/>
  <c r="I14" i="5"/>
  <c r="J15" i="5"/>
  <c r="I14" i="4"/>
  <c r="J15" i="4"/>
  <c r="I14" i="3"/>
  <c r="J15" i="3"/>
  <c r="O16" i="2"/>
  <c r="I14" i="2"/>
  <c r="J15" i="2"/>
  <c r="N15" i="2" s="1"/>
  <c r="J18" i="1"/>
  <c r="I17" i="1"/>
  <c r="I17" i="13"/>
  <c r="J18" i="13"/>
  <c r="N18" i="13" s="1"/>
  <c r="O18" i="13" s="1"/>
  <c r="N15" i="19" l="1"/>
  <c r="O15" i="19" s="1"/>
  <c r="O15" i="18"/>
  <c r="N15" i="18"/>
  <c r="N15" i="17"/>
  <c r="O15" i="17" s="1"/>
  <c r="N15" i="16"/>
  <c r="O15" i="16" s="1"/>
  <c r="N15" i="15"/>
  <c r="O15" i="15" s="1"/>
  <c r="N15" i="14"/>
  <c r="O15" i="14" s="1"/>
  <c r="N15" i="12"/>
  <c r="O15" i="12" s="1"/>
  <c r="N15" i="11"/>
  <c r="O15" i="11" s="1"/>
  <c r="N15" i="10"/>
  <c r="O15" i="10" s="1"/>
  <c r="O15" i="9"/>
  <c r="N15" i="9"/>
  <c r="N15" i="8"/>
  <c r="O15" i="8" s="1"/>
  <c r="N15" i="5"/>
  <c r="O15" i="5" s="1"/>
  <c r="O15" i="4"/>
  <c r="N15" i="4"/>
  <c r="N15" i="3"/>
  <c r="O15" i="3" s="1"/>
  <c r="N18" i="1"/>
  <c r="O18" i="1" s="1"/>
  <c r="I13" i="19"/>
  <c r="J14" i="19"/>
  <c r="I13" i="18"/>
  <c r="J14" i="18"/>
  <c r="I13" i="17"/>
  <c r="J14" i="17"/>
  <c r="I13" i="16"/>
  <c r="J14" i="16"/>
  <c r="I13" i="15"/>
  <c r="J14" i="15"/>
  <c r="I13" i="14"/>
  <c r="J14" i="14"/>
  <c r="I13" i="12"/>
  <c r="J14" i="12"/>
  <c r="I13" i="11"/>
  <c r="J14" i="11"/>
  <c r="I13" i="10"/>
  <c r="J14" i="10"/>
  <c r="I13" i="9"/>
  <c r="J14" i="9"/>
  <c r="I13" i="8"/>
  <c r="J14" i="8"/>
  <c r="I13" i="5"/>
  <c r="J14" i="5"/>
  <c r="I13" i="4"/>
  <c r="J14" i="4"/>
  <c r="I13" i="3"/>
  <c r="J14" i="3"/>
  <c r="O15" i="2"/>
  <c r="I13" i="2"/>
  <c r="J14" i="2"/>
  <c r="N14" i="2" s="1"/>
  <c r="J17" i="1"/>
  <c r="I16" i="1"/>
  <c r="I16" i="13"/>
  <c r="J17" i="13"/>
  <c r="N17" i="13" s="1"/>
  <c r="O17" i="13" s="1"/>
  <c r="N14" i="19" l="1"/>
  <c r="O14" i="19" s="1"/>
  <c r="O14" i="18"/>
  <c r="N14" i="18"/>
  <c r="N14" i="17"/>
  <c r="O14" i="17" s="1"/>
  <c r="N14" i="16"/>
  <c r="O14" i="16" s="1"/>
  <c r="N14" i="15"/>
  <c r="O14" i="15" s="1"/>
  <c r="O14" i="14"/>
  <c r="N14" i="14"/>
  <c r="O14" i="12"/>
  <c r="N14" i="12"/>
  <c r="N14" i="11"/>
  <c r="O14" i="11" s="1"/>
  <c r="O14" i="10"/>
  <c r="N14" i="10"/>
  <c r="O14" i="9"/>
  <c r="N14" i="9"/>
  <c r="N14" i="8"/>
  <c r="O14" i="8" s="1"/>
  <c r="N14" i="5"/>
  <c r="O14" i="5" s="1"/>
  <c r="O14" i="4"/>
  <c r="N14" i="4"/>
  <c r="N14" i="3"/>
  <c r="O14" i="3" s="1"/>
  <c r="N17" i="1"/>
  <c r="O17" i="1" s="1"/>
  <c r="J13" i="19"/>
  <c r="I12" i="19"/>
  <c r="J13" i="18"/>
  <c r="I12" i="18"/>
  <c r="J13" i="17"/>
  <c r="I12" i="17"/>
  <c r="J13" i="16"/>
  <c r="I12" i="16"/>
  <c r="J13" i="15"/>
  <c r="I12" i="15"/>
  <c r="J13" i="14"/>
  <c r="I12" i="14"/>
  <c r="J13" i="12"/>
  <c r="I12" i="12"/>
  <c r="J13" i="11"/>
  <c r="I12" i="11"/>
  <c r="J13" i="10"/>
  <c r="I12" i="10"/>
  <c r="J13" i="9"/>
  <c r="I12" i="9"/>
  <c r="J13" i="8"/>
  <c r="I12" i="8"/>
  <c r="J13" i="5"/>
  <c r="I12" i="5"/>
  <c r="J13" i="4"/>
  <c r="I12" i="4"/>
  <c r="J13" i="3"/>
  <c r="I12" i="3"/>
  <c r="O14" i="2"/>
  <c r="J13" i="2"/>
  <c r="N13" i="2" s="1"/>
  <c r="I12" i="2"/>
  <c r="I15" i="1"/>
  <c r="J16" i="1"/>
  <c r="J16" i="13"/>
  <c r="N16" i="13" s="1"/>
  <c r="O16" i="13" s="1"/>
  <c r="I15" i="13"/>
  <c r="O13" i="19" l="1"/>
  <c r="N13" i="19"/>
  <c r="O13" i="18"/>
  <c r="N13" i="18"/>
  <c r="N13" i="17"/>
  <c r="O13" i="17" s="1"/>
  <c r="N13" i="16"/>
  <c r="O13" i="16" s="1"/>
  <c r="N13" i="15"/>
  <c r="O13" i="15" s="1"/>
  <c r="N13" i="14"/>
  <c r="O13" i="14" s="1"/>
  <c r="N13" i="12"/>
  <c r="O13" i="12" s="1"/>
  <c r="N13" i="11"/>
  <c r="O13" i="11" s="1"/>
  <c r="N13" i="10"/>
  <c r="O13" i="10" s="1"/>
  <c r="N13" i="9"/>
  <c r="O13" i="9" s="1"/>
  <c r="N13" i="8"/>
  <c r="O13" i="8" s="1"/>
  <c r="N13" i="5"/>
  <c r="O13" i="5" s="1"/>
  <c r="O13" i="4"/>
  <c r="N13" i="4"/>
  <c r="N13" i="3"/>
  <c r="O13" i="3" s="1"/>
  <c r="N16" i="1"/>
  <c r="O16" i="1" s="1"/>
  <c r="I11" i="19"/>
  <c r="J12" i="19"/>
  <c r="J12" i="18"/>
  <c r="I11" i="18"/>
  <c r="I11" i="17"/>
  <c r="J12" i="17"/>
  <c r="I11" i="16"/>
  <c r="J12" i="16"/>
  <c r="I11" i="15"/>
  <c r="J12" i="15"/>
  <c r="J12" i="14"/>
  <c r="I11" i="14"/>
  <c r="J12" i="12"/>
  <c r="I11" i="12"/>
  <c r="J12" i="11"/>
  <c r="I11" i="11"/>
  <c r="J12" i="10"/>
  <c r="I11" i="10"/>
  <c r="J12" i="9"/>
  <c r="I11" i="9"/>
  <c r="I11" i="8"/>
  <c r="J12" i="8"/>
  <c r="J12" i="5"/>
  <c r="I11" i="5"/>
  <c r="J12" i="4"/>
  <c r="I11" i="4"/>
  <c r="J12" i="3"/>
  <c r="I11" i="3"/>
  <c r="O13" i="2"/>
  <c r="J12" i="2"/>
  <c r="N12" i="2" s="1"/>
  <c r="I11" i="2"/>
  <c r="J15" i="1"/>
  <c r="I14" i="1"/>
  <c r="J15" i="13"/>
  <c r="N15" i="13" s="1"/>
  <c r="O15" i="13" s="1"/>
  <c r="I14" i="13"/>
  <c r="N12" i="19" l="1"/>
  <c r="O12" i="19" s="1"/>
  <c r="O12" i="18"/>
  <c r="N12" i="18"/>
  <c r="O12" i="17"/>
  <c r="N12" i="17"/>
  <c r="N12" i="16"/>
  <c r="O12" i="16" s="1"/>
  <c r="N12" i="15"/>
  <c r="O12" i="15" s="1"/>
  <c r="N12" i="14"/>
  <c r="O12" i="14" s="1"/>
  <c r="N12" i="12"/>
  <c r="O12" i="12" s="1"/>
  <c r="N12" i="11"/>
  <c r="O12" i="11" s="1"/>
  <c r="O12" i="10"/>
  <c r="N12" i="10"/>
  <c r="N12" i="9"/>
  <c r="O12" i="9" s="1"/>
  <c r="N12" i="8"/>
  <c r="O12" i="8" s="1"/>
  <c r="N12" i="5"/>
  <c r="O12" i="5" s="1"/>
  <c r="O12" i="4"/>
  <c r="N12" i="4"/>
  <c r="N12" i="3"/>
  <c r="O12" i="3" s="1"/>
  <c r="N15" i="1"/>
  <c r="O15" i="1" s="1"/>
  <c r="I10" i="19"/>
  <c r="J11" i="19"/>
  <c r="I10" i="18"/>
  <c r="J11" i="18"/>
  <c r="I10" i="17"/>
  <c r="J11" i="17"/>
  <c r="I10" i="16"/>
  <c r="J11" i="16"/>
  <c r="I10" i="15"/>
  <c r="J11" i="15"/>
  <c r="I10" i="14"/>
  <c r="J11" i="14"/>
  <c r="I10" i="12"/>
  <c r="J11" i="12"/>
  <c r="I10" i="11"/>
  <c r="J11" i="11"/>
  <c r="I10" i="10"/>
  <c r="J11" i="10"/>
  <c r="I10" i="9"/>
  <c r="J11" i="9"/>
  <c r="I10" i="8"/>
  <c r="J11" i="8"/>
  <c r="I10" i="5"/>
  <c r="J11" i="5"/>
  <c r="I10" i="4"/>
  <c r="J11" i="4"/>
  <c r="I10" i="3"/>
  <c r="J11" i="3"/>
  <c r="O12" i="2"/>
  <c r="I10" i="2"/>
  <c r="J11" i="2"/>
  <c r="N11" i="2" s="1"/>
  <c r="J14" i="1"/>
  <c r="I13" i="1"/>
  <c r="I13" i="13"/>
  <c r="J14" i="13"/>
  <c r="N14" i="13" s="1"/>
  <c r="O14" i="13" s="1"/>
  <c r="N11" i="19" l="1"/>
  <c r="O11" i="19" s="1"/>
  <c r="O11" i="18"/>
  <c r="N11" i="18"/>
  <c r="N11" i="17"/>
  <c r="O11" i="17" s="1"/>
  <c r="N11" i="16"/>
  <c r="O11" i="16" s="1"/>
  <c r="N11" i="15"/>
  <c r="O11" i="15" s="1"/>
  <c r="N11" i="14"/>
  <c r="O11" i="14" s="1"/>
  <c r="N11" i="12"/>
  <c r="O11" i="12" s="1"/>
  <c r="N11" i="11"/>
  <c r="O11" i="11" s="1"/>
  <c r="N11" i="10"/>
  <c r="O11" i="10" s="1"/>
  <c r="N11" i="9"/>
  <c r="O11" i="9" s="1"/>
  <c r="N11" i="8"/>
  <c r="O11" i="8" s="1"/>
  <c r="O11" i="5"/>
  <c r="N11" i="5"/>
  <c r="O11" i="4"/>
  <c r="N11" i="4"/>
  <c r="N11" i="3"/>
  <c r="O11" i="3" s="1"/>
  <c r="N14" i="1"/>
  <c r="O14" i="1" s="1"/>
  <c r="I9" i="19"/>
  <c r="J10" i="19"/>
  <c r="I9" i="18"/>
  <c r="J10" i="18"/>
  <c r="I9" i="17"/>
  <c r="J10" i="17"/>
  <c r="I9" i="16"/>
  <c r="J10" i="16"/>
  <c r="I9" i="15"/>
  <c r="J10" i="15"/>
  <c r="I9" i="14"/>
  <c r="J10" i="14"/>
  <c r="I9" i="12"/>
  <c r="J10" i="12"/>
  <c r="I9" i="11"/>
  <c r="J10" i="11"/>
  <c r="I9" i="10"/>
  <c r="J10" i="10"/>
  <c r="I9" i="9"/>
  <c r="J10" i="9"/>
  <c r="I9" i="8"/>
  <c r="J10" i="8"/>
  <c r="I9" i="5"/>
  <c r="J10" i="5"/>
  <c r="I9" i="4"/>
  <c r="J10" i="4"/>
  <c r="I9" i="3"/>
  <c r="J10" i="3"/>
  <c r="O11" i="2"/>
  <c r="I9" i="2"/>
  <c r="J10" i="2"/>
  <c r="N10" i="2" s="1"/>
  <c r="J13" i="1"/>
  <c r="I12" i="1"/>
  <c r="I12" i="13"/>
  <c r="J13" i="13"/>
  <c r="N13" i="13" s="1"/>
  <c r="O13" i="13" s="1"/>
  <c r="O10" i="19" l="1"/>
  <c r="N10" i="19"/>
  <c r="O10" i="18"/>
  <c r="N10" i="18"/>
  <c r="N10" i="17"/>
  <c r="O10" i="17" s="1"/>
  <c r="N10" i="16"/>
  <c r="O10" i="16" s="1"/>
  <c r="N10" i="15"/>
  <c r="O10" i="15" s="1"/>
  <c r="N10" i="14"/>
  <c r="O10" i="14" s="1"/>
  <c r="O10" i="12"/>
  <c r="N10" i="12"/>
  <c r="N10" i="11"/>
  <c r="O10" i="11" s="1"/>
  <c r="N10" i="10"/>
  <c r="O10" i="10" s="1"/>
  <c r="N10" i="9"/>
  <c r="O10" i="9" s="1"/>
  <c r="N10" i="8"/>
  <c r="O10" i="8" s="1"/>
  <c r="N10" i="5"/>
  <c r="O10" i="5" s="1"/>
  <c r="N10" i="4"/>
  <c r="O10" i="4" s="1"/>
  <c r="N10" i="3"/>
  <c r="O10" i="3" s="1"/>
  <c r="N13" i="1"/>
  <c r="O13" i="1" s="1"/>
  <c r="J9" i="19"/>
  <c r="I8" i="19"/>
  <c r="J9" i="18"/>
  <c r="I8" i="18"/>
  <c r="J9" i="17"/>
  <c r="I8" i="17"/>
  <c r="J9" i="16"/>
  <c r="I8" i="16"/>
  <c r="J9" i="15"/>
  <c r="I8" i="15"/>
  <c r="J9" i="14"/>
  <c r="I8" i="14"/>
  <c r="J9" i="12"/>
  <c r="I8" i="12"/>
  <c r="J9" i="11"/>
  <c r="I8" i="11"/>
  <c r="J9" i="10"/>
  <c r="I8" i="10"/>
  <c r="J9" i="9"/>
  <c r="I8" i="9"/>
  <c r="J9" i="8"/>
  <c r="I8" i="8"/>
  <c r="J9" i="5"/>
  <c r="I8" i="5"/>
  <c r="J9" i="4"/>
  <c r="I8" i="4"/>
  <c r="J9" i="3"/>
  <c r="I8" i="3"/>
  <c r="O10" i="2"/>
  <c r="J9" i="2"/>
  <c r="N9" i="2" s="1"/>
  <c r="I8" i="2"/>
  <c r="I11" i="1"/>
  <c r="J12" i="1"/>
  <c r="J12" i="13"/>
  <c r="N12" i="13" s="1"/>
  <c r="O12" i="13" s="1"/>
  <c r="I11" i="13"/>
  <c r="N9" i="19" l="1"/>
  <c r="O9" i="19" s="1"/>
  <c r="O9" i="18"/>
  <c r="N9" i="18"/>
  <c r="O9" i="17"/>
  <c r="N9" i="17"/>
  <c r="O9" i="16"/>
  <c r="N9" i="16"/>
  <c r="O9" i="15"/>
  <c r="N9" i="15"/>
  <c r="N9" i="14"/>
  <c r="O9" i="14" s="1"/>
  <c r="N9" i="12"/>
  <c r="O9" i="12" s="1"/>
  <c r="O9" i="11"/>
  <c r="N9" i="11"/>
  <c r="N9" i="10"/>
  <c r="O9" i="10" s="1"/>
  <c r="O9" i="9"/>
  <c r="N9" i="9"/>
  <c r="N9" i="8"/>
  <c r="O9" i="8" s="1"/>
  <c r="O9" i="5"/>
  <c r="N9" i="5"/>
  <c r="N9" i="4"/>
  <c r="O9" i="4" s="1"/>
  <c r="N9" i="3"/>
  <c r="O9" i="3" s="1"/>
  <c r="N12" i="1"/>
  <c r="O12" i="1" s="1"/>
  <c r="J8" i="19"/>
  <c r="I7" i="19"/>
  <c r="J8" i="18"/>
  <c r="I7" i="18"/>
  <c r="J8" i="17"/>
  <c r="I7" i="17"/>
  <c r="I7" i="16"/>
  <c r="J8" i="16"/>
  <c r="I7" i="15"/>
  <c r="J8" i="15"/>
  <c r="J8" i="14"/>
  <c r="I7" i="14"/>
  <c r="J8" i="12"/>
  <c r="I7" i="12"/>
  <c r="J8" i="11"/>
  <c r="I7" i="11"/>
  <c r="I7" i="10"/>
  <c r="J8" i="10"/>
  <c r="J8" i="9"/>
  <c r="I7" i="9"/>
  <c r="I7" i="8"/>
  <c r="J8" i="8"/>
  <c r="J8" i="5"/>
  <c r="I7" i="5"/>
  <c r="I7" i="4"/>
  <c r="J8" i="4"/>
  <c r="J8" i="3"/>
  <c r="I7" i="3"/>
  <c r="O9" i="2"/>
  <c r="J8" i="2"/>
  <c r="N8" i="2" s="1"/>
  <c r="I7" i="2"/>
  <c r="J11" i="1"/>
  <c r="I10" i="1"/>
  <c r="I9" i="1" s="1"/>
  <c r="J9" i="1" s="1"/>
  <c r="N9" i="1" s="1"/>
  <c r="O9" i="1" s="1"/>
  <c r="J11" i="13"/>
  <c r="N11" i="13" s="1"/>
  <c r="O11" i="13" s="1"/>
  <c r="I10" i="13"/>
  <c r="N8" i="19" l="1"/>
  <c r="O8" i="19" s="1"/>
  <c r="O8" i="18"/>
  <c r="N8" i="18"/>
  <c r="N8" i="17"/>
  <c r="O8" i="17" s="1"/>
  <c r="N8" i="16"/>
  <c r="O8" i="16" s="1"/>
  <c r="O8" i="15"/>
  <c r="N8" i="15"/>
  <c r="N8" i="14"/>
  <c r="O8" i="14" s="1"/>
  <c r="N8" i="12"/>
  <c r="O8" i="12" s="1"/>
  <c r="O8" i="11"/>
  <c r="N8" i="11"/>
  <c r="N8" i="10"/>
  <c r="O8" i="10" s="1"/>
  <c r="N8" i="9"/>
  <c r="O8" i="9" s="1"/>
  <c r="N8" i="8"/>
  <c r="O8" i="8" s="1"/>
  <c r="N8" i="5"/>
  <c r="O8" i="5" s="1"/>
  <c r="O8" i="4"/>
  <c r="N8" i="4"/>
  <c r="N8" i="3"/>
  <c r="O8" i="3" s="1"/>
  <c r="N11" i="1"/>
  <c r="O11" i="1" s="1"/>
  <c r="I6" i="19"/>
  <c r="J7" i="19"/>
  <c r="I6" i="18"/>
  <c r="J7" i="18"/>
  <c r="I6" i="17"/>
  <c r="J7" i="17"/>
  <c r="I6" i="16"/>
  <c r="J7" i="16"/>
  <c r="I6" i="15"/>
  <c r="J7" i="15"/>
  <c r="I6" i="14"/>
  <c r="J7" i="14"/>
  <c r="I6" i="12"/>
  <c r="J7" i="12"/>
  <c r="I6" i="11"/>
  <c r="J7" i="11"/>
  <c r="I6" i="10"/>
  <c r="J7" i="10"/>
  <c r="I6" i="9"/>
  <c r="J7" i="9"/>
  <c r="I6" i="8"/>
  <c r="J7" i="8"/>
  <c r="I6" i="5"/>
  <c r="J7" i="5"/>
  <c r="I6" i="4"/>
  <c r="J7" i="4"/>
  <c r="I6" i="3"/>
  <c r="J7" i="3"/>
  <c r="O8" i="2"/>
  <c r="I6" i="2"/>
  <c r="J7" i="2"/>
  <c r="N7" i="2" s="1"/>
  <c r="J10" i="1"/>
  <c r="I9" i="13"/>
  <c r="J10" i="13"/>
  <c r="N10" i="13" s="1"/>
  <c r="O10" i="13" s="1"/>
  <c r="N7" i="19" l="1"/>
  <c r="O7" i="19" s="1"/>
  <c r="O7" i="18"/>
  <c r="N7" i="18"/>
  <c r="N7" i="17"/>
  <c r="O7" i="17" s="1"/>
  <c r="N7" i="16"/>
  <c r="O7" i="16" s="1"/>
  <c r="N7" i="15"/>
  <c r="O7" i="15" s="1"/>
  <c r="N7" i="14"/>
  <c r="O7" i="14" s="1"/>
  <c r="O7" i="12"/>
  <c r="N7" i="12"/>
  <c r="O7" i="11"/>
  <c r="N7" i="11"/>
  <c r="N7" i="10"/>
  <c r="O7" i="10" s="1"/>
  <c r="N7" i="9"/>
  <c r="O7" i="9" s="1"/>
  <c r="N7" i="8"/>
  <c r="O7" i="8" s="1"/>
  <c r="N7" i="5"/>
  <c r="O7" i="5" s="1"/>
  <c r="O7" i="4"/>
  <c r="N7" i="4"/>
  <c r="N7" i="3"/>
  <c r="O7" i="3" s="1"/>
  <c r="N10" i="1"/>
  <c r="O10" i="1" s="1"/>
  <c r="I5" i="19"/>
  <c r="J6" i="19"/>
  <c r="I5" i="18"/>
  <c r="J6" i="18"/>
  <c r="I5" i="17"/>
  <c r="J6" i="17"/>
  <c r="I5" i="16"/>
  <c r="J6" i="16"/>
  <c r="J6" i="15"/>
  <c r="I5" i="15"/>
  <c r="I5" i="14"/>
  <c r="J6" i="14"/>
  <c r="I5" i="12"/>
  <c r="J6" i="12"/>
  <c r="I5" i="11"/>
  <c r="J6" i="11"/>
  <c r="I5" i="10"/>
  <c r="J6" i="10"/>
  <c r="J6" i="9"/>
  <c r="I5" i="9"/>
  <c r="I5" i="8"/>
  <c r="J6" i="8"/>
  <c r="I5" i="5"/>
  <c r="J6" i="5"/>
  <c r="I5" i="4"/>
  <c r="J6" i="4"/>
  <c r="I5" i="3"/>
  <c r="J6" i="3"/>
  <c r="O7" i="2"/>
  <c r="I5" i="2"/>
  <c r="J6" i="2"/>
  <c r="N6" i="2" s="1"/>
  <c r="I8" i="1"/>
  <c r="I8" i="13"/>
  <c r="J9" i="13"/>
  <c r="N9" i="13" s="1"/>
  <c r="O9" i="13" s="1"/>
  <c r="N6" i="19" l="1"/>
  <c r="O6" i="19" s="1"/>
  <c r="O6" i="18"/>
  <c r="N6" i="18"/>
  <c r="N6" i="17"/>
  <c r="O6" i="17" s="1"/>
  <c r="N6" i="16"/>
  <c r="O6" i="16" s="1"/>
  <c r="N6" i="15"/>
  <c r="O6" i="15" s="1"/>
  <c r="N6" i="14"/>
  <c r="O6" i="14" s="1"/>
  <c r="N6" i="12"/>
  <c r="O6" i="12" s="1"/>
  <c r="O6" i="11"/>
  <c r="N6" i="11"/>
  <c r="O6" i="10"/>
  <c r="N6" i="10"/>
  <c r="N6" i="9"/>
  <c r="O6" i="9" s="1"/>
  <c r="N6" i="8"/>
  <c r="O6" i="8" s="1"/>
  <c r="N6" i="5"/>
  <c r="O6" i="5" s="1"/>
  <c r="N6" i="4"/>
  <c r="O6" i="4" s="1"/>
  <c r="N6" i="3"/>
  <c r="O6" i="3" s="1"/>
  <c r="J5" i="19"/>
  <c r="I4" i="19"/>
  <c r="J5" i="18"/>
  <c r="I4" i="18"/>
  <c r="J5" i="17"/>
  <c r="I4" i="17"/>
  <c r="J5" i="16"/>
  <c r="I4" i="16"/>
  <c r="J5" i="15"/>
  <c r="I4" i="15"/>
  <c r="J5" i="14"/>
  <c r="I4" i="14"/>
  <c r="J5" i="12"/>
  <c r="I4" i="12"/>
  <c r="J5" i="11"/>
  <c r="I4" i="11"/>
  <c r="J5" i="10"/>
  <c r="I4" i="10"/>
  <c r="J5" i="9"/>
  <c r="I4" i="9"/>
  <c r="J5" i="8"/>
  <c r="I4" i="8"/>
  <c r="J5" i="5"/>
  <c r="I4" i="5"/>
  <c r="J5" i="4"/>
  <c r="I4" i="4"/>
  <c r="J5" i="3"/>
  <c r="I4" i="3"/>
  <c r="O6" i="2"/>
  <c r="J5" i="2"/>
  <c r="N5" i="2" s="1"/>
  <c r="I4" i="2"/>
  <c r="I7" i="1"/>
  <c r="J8" i="1"/>
  <c r="J8" i="13"/>
  <c r="N8" i="13" s="1"/>
  <c r="O8" i="13" s="1"/>
  <c r="I7" i="13"/>
  <c r="N5" i="19" l="1"/>
  <c r="O5" i="19" s="1"/>
  <c r="O5" i="18"/>
  <c r="N5" i="18"/>
  <c r="N5" i="17"/>
  <c r="O5" i="17" s="1"/>
  <c r="O5" i="16"/>
  <c r="N5" i="16"/>
  <c r="N5" i="15"/>
  <c r="O5" i="15" s="1"/>
  <c r="N5" i="14"/>
  <c r="O5" i="14" s="1"/>
  <c r="N5" i="12"/>
  <c r="O5" i="12" s="1"/>
  <c r="N5" i="11"/>
  <c r="O5" i="11" s="1"/>
  <c r="O5" i="10"/>
  <c r="N5" i="10"/>
  <c r="N5" i="9"/>
  <c r="O5" i="9" s="1"/>
  <c r="N5" i="8"/>
  <c r="O5" i="8" s="1"/>
  <c r="N5" i="5"/>
  <c r="O5" i="5" s="1"/>
  <c r="O5" i="4"/>
  <c r="N5" i="4"/>
  <c r="N5" i="3"/>
  <c r="O5" i="3" s="1"/>
  <c r="N8" i="1"/>
  <c r="O8" i="1" s="1"/>
  <c r="I3" i="19"/>
  <c r="J3" i="19" s="1"/>
  <c r="J4" i="19"/>
  <c r="I3" i="18"/>
  <c r="J3" i="18" s="1"/>
  <c r="J4" i="18"/>
  <c r="I3" i="17"/>
  <c r="J3" i="17" s="1"/>
  <c r="J4" i="17"/>
  <c r="I3" i="16"/>
  <c r="J3" i="16" s="1"/>
  <c r="J4" i="16"/>
  <c r="I3" i="15"/>
  <c r="J3" i="15" s="1"/>
  <c r="J4" i="15"/>
  <c r="I3" i="14"/>
  <c r="J3" i="14" s="1"/>
  <c r="J4" i="14"/>
  <c r="I3" i="12"/>
  <c r="J3" i="12" s="1"/>
  <c r="J4" i="12"/>
  <c r="I3" i="11"/>
  <c r="J3" i="11" s="1"/>
  <c r="J4" i="11"/>
  <c r="I3" i="10"/>
  <c r="J3" i="10" s="1"/>
  <c r="J4" i="10"/>
  <c r="I3" i="9"/>
  <c r="J3" i="9" s="1"/>
  <c r="J4" i="9"/>
  <c r="I3" i="8"/>
  <c r="J3" i="8" s="1"/>
  <c r="J4" i="8"/>
  <c r="I3" i="5"/>
  <c r="J3" i="5" s="1"/>
  <c r="J4" i="5"/>
  <c r="I3" i="4"/>
  <c r="J3" i="4" s="1"/>
  <c r="J4" i="4"/>
  <c r="I3" i="3"/>
  <c r="J3" i="3" s="1"/>
  <c r="J4" i="3"/>
  <c r="O5" i="2"/>
  <c r="I3" i="2"/>
  <c r="J3" i="2" s="1"/>
  <c r="J4" i="2"/>
  <c r="N4" i="2" s="1"/>
  <c r="J7" i="1"/>
  <c r="I6" i="1"/>
  <c r="J7" i="13"/>
  <c r="N7" i="13" s="1"/>
  <c r="O7" i="13" s="1"/>
  <c r="I6" i="13"/>
  <c r="N4" i="19" l="1"/>
  <c r="O4" i="19" s="1"/>
  <c r="O4" i="18"/>
  <c r="N4" i="18"/>
  <c r="N4" i="17"/>
  <c r="O4" i="17" s="1"/>
  <c r="N4" i="16"/>
  <c r="O4" i="16" s="1"/>
  <c r="N4" i="15"/>
  <c r="O4" i="15" s="1"/>
  <c r="N4" i="14"/>
  <c r="O4" i="14" s="1"/>
  <c r="N4" i="12"/>
  <c r="O4" i="12" s="1"/>
  <c r="N4" i="11"/>
  <c r="O4" i="11" s="1"/>
  <c r="N4" i="10"/>
  <c r="O4" i="10" s="1"/>
  <c r="N4" i="9"/>
  <c r="O4" i="9" s="1"/>
  <c r="N4" i="8"/>
  <c r="O4" i="8" s="1"/>
  <c r="N4" i="5"/>
  <c r="O4" i="5" s="1"/>
  <c r="N4" i="4"/>
  <c r="O4" i="4" s="1"/>
  <c r="N4" i="3"/>
  <c r="O4" i="3" s="1"/>
  <c r="N7" i="1"/>
  <c r="O7" i="1" s="1"/>
  <c r="O4" i="2"/>
  <c r="J6" i="1"/>
  <c r="I5" i="1"/>
  <c r="I5" i="13"/>
  <c r="J6" i="13"/>
  <c r="N6" i="13" s="1"/>
  <c r="O6" i="13" s="1"/>
  <c r="N6" i="1" l="1"/>
  <c r="O6" i="1" s="1"/>
  <c r="J5" i="1"/>
  <c r="I4" i="1"/>
  <c r="I4" i="13"/>
  <c r="J5" i="13"/>
  <c r="N5" i="13" s="1"/>
  <c r="O5" i="13" s="1"/>
  <c r="N5" i="1" l="1"/>
  <c r="O5" i="1" s="1"/>
  <c r="I3" i="1"/>
  <c r="J3" i="1" s="1"/>
  <c r="J4" i="1"/>
  <c r="I3" i="13"/>
  <c r="J3" i="13" s="1"/>
  <c r="J4" i="13"/>
  <c r="N4" i="13" s="1"/>
  <c r="O4" i="13" s="1"/>
  <c r="N4" i="1" l="1"/>
  <c r="O4" i="1" s="1"/>
</calcChain>
</file>

<file path=xl/sharedStrings.xml><?xml version="1.0" encoding="utf-8"?>
<sst xmlns="http://schemas.openxmlformats.org/spreadsheetml/2006/main" count="279" uniqueCount="18">
  <si>
    <t>Н, м</t>
  </si>
  <si>
    <t>Тср</t>
  </si>
  <si>
    <t>5 июля</t>
  </si>
  <si>
    <t>цстГолБаб</t>
  </si>
  <si>
    <t xml:space="preserve">Юж.Байкал </t>
  </si>
  <si>
    <r>
      <t>D</t>
    </r>
    <r>
      <rPr>
        <sz val="10"/>
        <rFont val="Arial Cyr"/>
        <family val="2"/>
        <charset val="204"/>
      </rPr>
      <t>t</t>
    </r>
  </si>
  <si>
    <r>
      <t>D</t>
    </r>
    <r>
      <rPr>
        <sz val="10"/>
        <rFont val="Arial Cyr"/>
        <family val="2"/>
        <charset val="204"/>
      </rPr>
      <t>tср.</t>
    </r>
  </si>
  <si>
    <t>V, m^3*10^9</t>
  </si>
  <si>
    <t>S, m^2*10^6</t>
  </si>
  <si>
    <r>
      <t>q</t>
    </r>
    <r>
      <rPr>
        <sz val="10"/>
        <rFont val="Symbol"/>
        <family val="1"/>
        <charset val="2"/>
      </rPr>
      <t>=D</t>
    </r>
    <r>
      <rPr>
        <sz val="10"/>
        <rFont val="Arial Cyr"/>
        <family val="2"/>
        <charset val="204"/>
      </rPr>
      <t>tср.*V,m3*10^9</t>
    </r>
  </si>
  <si>
    <r>
      <t>S</t>
    </r>
    <r>
      <rPr>
        <sz val="10"/>
        <rFont val="Arial Cyr"/>
        <family val="2"/>
        <charset val="204"/>
      </rPr>
      <t>q,С*м3</t>
    </r>
  </si>
  <si>
    <r>
      <t>S</t>
    </r>
    <r>
      <rPr>
        <sz val="10"/>
        <rFont val="Arial Cyr"/>
        <family val="2"/>
        <charset val="204"/>
      </rPr>
      <t>q/S,С*м</t>
    </r>
    <r>
      <rPr>
        <sz val="10"/>
        <rFont val="Arial Cyr"/>
        <charset val="204"/>
      </rPr>
      <t/>
    </r>
  </si>
  <si>
    <t>g1, C/m</t>
  </si>
  <si>
    <t>g2, C/m</t>
  </si>
  <si>
    <t>gср., C/m</t>
  </si>
  <si>
    <t>Kz,м2/с</t>
  </si>
  <si>
    <t>сутки</t>
  </si>
  <si>
    <t>период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</si>
</sst>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19]d\ mmm;@"/>
    <numFmt numFmtId="165" formatCode="0.0000"/>
  </numFmts>
  <fonts count="7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i/>
      <u/>
      <sz val="10"/>
      <name val="Arial Cyr"/>
      <family val="2"/>
      <charset val="204"/>
    </font>
    <font>
      <sz val="10"/>
      <name val="Symbol"/>
      <family val="1"/>
      <charset val="2"/>
    </font>
    <font>
      <sz val="10"/>
      <name val="Arial Cyr"/>
      <family val="2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5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'2018'!$O$4:$O$37</c:f>
              <c:numCache>
                <c:formatCode>0.00</c:formatCode>
                <c:ptCount val="34"/>
                <c:pt idx="0">
                  <c:v>0.81282837402706243</c:v>
                </c:pt>
                <c:pt idx="1">
                  <c:v>0.64565195338001713</c:v>
                </c:pt>
                <c:pt idx="2">
                  <c:v>0.69016197163865534</c:v>
                </c:pt>
                <c:pt idx="3">
                  <c:v>0.79353934824091921</c:v>
                </c:pt>
                <c:pt idx="4">
                  <c:v>0.90683826267787937</c:v>
                </c:pt>
                <c:pt idx="5">
                  <c:v>0.80736632524193719</c:v>
                </c:pt>
                <c:pt idx="6">
                  <c:v>0.87536101204026406</c:v>
                </c:pt>
                <c:pt idx="7">
                  <c:v>1.4211669046987638</c:v>
                </c:pt>
                <c:pt idx="8">
                  <c:v>2.7023322649051686</c:v>
                </c:pt>
                <c:pt idx="9">
                  <c:v>3.3398991978415578</c:v>
                </c:pt>
                <c:pt idx="10">
                  <c:v>5.2269048952398949</c:v>
                </c:pt>
                <c:pt idx="11">
                  <c:v>7.2141360033188207</c:v>
                </c:pt>
                <c:pt idx="12">
                  <c:v>9.1708750832727031</c:v>
                </c:pt>
                <c:pt idx="13">
                  <c:v>11.89832424550098</c:v>
                </c:pt>
                <c:pt idx="14">
                  <c:v>13.034682747876866</c:v>
                </c:pt>
                <c:pt idx="15">
                  <c:v>13.754259798757767</c:v>
                </c:pt>
                <c:pt idx="16">
                  <c:v>12.687235189268105</c:v>
                </c:pt>
                <c:pt idx="17">
                  <c:v>12.202338032886114</c:v>
                </c:pt>
                <c:pt idx="18">
                  <c:v>11.631073922801088</c:v>
                </c:pt>
                <c:pt idx="19">
                  <c:v>9.8554067112204482</c:v>
                </c:pt>
                <c:pt idx="20">
                  <c:v>6.9746675785115508</c:v>
                </c:pt>
                <c:pt idx="21">
                  <c:v>6.8250454250248334</c:v>
                </c:pt>
                <c:pt idx="22">
                  <c:v>6.9407925632284906</c:v>
                </c:pt>
                <c:pt idx="23">
                  <c:v>7.0580288635332522</c:v>
                </c:pt>
                <c:pt idx="24">
                  <c:v>8.0726428907005374</c:v>
                </c:pt>
                <c:pt idx="25">
                  <c:v>10.885033947880322</c:v>
                </c:pt>
                <c:pt idx="26">
                  <c:v>17.265947628702644</c:v>
                </c:pt>
                <c:pt idx="27">
                  <c:v>18.478719908462548</c:v>
                </c:pt>
                <c:pt idx="28">
                  <c:v>9.7867030087635918</c:v>
                </c:pt>
                <c:pt idx="29">
                  <c:v>13.704530241414137</c:v>
                </c:pt>
                <c:pt idx="30">
                  <c:v>15.693472215986546</c:v>
                </c:pt>
                <c:pt idx="31">
                  <c:v>15.540171470180878</c:v>
                </c:pt>
                <c:pt idx="32">
                  <c:v>13.574005217797177</c:v>
                </c:pt>
                <c:pt idx="33">
                  <c:v>11.055192585488923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00-4213-B598-287DEF46A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47488"/>
        <c:axId val="332648320"/>
      </c:lineChart>
      <c:catAx>
        <c:axId val="332647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2648320"/>
        <c:crosses val="autoZero"/>
        <c:auto val="1"/>
        <c:lblAlgn val="ctr"/>
        <c:lblOffset val="100"/>
        <c:noMultiLvlLbl val="0"/>
      </c:catAx>
      <c:valAx>
        <c:axId val="33264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264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'2018'!$F$3:$F$39</c:f>
              <c:numCache>
                <c:formatCode>General</c:formatCode>
                <c:ptCount val="37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315</c:v>
                </c:pt>
                <c:pt idx="11">
                  <c:v>311</c:v>
                </c:pt>
                <c:pt idx="12">
                  <c:v>305</c:v>
                </c:pt>
                <c:pt idx="13">
                  <c:v>298</c:v>
                </c:pt>
                <c:pt idx="14">
                  <c:v>289</c:v>
                </c:pt>
                <c:pt idx="15">
                  <c:v>284</c:v>
                </c:pt>
                <c:pt idx="16">
                  <c:v>279</c:v>
                </c:pt>
                <c:pt idx="17">
                  <c:v>271</c:v>
                </c:pt>
                <c:pt idx="18">
                  <c:v>262</c:v>
                </c:pt>
                <c:pt idx="19">
                  <c:v>251</c:v>
                </c:pt>
                <c:pt idx="20">
                  <c:v>240</c:v>
                </c:pt>
                <c:pt idx="21">
                  <c:v>229</c:v>
                </c:pt>
                <c:pt idx="22" formatCode="0.00">
                  <c:v>216</c:v>
                </c:pt>
                <c:pt idx="23" formatCode="0.00">
                  <c:v>205</c:v>
                </c:pt>
                <c:pt idx="24" formatCode="0.00">
                  <c:v>192</c:v>
                </c:pt>
                <c:pt idx="25" formatCode="0.00">
                  <c:v>181</c:v>
                </c:pt>
                <c:pt idx="26" formatCode="0.00">
                  <c:v>177</c:v>
                </c:pt>
                <c:pt idx="27" formatCode="0.00">
                  <c:v>172</c:v>
                </c:pt>
                <c:pt idx="28" formatCode="0.00">
                  <c:v>167</c:v>
                </c:pt>
                <c:pt idx="29" formatCode="0.00">
                  <c:v>160</c:v>
                </c:pt>
                <c:pt idx="30" formatCode="0.00">
                  <c:v>151</c:v>
                </c:pt>
                <c:pt idx="31" formatCode="0.00">
                  <c:v>145</c:v>
                </c:pt>
                <c:pt idx="32" formatCode="0.00">
                  <c:v>137</c:v>
                </c:pt>
                <c:pt idx="33" formatCode="0.00">
                  <c:v>124</c:v>
                </c:pt>
                <c:pt idx="34" formatCode="0.00">
                  <c:v>101</c:v>
                </c:pt>
                <c:pt idx="35" formatCode="0.00">
                  <c:v>67</c:v>
                </c:pt>
                <c:pt idx="36" formatCode="0.0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D6-4B8E-9A19-34D65AA34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063552"/>
        <c:axId val="389045424"/>
      </c:lineChart>
      <c:catAx>
        <c:axId val="334063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9045424"/>
        <c:crosses val="autoZero"/>
        <c:auto val="1"/>
        <c:lblAlgn val="ctr"/>
        <c:lblOffset val="100"/>
        <c:noMultiLvlLbl val="0"/>
      </c:catAx>
      <c:valAx>
        <c:axId val="38904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406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'2018'!$P$3:$P$37</c:f>
              <c:numCache>
                <c:formatCode>General</c:formatCode>
                <c:ptCount val="35"/>
                <c:pt idx="0">
                  <c:v>9.4838097818723752E-3</c:v>
                </c:pt>
                <c:pt idx="1">
                  <c:v>9.5393840283455981E-3</c:v>
                </c:pt>
                <c:pt idx="2">
                  <c:v>9.6525096525096523E-3</c:v>
                </c:pt>
                <c:pt idx="3">
                  <c:v>9.697977279024661E-3</c:v>
                </c:pt>
                <c:pt idx="4">
                  <c:v>9.8200820678287105E-3</c:v>
                </c:pt>
                <c:pt idx="5">
                  <c:v>9.4538579012435463E-3</c:v>
                </c:pt>
                <c:pt idx="6">
                  <c:v>9.8146540334453202E-3</c:v>
                </c:pt>
                <c:pt idx="7">
                  <c:v>1.020408163265306E-2</c:v>
                </c:pt>
                <c:pt idx="8">
                  <c:v>1.0445122931062189E-2</c:v>
                </c:pt>
                <c:pt idx="9">
                  <c:v>1.0697827518104016E-2</c:v>
                </c:pt>
                <c:pt idx="10">
                  <c:v>5.3218449062341612E-2</c:v>
                </c:pt>
                <c:pt idx="11">
                  <c:v>5.3974314474140923E-2</c:v>
                </c:pt>
                <c:pt idx="12">
                  <c:v>5.5850576817432704E-2</c:v>
                </c:pt>
                <c:pt idx="13">
                  <c:v>5.7462398765908217E-2</c:v>
                </c:pt>
                <c:pt idx="14">
                  <c:v>5.9063968935213568E-2</c:v>
                </c:pt>
                <c:pt idx="15">
                  <c:v>6.1538461538461542E-2</c:v>
                </c:pt>
                <c:pt idx="16">
                  <c:v>6.4793311658151415E-2</c:v>
                </c:pt>
                <c:pt idx="17">
                  <c:v>6.833081190115986E-2</c:v>
                </c:pt>
                <c:pt idx="18">
                  <c:v>7.3368804256510781E-2</c:v>
                </c:pt>
                <c:pt idx="19">
                  <c:v>7.7493053411546775E-2</c:v>
                </c:pt>
                <c:pt idx="20">
                  <c:v>8.6736537766534158E-2</c:v>
                </c:pt>
                <c:pt idx="21">
                  <c:v>0.10756223579145138</c:v>
                </c:pt>
                <c:pt idx="22">
                  <c:v>0.10140845070422536</c:v>
                </c:pt>
                <c:pt idx="23">
                  <c:v>9.6198967620835282E-2</c:v>
                </c:pt>
                <c:pt idx="24">
                  <c:v>9.0056285178236398E-2</c:v>
                </c:pt>
                <c:pt idx="25">
                  <c:v>8.485700890764182E-2</c:v>
                </c:pt>
                <c:pt idx="26">
                  <c:v>8.2942830365510783E-2</c:v>
                </c:pt>
                <c:pt idx="27">
                  <c:v>8.0562060889929746E-2</c:v>
                </c:pt>
                <c:pt idx="28">
                  <c:v>7.8183520599250933E-2</c:v>
                </c:pt>
                <c:pt idx="29">
                  <c:v>7.4871314927468416E-2</c:v>
                </c:pt>
                <c:pt idx="30">
                  <c:v>7.0626753975678205E-2</c:v>
                </c:pt>
                <c:pt idx="31">
                  <c:v>6.7788686302010279E-2</c:v>
                </c:pt>
                <c:pt idx="32">
                  <c:v>6.4018691588785051E-2</c:v>
                </c:pt>
                <c:pt idx="33">
                  <c:v>5.7916861279775807E-2</c:v>
                </c:pt>
                <c:pt idx="34">
                  <c:v>4.7152194211017739E-2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63-44EA-B68C-0B26377C8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045008"/>
        <c:axId val="389044592"/>
      </c:lineChart>
      <c:catAx>
        <c:axId val="389045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9044592"/>
        <c:crosses val="autoZero"/>
        <c:auto val="1"/>
        <c:lblAlgn val="ctr"/>
        <c:lblOffset val="100"/>
        <c:noMultiLvlLbl val="0"/>
      </c:catAx>
      <c:valAx>
        <c:axId val="38904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904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'2018'!$A$3:$A$37</c:f>
              <c:numCache>
                <c:formatCode>General</c:formatCode>
                <c:ptCount val="3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150</c:v>
                </c:pt>
                <c:pt idx="12">
                  <c:v>200</c:v>
                </c:pt>
                <c:pt idx="13">
                  <c:v>250</c:v>
                </c:pt>
                <c:pt idx="14">
                  <c:v>300</c:v>
                </c:pt>
                <c:pt idx="15">
                  <c:v>350</c:v>
                </c:pt>
                <c:pt idx="16">
                  <c:v>400</c:v>
                </c:pt>
                <c:pt idx="17">
                  <c:v>450</c:v>
                </c:pt>
                <c:pt idx="18">
                  <c:v>500</c:v>
                </c:pt>
                <c:pt idx="19">
                  <c:v>550</c:v>
                </c:pt>
                <c:pt idx="20">
                  <c:v>600</c:v>
                </c:pt>
                <c:pt idx="21">
                  <c:v>650</c:v>
                </c:pt>
                <c:pt idx="22">
                  <c:v>700</c:v>
                </c:pt>
                <c:pt idx="23">
                  <c:v>750</c:v>
                </c:pt>
                <c:pt idx="24">
                  <c:v>800</c:v>
                </c:pt>
                <c:pt idx="25">
                  <c:v>850</c:v>
                </c:pt>
                <c:pt idx="26">
                  <c:v>900</c:v>
                </c:pt>
                <c:pt idx="27">
                  <c:v>950</c:v>
                </c:pt>
                <c:pt idx="28">
                  <c:v>1000</c:v>
                </c:pt>
                <c:pt idx="29">
                  <c:v>1050</c:v>
                </c:pt>
                <c:pt idx="30">
                  <c:v>1100</c:v>
                </c:pt>
                <c:pt idx="31">
                  <c:v>1150</c:v>
                </c:pt>
                <c:pt idx="32">
                  <c:v>1200</c:v>
                </c:pt>
                <c:pt idx="33">
                  <c:v>1250</c:v>
                </c:pt>
                <c:pt idx="34">
                  <c:v>1300</c:v>
                </c:pt>
              </c:numCache>
            </c:numRef>
          </c:xVal>
          <c:yVal>
            <c:numRef>
              <c:f>'2018'!$P$3:$P$37</c:f>
              <c:numCache>
                <c:formatCode>General</c:formatCode>
                <c:ptCount val="35"/>
                <c:pt idx="0">
                  <c:v>9.4838097818723752E-3</c:v>
                </c:pt>
                <c:pt idx="1">
                  <c:v>9.5393840283455981E-3</c:v>
                </c:pt>
                <c:pt idx="2">
                  <c:v>9.6525096525096523E-3</c:v>
                </c:pt>
                <c:pt idx="3">
                  <c:v>9.697977279024661E-3</c:v>
                </c:pt>
                <c:pt idx="4">
                  <c:v>9.8200820678287105E-3</c:v>
                </c:pt>
                <c:pt idx="5">
                  <c:v>9.4538579012435463E-3</c:v>
                </c:pt>
                <c:pt idx="6">
                  <c:v>9.8146540334453202E-3</c:v>
                </c:pt>
                <c:pt idx="7">
                  <c:v>1.020408163265306E-2</c:v>
                </c:pt>
                <c:pt idx="8">
                  <c:v>1.0445122931062189E-2</c:v>
                </c:pt>
                <c:pt idx="9">
                  <c:v>1.0697827518104016E-2</c:v>
                </c:pt>
                <c:pt idx="10">
                  <c:v>5.3218449062341612E-2</c:v>
                </c:pt>
                <c:pt idx="11">
                  <c:v>5.3974314474140923E-2</c:v>
                </c:pt>
                <c:pt idx="12">
                  <c:v>5.5850576817432704E-2</c:v>
                </c:pt>
                <c:pt idx="13">
                  <c:v>5.7462398765908217E-2</c:v>
                </c:pt>
                <c:pt idx="14">
                  <c:v>5.9063968935213568E-2</c:v>
                </c:pt>
                <c:pt idx="15">
                  <c:v>6.1538461538461542E-2</c:v>
                </c:pt>
                <c:pt idx="16">
                  <c:v>6.4793311658151415E-2</c:v>
                </c:pt>
                <c:pt idx="17">
                  <c:v>6.833081190115986E-2</c:v>
                </c:pt>
                <c:pt idx="18">
                  <c:v>7.3368804256510781E-2</c:v>
                </c:pt>
                <c:pt idx="19">
                  <c:v>7.7493053411546775E-2</c:v>
                </c:pt>
                <c:pt idx="20">
                  <c:v>8.6736537766534158E-2</c:v>
                </c:pt>
                <c:pt idx="21">
                  <c:v>0.10756223579145138</c:v>
                </c:pt>
                <c:pt idx="22">
                  <c:v>0.10140845070422536</c:v>
                </c:pt>
                <c:pt idx="23">
                  <c:v>9.6198967620835282E-2</c:v>
                </c:pt>
                <c:pt idx="24">
                  <c:v>9.0056285178236398E-2</c:v>
                </c:pt>
                <c:pt idx="25">
                  <c:v>8.485700890764182E-2</c:v>
                </c:pt>
                <c:pt idx="26">
                  <c:v>8.2942830365510783E-2</c:v>
                </c:pt>
                <c:pt idx="27">
                  <c:v>8.0562060889929746E-2</c:v>
                </c:pt>
                <c:pt idx="28">
                  <c:v>7.8183520599250933E-2</c:v>
                </c:pt>
                <c:pt idx="29">
                  <c:v>7.4871314927468416E-2</c:v>
                </c:pt>
                <c:pt idx="30">
                  <c:v>7.0626753975678205E-2</c:v>
                </c:pt>
                <c:pt idx="31">
                  <c:v>6.7788686302010279E-2</c:v>
                </c:pt>
                <c:pt idx="32">
                  <c:v>6.4018691588785051E-2</c:v>
                </c:pt>
                <c:pt idx="33">
                  <c:v>5.7916861279775807E-2</c:v>
                </c:pt>
                <c:pt idx="34">
                  <c:v>4.7152194211017739E-2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B9-4BFF-A884-68C2D4DCB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029744"/>
        <c:axId val="447506128"/>
      </c:scatterChart>
      <c:valAx>
        <c:axId val="43902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7506128"/>
        <c:crosses val="autoZero"/>
        <c:crossBetween val="midCat"/>
      </c:valAx>
      <c:valAx>
        <c:axId val="44750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9029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228600</xdr:colOff>
      <xdr:row>5</xdr:row>
      <xdr:rowOff>52387</xdr:rowOff>
    </xdr:from>
    <xdr:to>
      <xdr:col>26</xdr:col>
      <xdr:colOff>533400</xdr:colOff>
      <xdr:row>19</xdr:row>
      <xdr:rowOff>128587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514350</xdr:colOff>
      <xdr:row>10</xdr:row>
      <xdr:rowOff>157162</xdr:rowOff>
    </xdr:from>
    <xdr:to>
      <xdr:col>25</xdr:col>
      <xdr:colOff>209550</xdr:colOff>
      <xdr:row>25</xdr:row>
      <xdr:rowOff>42862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447675</xdr:colOff>
      <xdr:row>22</xdr:row>
      <xdr:rowOff>80962</xdr:rowOff>
    </xdr:from>
    <xdr:to>
      <xdr:col>25</xdr:col>
      <xdr:colOff>142875</xdr:colOff>
      <xdr:row>36</xdr:row>
      <xdr:rowOff>157162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466725</xdr:colOff>
      <xdr:row>2</xdr:row>
      <xdr:rowOff>23812</xdr:rowOff>
    </xdr:from>
    <xdr:to>
      <xdr:col>24</xdr:col>
      <xdr:colOff>161925</xdr:colOff>
      <xdr:row>16</xdr:row>
      <xdr:rowOff>100012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34"/>
  <sheetViews>
    <sheetView zoomScale="80" zoomScaleNormal="80" workbookViewId="0">
      <selection activeCell="B1" sqref="B1:C1048576"/>
    </sheetView>
  </sheetViews>
  <sheetFormatPr defaultRowHeight="15" x14ac:dyDescent="0.25"/>
  <cols>
    <col min="11" max="11" width="11.85546875" bestFit="1" customWidth="1"/>
    <col min="12" max="12" width="12.42578125" bestFit="1" customWidth="1"/>
    <col min="14" max="14" width="11.42578125" bestFit="1" customWidth="1"/>
    <col min="15" max="15" width="9.5703125" customWidth="1"/>
  </cols>
  <sheetData>
    <row r="1" spans="1:34" x14ac:dyDescent="0.25">
      <c r="B1" s="2">
        <v>45120.5</v>
      </c>
      <c r="C1" s="2">
        <v>45178</v>
      </c>
      <c r="I1" s="5"/>
      <c r="K1" t="s">
        <v>17</v>
      </c>
      <c r="L1" s="9">
        <f>C1-B1</f>
        <v>57.5</v>
      </c>
      <c r="M1" s="9"/>
      <c r="Y1" s="5"/>
    </row>
    <row r="2" spans="1:34" x14ac:dyDescent="0.25">
      <c r="A2" t="s">
        <v>0</v>
      </c>
      <c r="B2" t="s">
        <v>1</v>
      </c>
      <c r="C2" t="s">
        <v>1</v>
      </c>
      <c r="D2" s="6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6" t="s">
        <v>10</v>
      </c>
      <c r="J2" s="6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15</v>
      </c>
      <c r="AB2" s="6"/>
      <c r="AC2" s="6"/>
      <c r="AD2" s="7"/>
      <c r="AE2" s="7"/>
      <c r="AF2" s="7"/>
      <c r="AG2" s="6"/>
      <c r="AH2" s="6"/>
    </row>
    <row r="3" spans="1:34" x14ac:dyDescent="0.25">
      <c r="A3">
        <v>2</v>
      </c>
      <c r="B3" s="8">
        <v>9.3168000000000006</v>
      </c>
      <c r="C3" s="8">
        <v>10.709678571428572</v>
      </c>
      <c r="D3">
        <f>C3-B3</f>
        <v>1.3928785714285716</v>
      </c>
      <c r="E3">
        <f>(D3+D4)/2</f>
        <v>2.666533035714286</v>
      </c>
      <c r="F3">
        <v>70</v>
      </c>
      <c r="G3">
        <v>7381</v>
      </c>
      <c r="H3">
        <f>E3*F3</f>
        <v>186.65731250000002</v>
      </c>
      <c r="I3">
        <f t="shared" ref="I3:I22" si="0">I4+H3</f>
        <v>891.40331562500012</v>
      </c>
      <c r="J3">
        <f t="shared" ref="J3:J23" si="1">(I3/G3)*1000</f>
        <v>120.76999263311205</v>
      </c>
    </row>
    <row r="4" spans="1:34" x14ac:dyDescent="0.25">
      <c r="A4">
        <v>10</v>
      </c>
      <c r="B4" s="8">
        <v>6.5858875000000001</v>
      </c>
      <c r="C4" s="8">
        <v>10.526075000000001</v>
      </c>
      <c r="D4">
        <f t="shared" ref="D4:D38" si="2">C4-B4</f>
        <v>3.9401875000000004</v>
      </c>
      <c r="E4">
        <f t="shared" ref="E4:E38" si="3">(D4+D5)/2</f>
        <v>4.1436437500000007</v>
      </c>
      <c r="F4">
        <v>70</v>
      </c>
      <c r="G4">
        <v>7338</v>
      </c>
      <c r="H4">
        <f t="shared" ref="H4:H24" si="4">E4*F4</f>
        <v>290.05506250000008</v>
      </c>
      <c r="I4">
        <f t="shared" si="0"/>
        <v>704.74600312500013</v>
      </c>
      <c r="J4">
        <f t="shared" si="1"/>
        <v>96.040610946443181</v>
      </c>
      <c r="K4">
        <f>(B5-B3)/(A5-A3)</f>
        <v>-0.24186666666666673</v>
      </c>
      <c r="L4">
        <f>(C5-C3)/(A5-A3)</f>
        <v>-7.7743253968253934E-2</v>
      </c>
      <c r="M4">
        <f>(K4+L4)/2</f>
        <v>-0.15980496031746033</v>
      </c>
      <c r="N4">
        <f>-J4/(M4*86400*$L$1)</f>
        <v>1.2097150154356126E-4</v>
      </c>
      <c r="O4" s="3">
        <f>N4*10000</f>
        <v>1.2097150154356127</v>
      </c>
    </row>
    <row r="5" spans="1:34" x14ac:dyDescent="0.25">
      <c r="A5">
        <v>20</v>
      </c>
      <c r="B5" s="8">
        <v>4.9631999999999996</v>
      </c>
      <c r="C5" s="8">
        <v>9.3103000000000016</v>
      </c>
      <c r="D5">
        <f t="shared" si="2"/>
        <v>4.347100000000002</v>
      </c>
      <c r="E5">
        <f t="shared" si="3"/>
        <v>3.3524781250000006</v>
      </c>
      <c r="F5">
        <v>70</v>
      </c>
      <c r="G5">
        <v>7252</v>
      </c>
      <c r="H5">
        <f t="shared" si="4"/>
        <v>234.67346875000004</v>
      </c>
      <c r="I5">
        <f t="shared" si="0"/>
        <v>414.69094062500005</v>
      </c>
      <c r="J5">
        <f t="shared" si="1"/>
        <v>57.182975817016001</v>
      </c>
      <c r="K5">
        <f t="shared" ref="K5:K24" si="5">(B6-B4)/(A6-A4)</f>
        <v>-0.1081725</v>
      </c>
      <c r="L5">
        <f t="shared" ref="L5:L24" si="6">(C6-C4)/(A6-A4)</f>
        <v>-0.18728906250000005</v>
      </c>
      <c r="M5">
        <f t="shared" ref="M5:M24" si="7">(K5+L5)/2</f>
        <v>-0.14773078125000003</v>
      </c>
      <c r="N5">
        <f t="shared" ref="N5:N38" si="8">-J5/(M5*86400*$L$1)</f>
        <v>7.7913761338974081E-5</v>
      </c>
      <c r="O5" s="3">
        <f t="shared" ref="O5:O24" si="9">N5*10000</f>
        <v>0.77913761338974086</v>
      </c>
    </row>
    <row r="6" spans="1:34" x14ac:dyDescent="0.25">
      <c r="A6">
        <v>30</v>
      </c>
      <c r="B6" s="8">
        <v>4.4224375</v>
      </c>
      <c r="C6" s="8">
        <v>6.7802937499999993</v>
      </c>
      <c r="D6">
        <f t="shared" si="2"/>
        <v>2.3578562499999993</v>
      </c>
      <c r="E6">
        <f t="shared" si="3"/>
        <v>1.7244874999999995</v>
      </c>
      <c r="F6">
        <v>70</v>
      </c>
      <c r="G6">
        <v>7218</v>
      </c>
      <c r="H6">
        <f t="shared" si="4"/>
        <v>120.71412499999997</v>
      </c>
      <c r="I6">
        <f t="shared" si="0"/>
        <v>180.01747187500001</v>
      </c>
      <c r="J6">
        <f t="shared" si="1"/>
        <v>24.940076458160156</v>
      </c>
      <c r="K6">
        <f t="shared" si="5"/>
        <v>-3.7063124999999975E-2</v>
      </c>
      <c r="L6">
        <f t="shared" si="6"/>
        <v>-0.19986218750000009</v>
      </c>
      <c r="M6">
        <f t="shared" si="7"/>
        <v>-0.11846265625000003</v>
      </c>
      <c r="N6">
        <f t="shared" si="8"/>
        <v>4.2377440904339884E-5</v>
      </c>
      <c r="O6" s="3">
        <f t="shared" si="9"/>
        <v>0.42377440904339886</v>
      </c>
    </row>
    <row r="7" spans="1:34" x14ac:dyDescent="0.25">
      <c r="A7">
        <v>40</v>
      </c>
      <c r="B7" s="8">
        <v>4.2219375000000001</v>
      </c>
      <c r="C7" s="8">
        <v>5.3130562499999998</v>
      </c>
      <c r="D7">
        <f t="shared" si="2"/>
        <v>1.0911187499999997</v>
      </c>
      <c r="E7">
        <f t="shared" si="3"/>
        <v>0.72465937499999988</v>
      </c>
      <c r="F7">
        <v>70</v>
      </c>
      <c r="G7">
        <v>7128.25</v>
      </c>
      <c r="H7">
        <f t="shared" si="4"/>
        <v>50.726156249999988</v>
      </c>
      <c r="I7">
        <f t="shared" si="0"/>
        <v>59.303346875000038</v>
      </c>
      <c r="J7">
        <f t="shared" si="1"/>
        <v>8.3194819029916225</v>
      </c>
      <c r="K7">
        <f t="shared" si="5"/>
        <v>-1.5359374999999975E-2</v>
      </c>
      <c r="L7">
        <f t="shared" si="6"/>
        <v>-0.11534218749999994</v>
      </c>
      <c r="M7">
        <f t="shared" si="7"/>
        <v>-6.5350781249999962E-2</v>
      </c>
      <c r="N7">
        <f t="shared" si="8"/>
        <v>2.5625002143641441E-5</v>
      </c>
      <c r="O7" s="3">
        <f t="shared" si="9"/>
        <v>0.2562500214364144</v>
      </c>
    </row>
    <row r="8" spans="1:34" x14ac:dyDescent="0.25">
      <c r="A8">
        <v>50</v>
      </c>
      <c r="B8" s="8">
        <v>4.1152500000000005</v>
      </c>
      <c r="C8" s="8">
        <v>4.4734500000000006</v>
      </c>
      <c r="D8">
        <f t="shared" si="2"/>
        <v>0.35820000000000007</v>
      </c>
      <c r="E8">
        <f t="shared" si="3"/>
        <v>0.24212500000000059</v>
      </c>
      <c r="F8">
        <v>65</v>
      </c>
      <c r="G8">
        <v>6875.5</v>
      </c>
      <c r="H8">
        <f t="shared" si="4"/>
        <v>15.738125000000039</v>
      </c>
      <c r="I8">
        <f t="shared" si="0"/>
        <v>8.5771906250000516</v>
      </c>
      <c r="J8">
        <f t="shared" si="1"/>
        <v>1.2475006363173664</v>
      </c>
      <c r="K8">
        <f t="shared" si="5"/>
        <v>-8.7756250000000421E-3</v>
      </c>
      <c r="L8">
        <f t="shared" si="6"/>
        <v>-5.702906249999997E-2</v>
      </c>
      <c r="M8">
        <f t="shared" si="7"/>
        <v>-3.2902343750000007E-2</v>
      </c>
      <c r="N8">
        <f t="shared" si="8"/>
        <v>7.6318944126714847E-6</v>
      </c>
      <c r="O8" s="3">
        <f t="shared" si="9"/>
        <v>7.6318944126714847E-2</v>
      </c>
    </row>
    <row r="9" spans="1:34" x14ac:dyDescent="0.25">
      <c r="A9">
        <v>60</v>
      </c>
      <c r="B9" s="8">
        <v>4.0464249999999993</v>
      </c>
      <c r="C9" s="8">
        <v>4.1724750000000004</v>
      </c>
      <c r="D9">
        <f t="shared" si="2"/>
        <v>0.12605000000000111</v>
      </c>
      <c r="E9">
        <f t="shared" si="3"/>
        <v>7.3806250000000739E-2</v>
      </c>
      <c r="F9">
        <v>65</v>
      </c>
      <c r="G9">
        <v>6622.75</v>
      </c>
      <c r="H9">
        <f t="shared" si="4"/>
        <v>4.7974062500000478</v>
      </c>
      <c r="I9">
        <f>I10+H9</f>
        <v>-7.1609343749999876</v>
      </c>
      <c r="J9">
        <f>(I9/G9)*1000</f>
        <v>-1.0812629761050903</v>
      </c>
      <c r="K9">
        <f t="shared" si="5"/>
        <v>-7.1343750000000487E-3</v>
      </c>
      <c r="L9">
        <f t="shared" si="6"/>
        <v>-2.3966250000000033E-2</v>
      </c>
      <c r="M9">
        <f t="shared" si="7"/>
        <v>-1.5550312500000042E-2</v>
      </c>
      <c r="N9">
        <f t="shared" si="8"/>
        <v>-1.3996215612464453E-5</v>
      </c>
      <c r="O9" s="3">
        <f>N9*10000</f>
        <v>-0.13996215612464452</v>
      </c>
    </row>
    <row r="10" spans="1:34" x14ac:dyDescent="0.25">
      <c r="A10">
        <v>70</v>
      </c>
      <c r="B10" s="8">
        <v>3.9725624999999996</v>
      </c>
      <c r="C10" s="8">
        <v>3.9941249999999999</v>
      </c>
      <c r="D10">
        <f t="shared" si="2"/>
        <v>2.1562500000000373E-2</v>
      </c>
      <c r="E10">
        <f t="shared" si="3"/>
        <v>1.1843750000000153E-2</v>
      </c>
      <c r="F10">
        <v>65</v>
      </c>
      <c r="G10">
        <v>6370</v>
      </c>
      <c r="H10">
        <f>E10*F10</f>
        <v>0.76984375000000993</v>
      </c>
      <c r="I10">
        <f t="shared" si="0"/>
        <v>-11.958340625000035</v>
      </c>
      <c r="J10">
        <f t="shared" si="1"/>
        <v>-1.8772905219780276</v>
      </c>
      <c r="K10">
        <f t="shared" si="5"/>
        <v>-6.1406249999999664E-3</v>
      </c>
      <c r="L10">
        <f t="shared" si="6"/>
        <v>-1.2336875000000025E-2</v>
      </c>
      <c r="M10">
        <f t="shared" si="7"/>
        <v>-9.2387499999999952E-3</v>
      </c>
      <c r="N10">
        <f t="shared" si="8"/>
        <v>-4.09012598117445E-5</v>
      </c>
      <c r="O10" s="3">
        <f t="shared" si="9"/>
        <v>-0.409012598117445</v>
      </c>
    </row>
    <row r="11" spans="1:34" x14ac:dyDescent="0.25">
      <c r="A11">
        <v>80</v>
      </c>
      <c r="B11" s="8">
        <v>3.9236124999999999</v>
      </c>
      <c r="C11" s="8">
        <v>3.9257374999999999</v>
      </c>
      <c r="D11">
        <f t="shared" si="2"/>
        <v>2.1249999999999325E-3</v>
      </c>
      <c r="E11">
        <f>(D11+D12)/2</f>
        <v>-3.0468749999994493E-3</v>
      </c>
      <c r="F11">
        <v>65</v>
      </c>
      <c r="G11">
        <v>6223</v>
      </c>
      <c r="H11">
        <f t="shared" si="4"/>
        <v>-0.19804687499996421</v>
      </c>
      <c r="I11">
        <f t="shared" si="0"/>
        <v>-12.728184375000046</v>
      </c>
      <c r="J11">
        <f t="shared" si="1"/>
        <v>-2.0453453920938527</v>
      </c>
      <c r="K11">
        <f t="shared" si="5"/>
        <v>-3.8518749999999933E-3</v>
      </c>
      <c r="L11">
        <f t="shared" si="6"/>
        <v>-5.3409374999999534E-3</v>
      </c>
      <c r="M11">
        <f t="shared" si="7"/>
        <v>-4.5964062499999729E-3</v>
      </c>
      <c r="N11">
        <f t="shared" si="8"/>
        <v>-8.9570843289979917E-5</v>
      </c>
      <c r="O11" s="3">
        <f t="shared" si="9"/>
        <v>-0.89570843289979918</v>
      </c>
    </row>
    <row r="12" spans="1:34" x14ac:dyDescent="0.25">
      <c r="A12">
        <v>90</v>
      </c>
      <c r="B12" s="8">
        <v>3.8955249999999997</v>
      </c>
      <c r="C12" s="8">
        <v>3.8873062500000009</v>
      </c>
      <c r="D12">
        <f t="shared" si="2"/>
        <v>-8.2187499999988312E-3</v>
      </c>
      <c r="E12">
        <f t="shared" si="3"/>
        <v>-4.0624999999927525E-4</v>
      </c>
      <c r="F12">
        <v>65</v>
      </c>
      <c r="G12">
        <v>6076</v>
      </c>
      <c r="H12">
        <f t="shared" si="4"/>
        <v>-2.6406249999952891E-2</v>
      </c>
      <c r="I12">
        <f t="shared" si="0"/>
        <v>-12.530137500000082</v>
      </c>
      <c r="J12">
        <f t="shared" si="1"/>
        <v>-2.0622346115865833</v>
      </c>
      <c r="K12">
        <f t="shared" si="5"/>
        <v>-3.1512500000000056E-3</v>
      </c>
      <c r="L12">
        <f t="shared" si="6"/>
        <v>-2.8871874999999879E-3</v>
      </c>
      <c r="M12">
        <f t="shared" si="7"/>
        <v>-3.0192187499999967E-3</v>
      </c>
      <c r="N12">
        <f t="shared" si="8"/>
        <v>-1.3748708511531345E-4</v>
      </c>
      <c r="O12" s="3">
        <f t="shared" si="9"/>
        <v>-1.3748708511531345</v>
      </c>
    </row>
    <row r="13" spans="1:34" x14ac:dyDescent="0.25">
      <c r="A13">
        <v>100</v>
      </c>
      <c r="B13" s="8">
        <v>3.8605874999999998</v>
      </c>
      <c r="C13" s="8">
        <v>3.8679937500000001</v>
      </c>
      <c r="D13">
        <f t="shared" si="2"/>
        <v>7.4062500000002807E-3</v>
      </c>
      <c r="E13">
        <f t="shared" si="3"/>
        <v>6.7499999999975913E-4</v>
      </c>
      <c r="F13">
        <v>315</v>
      </c>
      <c r="G13">
        <v>5919</v>
      </c>
      <c r="H13">
        <f t="shared" si="4"/>
        <v>0.21262499999992412</v>
      </c>
      <c r="I13">
        <f t="shared" si="0"/>
        <v>-12.503731250000129</v>
      </c>
      <c r="J13">
        <f t="shared" si="1"/>
        <v>-2.1124736019598123</v>
      </c>
      <c r="K13">
        <f t="shared" si="5"/>
        <v>-1.9768749999999891E-3</v>
      </c>
      <c r="L13">
        <f t="shared" si="6"/>
        <v>-1.9408333333333545E-3</v>
      </c>
      <c r="M13">
        <f t="shared" si="7"/>
        <v>-1.9588541666666717E-3</v>
      </c>
      <c r="N13">
        <f t="shared" si="8"/>
        <v>-2.1707389487684377E-4</v>
      </c>
      <c r="O13" s="3">
        <f t="shared" si="9"/>
        <v>-2.1707389487684376</v>
      </c>
    </row>
    <row r="14" spans="1:34" x14ac:dyDescent="0.25">
      <c r="A14">
        <v>150</v>
      </c>
      <c r="B14" s="8">
        <v>3.7769125000000003</v>
      </c>
      <c r="C14" s="8">
        <v>3.7708562499999996</v>
      </c>
      <c r="D14">
        <f t="shared" si="2"/>
        <v>-6.0562500000007624E-3</v>
      </c>
      <c r="E14">
        <f t="shared" si="3"/>
        <v>-1.0178125000000371E-2</v>
      </c>
      <c r="F14">
        <v>311</v>
      </c>
      <c r="G14">
        <v>5762</v>
      </c>
      <c r="H14">
        <f t="shared" si="4"/>
        <v>-3.1653968750001154</v>
      </c>
      <c r="I14">
        <f t="shared" si="0"/>
        <v>-12.716356250000054</v>
      </c>
      <c r="J14">
        <f t="shared" si="1"/>
        <v>-2.206934441166271</v>
      </c>
      <c r="K14">
        <f t="shared" si="5"/>
        <v>-1.6361249999999972E-3</v>
      </c>
      <c r="L14">
        <f t="shared" si="6"/>
        <v>-1.8531874999999998E-3</v>
      </c>
      <c r="M14">
        <f t="shared" si="7"/>
        <v>-1.7446562499999984E-3</v>
      </c>
      <c r="N14">
        <f t="shared" si="8"/>
        <v>-2.546232015487911E-4</v>
      </c>
      <c r="O14" s="3">
        <f t="shared" si="9"/>
        <v>-2.5462320154879112</v>
      </c>
    </row>
    <row r="15" spans="1:34" x14ac:dyDescent="0.25">
      <c r="A15">
        <v>200</v>
      </c>
      <c r="B15" s="8">
        <v>3.6969750000000001</v>
      </c>
      <c r="C15" s="8">
        <v>3.6826750000000001</v>
      </c>
      <c r="D15">
        <f t="shared" si="2"/>
        <v>-1.4299999999999979E-2</v>
      </c>
      <c r="E15">
        <f t="shared" si="3"/>
        <v>-9.3093749999999531E-3</v>
      </c>
      <c r="F15">
        <v>305</v>
      </c>
      <c r="G15">
        <v>5461</v>
      </c>
      <c r="H15">
        <f t="shared" si="4"/>
        <v>-2.8393593749999857</v>
      </c>
      <c r="I15">
        <f t="shared" si="0"/>
        <v>-9.5509593749999375</v>
      </c>
      <c r="J15">
        <f t="shared" si="1"/>
        <v>-1.7489396401757806</v>
      </c>
      <c r="K15">
        <f t="shared" si="5"/>
        <v>-1.4906250000000032E-3</v>
      </c>
      <c r="L15">
        <f t="shared" si="6"/>
        <v>-1.4732499999999947E-3</v>
      </c>
      <c r="M15">
        <f t="shared" si="7"/>
        <v>-1.4819374999999989E-3</v>
      </c>
      <c r="N15">
        <f t="shared" si="8"/>
        <v>-2.3755454624337872E-4</v>
      </c>
      <c r="O15" s="3">
        <f t="shared" si="9"/>
        <v>-2.3755454624337871</v>
      </c>
    </row>
    <row r="16" spans="1:34" x14ac:dyDescent="0.25">
      <c r="A16">
        <v>250</v>
      </c>
      <c r="B16" s="8">
        <v>3.62785</v>
      </c>
      <c r="C16" s="8">
        <v>3.6235312500000001</v>
      </c>
      <c r="D16">
        <f t="shared" si="2"/>
        <v>-4.3187499999999268E-3</v>
      </c>
      <c r="E16">
        <f t="shared" si="3"/>
        <v>-4.8312499999998426E-3</v>
      </c>
      <c r="F16">
        <v>298</v>
      </c>
      <c r="G16">
        <v>5186</v>
      </c>
      <c r="H16">
        <f t="shared" si="4"/>
        <v>-1.4397124999999531</v>
      </c>
      <c r="I16">
        <f t="shared" si="0"/>
        <v>-6.7115999999999509</v>
      </c>
      <c r="J16">
        <f t="shared" si="1"/>
        <v>-1.2941766293868011</v>
      </c>
      <c r="K16">
        <f t="shared" si="5"/>
        <v>-1.0965000000000024E-3</v>
      </c>
      <c r="L16">
        <f t="shared" si="6"/>
        <v>-1.0069375000000002E-3</v>
      </c>
      <c r="M16">
        <f t="shared" si="7"/>
        <v>-1.0517187500000014E-3</v>
      </c>
      <c r="N16">
        <f t="shared" si="8"/>
        <v>-2.4769221062865079E-4</v>
      </c>
      <c r="O16" s="3">
        <f t="shared" si="9"/>
        <v>-2.4769221062865081</v>
      </c>
    </row>
    <row r="17" spans="1:15" x14ac:dyDescent="0.25">
      <c r="A17">
        <v>300</v>
      </c>
      <c r="B17" s="8">
        <v>3.5873249999999999</v>
      </c>
      <c r="C17" s="8">
        <v>3.5819812500000001</v>
      </c>
      <c r="D17">
        <f t="shared" si="2"/>
        <v>-5.3437499999997584E-3</v>
      </c>
      <c r="E17">
        <f t="shared" si="3"/>
        <v>-3.884375000000162E-3</v>
      </c>
      <c r="F17">
        <v>289</v>
      </c>
      <c r="G17">
        <v>4893</v>
      </c>
      <c r="H17">
        <f t="shared" si="4"/>
        <v>-1.1225843750000468</v>
      </c>
      <c r="I17">
        <f t="shared" si="0"/>
        <v>-5.2718874999999983</v>
      </c>
      <c r="J17">
        <f t="shared" si="1"/>
        <v>-1.0774346004496216</v>
      </c>
      <c r="K17">
        <f t="shared" si="5"/>
        <v>-7.7174999999999553E-4</v>
      </c>
      <c r="L17">
        <f t="shared" si="6"/>
        <v>-7.5281250000000185E-4</v>
      </c>
      <c r="M17">
        <f t="shared" si="7"/>
        <v>-7.6228124999999864E-4</v>
      </c>
      <c r="N17">
        <f t="shared" si="8"/>
        <v>-2.8450774510747315E-4</v>
      </c>
      <c r="O17" s="3">
        <f t="shared" si="9"/>
        <v>-2.8450774510747316</v>
      </c>
    </row>
    <row r="18" spans="1:15" x14ac:dyDescent="0.25">
      <c r="A18">
        <v>350</v>
      </c>
      <c r="B18" s="8">
        <v>3.5506750000000005</v>
      </c>
      <c r="C18" s="8">
        <v>3.5482499999999999</v>
      </c>
      <c r="D18">
        <f t="shared" si="2"/>
        <v>-2.4250000000005656E-3</v>
      </c>
      <c r="E18">
        <f t="shared" si="3"/>
        <v>6.3749999999940243E-4</v>
      </c>
      <c r="F18">
        <v>284</v>
      </c>
      <c r="G18">
        <v>4615</v>
      </c>
      <c r="H18">
        <f t="shared" si="4"/>
        <v>0.18104999999983029</v>
      </c>
      <c r="I18">
        <f t="shared" si="0"/>
        <v>-4.1493031249999515</v>
      </c>
      <c r="J18">
        <f t="shared" si="1"/>
        <v>-0.89909060130009777</v>
      </c>
      <c r="K18">
        <f t="shared" si="5"/>
        <v>-6.5999999999999392E-4</v>
      </c>
      <c r="L18">
        <f t="shared" si="6"/>
        <v>-5.6956250000000268E-4</v>
      </c>
      <c r="M18">
        <f t="shared" si="7"/>
        <v>-6.1478124999999836E-4</v>
      </c>
      <c r="N18">
        <f t="shared" si="8"/>
        <v>-2.9437522536960794E-4</v>
      </c>
      <c r="O18" s="3">
        <f t="shared" si="9"/>
        <v>-2.9437522536960796</v>
      </c>
    </row>
    <row r="19" spans="1:15" x14ac:dyDescent="0.25">
      <c r="A19">
        <v>400</v>
      </c>
      <c r="B19" s="8">
        <v>3.5213250000000005</v>
      </c>
      <c r="C19" s="8">
        <v>3.5250249999999999</v>
      </c>
      <c r="D19">
        <f t="shared" si="2"/>
        <v>3.6999999999993705E-3</v>
      </c>
      <c r="E19">
        <f t="shared" si="3"/>
        <v>1.2499999999970868E-5</v>
      </c>
      <c r="F19">
        <v>279</v>
      </c>
      <c r="G19">
        <v>4306</v>
      </c>
      <c r="H19">
        <f t="shared" si="4"/>
        <v>3.4874999999918721E-3</v>
      </c>
      <c r="I19">
        <f t="shared" si="0"/>
        <v>-4.3303531249997818</v>
      </c>
      <c r="J19">
        <f t="shared" si="1"/>
        <v>-1.0056556258708271</v>
      </c>
      <c r="K19">
        <f t="shared" si="5"/>
        <v>-4.5275000000000621E-4</v>
      </c>
      <c r="L19">
        <f t="shared" si="6"/>
        <v>-4.6524999999999486E-4</v>
      </c>
      <c r="M19">
        <f t="shared" si="7"/>
        <v>-4.5900000000000053E-4</v>
      </c>
      <c r="N19">
        <f t="shared" si="8"/>
        <v>-4.4101667923986977E-4</v>
      </c>
      <c r="O19" s="3">
        <f t="shared" si="9"/>
        <v>-4.410166792398698</v>
      </c>
    </row>
    <row r="20" spans="1:15" x14ac:dyDescent="0.25">
      <c r="A20">
        <v>450</v>
      </c>
      <c r="B20" s="8">
        <v>3.5053999999999998</v>
      </c>
      <c r="C20" s="8">
        <v>3.5017250000000004</v>
      </c>
      <c r="D20">
        <f t="shared" si="2"/>
        <v>-3.6749999999994287E-3</v>
      </c>
      <c r="E20">
        <f t="shared" si="3"/>
        <v>-2.0999999999999908E-3</v>
      </c>
      <c r="F20">
        <v>271</v>
      </c>
      <c r="G20">
        <v>3966</v>
      </c>
      <c r="H20">
        <f t="shared" si="4"/>
        <v>-0.5690999999999975</v>
      </c>
      <c r="I20">
        <f t="shared" si="0"/>
        <v>-4.3338406249997732</v>
      </c>
      <c r="J20">
        <f t="shared" si="1"/>
        <v>-1.0927485186585411</v>
      </c>
      <c r="K20">
        <f t="shared" si="5"/>
        <v>-3.875000000000073E-4</v>
      </c>
      <c r="L20">
        <f t="shared" si="6"/>
        <v>-4.2975000000000652E-4</v>
      </c>
      <c r="M20">
        <f t="shared" si="7"/>
        <v>-4.0862500000000691E-4</v>
      </c>
      <c r="N20">
        <f t="shared" si="8"/>
        <v>-5.3828676975704653E-4</v>
      </c>
      <c r="O20" s="3">
        <f t="shared" si="9"/>
        <v>-5.3828676975704655</v>
      </c>
    </row>
    <row r="21" spans="1:15" x14ac:dyDescent="0.25">
      <c r="A21">
        <v>500</v>
      </c>
      <c r="B21" s="8">
        <v>3.4825749999999998</v>
      </c>
      <c r="C21" s="8">
        <v>3.4820499999999992</v>
      </c>
      <c r="D21">
        <f t="shared" si="2"/>
        <v>-5.250000000005528E-4</v>
      </c>
      <c r="E21">
        <f t="shared" si="3"/>
        <v>-2.5562500000000377E-3</v>
      </c>
      <c r="F21">
        <v>262</v>
      </c>
      <c r="G21">
        <v>3571</v>
      </c>
      <c r="H21">
        <f t="shared" si="4"/>
        <v>-0.66973750000000987</v>
      </c>
      <c r="I21">
        <f t="shared" si="0"/>
        <v>-3.7647406249997761</v>
      </c>
      <c r="J21">
        <f t="shared" si="1"/>
        <v>-1.0542538854661931</v>
      </c>
      <c r="K21">
        <f t="shared" si="5"/>
        <v>-3.7075000000000194E-4</v>
      </c>
      <c r="L21">
        <f t="shared" si="6"/>
        <v>-3.7987500000000282E-4</v>
      </c>
      <c r="M21">
        <f t="shared" si="7"/>
        <v>-3.7531250000000238E-4</v>
      </c>
      <c r="N21">
        <f t="shared" si="8"/>
        <v>-5.6541925500418276E-4</v>
      </c>
      <c r="O21" s="3">
        <f t="shared" si="9"/>
        <v>-5.6541925500418273</v>
      </c>
    </row>
    <row r="22" spans="1:15" x14ac:dyDescent="0.25">
      <c r="A22">
        <v>550</v>
      </c>
      <c r="B22" s="8">
        <v>3.4683249999999997</v>
      </c>
      <c r="C22" s="8">
        <v>3.4637375000000001</v>
      </c>
      <c r="D22">
        <f t="shared" si="2"/>
        <v>-4.5874999999995225E-3</v>
      </c>
      <c r="E22">
        <f t="shared" si="3"/>
        <v>-4.1437499999996685E-3</v>
      </c>
      <c r="F22">
        <v>251</v>
      </c>
      <c r="G22">
        <v>3239</v>
      </c>
      <c r="H22">
        <f t="shared" si="4"/>
        <v>-1.0400812499999168</v>
      </c>
      <c r="I22">
        <f t="shared" si="0"/>
        <v>-3.0950031249997663</v>
      </c>
      <c r="J22">
        <f t="shared" si="1"/>
        <v>-0.95554279870323133</v>
      </c>
      <c r="K22">
        <f t="shared" si="5"/>
        <v>-3.117499999999973E-4</v>
      </c>
      <c r="L22">
        <f t="shared" si="6"/>
        <v>-3.4349999999998992E-4</v>
      </c>
      <c r="M22">
        <f t="shared" si="7"/>
        <v>-3.2762499999999361E-4</v>
      </c>
      <c r="N22">
        <f t="shared" si="8"/>
        <v>-5.8707220984433918E-4</v>
      </c>
      <c r="O22" s="3">
        <f t="shared" si="9"/>
        <v>-5.8707220984433919</v>
      </c>
    </row>
    <row r="23" spans="1:15" x14ac:dyDescent="0.25">
      <c r="A23">
        <v>600</v>
      </c>
      <c r="B23" s="8">
        <v>3.4514</v>
      </c>
      <c r="C23" s="8">
        <v>3.4477000000000002</v>
      </c>
      <c r="D23">
        <f t="shared" si="2"/>
        <v>-3.6999999999998145E-3</v>
      </c>
      <c r="E23">
        <f t="shared" si="3"/>
        <v>-4.5218749999997865E-3</v>
      </c>
      <c r="F23">
        <v>240</v>
      </c>
      <c r="G23">
        <v>2767</v>
      </c>
      <c r="H23">
        <f t="shared" si="4"/>
        <v>-1.0852499999999488</v>
      </c>
      <c r="I23">
        <f>I24+H23</f>
        <v>-2.0549218749998497</v>
      </c>
      <c r="J23">
        <f t="shared" si="1"/>
        <v>-0.74265337007584009</v>
      </c>
      <c r="K23">
        <f t="shared" si="5"/>
        <v>-2.8949999999999587E-4</v>
      </c>
      <c r="L23">
        <f t="shared" si="6"/>
        <v>-2.9706249999999823E-4</v>
      </c>
      <c r="M23">
        <f t="shared" si="7"/>
        <v>-2.9328124999999705E-4</v>
      </c>
      <c r="N23">
        <f t="shared" si="8"/>
        <v>-5.097066155183718E-4</v>
      </c>
      <c r="O23" s="3">
        <f t="shared" si="9"/>
        <v>-5.0970661551837182</v>
      </c>
    </row>
    <row r="24" spans="1:15" x14ac:dyDescent="0.25">
      <c r="A24">
        <v>650</v>
      </c>
      <c r="B24" s="8">
        <v>3.4393750000000001</v>
      </c>
      <c r="C24" s="8">
        <v>3.4340312500000003</v>
      </c>
      <c r="D24">
        <f t="shared" si="2"/>
        <v>-5.3437499999997584E-3</v>
      </c>
      <c r="E24">
        <f t="shared" si="3"/>
        <v>-4.2343749999995683E-3</v>
      </c>
      <c r="F24">
        <v>229</v>
      </c>
      <c r="G24">
        <v>2129</v>
      </c>
      <c r="H24">
        <f t="shared" si="4"/>
        <v>-0.96967187499990115</v>
      </c>
      <c r="I24">
        <f>H24</f>
        <v>-0.96967187499990115</v>
      </c>
      <c r="J24">
        <f>(I24/G24)*1000</f>
        <v>-0.45545884217938054</v>
      </c>
      <c r="K24">
        <f t="shared" si="5"/>
        <v>-2.586250000000012E-4</v>
      </c>
      <c r="L24">
        <f t="shared" si="6"/>
        <v>-2.5287499999999686E-4</v>
      </c>
      <c r="M24">
        <f t="shared" si="7"/>
        <v>-2.5574999999999903E-4</v>
      </c>
      <c r="N24">
        <f t="shared" si="8"/>
        <v>-3.584692508530704E-4</v>
      </c>
      <c r="O24" s="3">
        <f t="shared" si="9"/>
        <v>-3.5846925085307042</v>
      </c>
    </row>
    <row r="25" spans="1:15" x14ac:dyDescent="0.25">
      <c r="A25">
        <v>700</v>
      </c>
      <c r="B25" s="8">
        <v>3.4255374999999999</v>
      </c>
      <c r="C25" s="8">
        <v>3.4224125000000005</v>
      </c>
      <c r="D25">
        <f t="shared" si="2"/>
        <v>-3.1249999999993783E-3</v>
      </c>
      <c r="E25">
        <f t="shared" si="3"/>
        <v>-3.5468750000000604E-3</v>
      </c>
      <c r="F25" s="3">
        <v>216</v>
      </c>
      <c r="G25">
        <v>2130</v>
      </c>
      <c r="H25">
        <f t="shared" ref="H25:H38" si="10">E25*F25</f>
        <v>-0.76612500000001305</v>
      </c>
      <c r="I25">
        <f t="shared" ref="I25:I38" si="11">H25</f>
        <v>-0.76612500000001305</v>
      </c>
      <c r="J25">
        <f t="shared" ref="J25:J38" si="12">(I25/G25)*1000</f>
        <v>-0.35968309859155539</v>
      </c>
      <c r="K25">
        <f t="shared" ref="K25:K38" si="13">(B26-B24)/(A26-A24)</f>
        <v>-2.3699999999999833E-4</v>
      </c>
      <c r="L25">
        <f t="shared" ref="L25:L38" si="14">(C26-C24)/(A26-A24)</f>
        <v>-2.2325000000000816E-4</v>
      </c>
      <c r="M25">
        <f t="shared" ref="M25:M38" si="15">(K25+L25)/2</f>
        <v>-2.3012500000000325E-4</v>
      </c>
      <c r="N25">
        <f t="shared" si="8"/>
        <v>-3.1461153541627882E-4</v>
      </c>
      <c r="O25" s="3">
        <f t="shared" ref="O25:O38" si="16">N25*10000</f>
        <v>-3.146115354162788</v>
      </c>
    </row>
    <row r="26" spans="1:15" x14ac:dyDescent="0.25">
      <c r="A26">
        <v>750</v>
      </c>
      <c r="B26" s="8">
        <v>3.4156750000000002</v>
      </c>
      <c r="C26" s="8">
        <v>3.4117062499999995</v>
      </c>
      <c r="D26">
        <f t="shared" si="2"/>
        <v>-3.9687500000007425E-3</v>
      </c>
      <c r="E26">
        <f t="shared" si="3"/>
        <v>-4.384375000000551E-3</v>
      </c>
      <c r="F26" s="3">
        <v>205</v>
      </c>
      <c r="G26">
        <v>2131</v>
      </c>
      <c r="H26">
        <f t="shared" si="10"/>
        <v>-0.89879687500011296</v>
      </c>
      <c r="I26">
        <f t="shared" si="11"/>
        <v>-0.89879687500011296</v>
      </c>
      <c r="J26">
        <f t="shared" si="12"/>
        <v>-0.42177234866265273</v>
      </c>
      <c r="K26">
        <f t="shared" si="13"/>
        <v>-1.776249999999946E-4</v>
      </c>
      <c r="L26">
        <f t="shared" si="14"/>
        <v>-1.9437500000000441E-4</v>
      </c>
      <c r="M26">
        <f t="shared" si="15"/>
        <v>-1.8599999999999951E-4</v>
      </c>
      <c r="N26">
        <f t="shared" si="8"/>
        <v>-4.5643986964167865E-4</v>
      </c>
      <c r="O26" s="3">
        <f t="shared" si="16"/>
        <v>-4.5643986964167862</v>
      </c>
    </row>
    <row r="27" spans="1:15" x14ac:dyDescent="0.25">
      <c r="A27">
        <v>800</v>
      </c>
      <c r="B27" s="8">
        <v>3.4077750000000004</v>
      </c>
      <c r="C27" s="8">
        <v>3.4029750000000001</v>
      </c>
      <c r="D27">
        <f t="shared" si="2"/>
        <v>-4.8000000000003595E-3</v>
      </c>
      <c r="E27">
        <f t="shared" si="3"/>
        <v>-4.8531250000003467E-3</v>
      </c>
      <c r="F27" s="3">
        <v>192</v>
      </c>
      <c r="G27">
        <v>2132</v>
      </c>
      <c r="H27">
        <f t="shared" si="10"/>
        <v>-0.93180000000006658</v>
      </c>
      <c r="I27">
        <f t="shared" si="11"/>
        <v>-0.93180000000006658</v>
      </c>
      <c r="J27">
        <f t="shared" si="12"/>
        <v>-0.43705440900565973</v>
      </c>
      <c r="K27">
        <f t="shared" si="13"/>
        <v>-1.4800000000000146E-4</v>
      </c>
      <c r="L27">
        <f t="shared" si="14"/>
        <v>-1.5737499999999739E-4</v>
      </c>
      <c r="M27">
        <f t="shared" si="15"/>
        <v>-1.5268749999999942E-4</v>
      </c>
      <c r="N27">
        <f t="shared" si="8"/>
        <v>-5.7616972480531827E-4</v>
      </c>
      <c r="O27" s="3">
        <f t="shared" si="16"/>
        <v>-5.7616972480531823</v>
      </c>
    </row>
    <row r="28" spans="1:15" x14ac:dyDescent="0.25">
      <c r="A28">
        <v>850</v>
      </c>
      <c r="B28" s="8">
        <v>3.4008750000000001</v>
      </c>
      <c r="C28" s="8">
        <v>3.3959687499999998</v>
      </c>
      <c r="D28">
        <f t="shared" si="2"/>
        <v>-4.906250000000334E-3</v>
      </c>
      <c r="E28">
        <f t="shared" si="3"/>
        <v>-4.3312499999998977E-3</v>
      </c>
      <c r="F28" s="3">
        <v>181</v>
      </c>
      <c r="G28">
        <v>2133</v>
      </c>
      <c r="H28">
        <f t="shared" si="10"/>
        <v>-0.78395624999998148</v>
      </c>
      <c r="I28">
        <f t="shared" si="11"/>
        <v>-0.78395624999998148</v>
      </c>
      <c r="J28">
        <f t="shared" si="12"/>
        <v>-0.36753691983121495</v>
      </c>
      <c r="K28">
        <f t="shared" si="13"/>
        <v>-1.3950000000000794E-4</v>
      </c>
      <c r="L28">
        <f t="shared" si="14"/>
        <v>-1.2906249999999897E-4</v>
      </c>
      <c r="M28">
        <f t="shared" si="15"/>
        <v>-1.3428125000000346E-4</v>
      </c>
      <c r="N28">
        <f t="shared" si="8"/>
        <v>-5.509396247034582E-4</v>
      </c>
      <c r="O28" s="3">
        <f t="shared" si="16"/>
        <v>-5.5093962470345819</v>
      </c>
    </row>
    <row r="29" spans="1:15" x14ac:dyDescent="0.25">
      <c r="A29">
        <v>900</v>
      </c>
      <c r="B29" s="8">
        <v>3.3938249999999996</v>
      </c>
      <c r="C29" s="8">
        <v>3.3900687500000002</v>
      </c>
      <c r="D29">
        <f t="shared" si="2"/>
        <v>-3.7562499999994614E-3</v>
      </c>
      <c r="E29">
        <f t="shared" si="3"/>
        <v>-2.9812499999999353E-3</v>
      </c>
      <c r="F29" s="3">
        <v>177</v>
      </c>
      <c r="G29">
        <v>2134</v>
      </c>
      <c r="H29">
        <f t="shared" si="10"/>
        <v>-0.52768124999998856</v>
      </c>
      <c r="I29">
        <f t="shared" si="11"/>
        <v>-0.52768124999998856</v>
      </c>
      <c r="J29">
        <f t="shared" si="12"/>
        <v>-0.24727331302717362</v>
      </c>
      <c r="K29">
        <f t="shared" si="13"/>
        <v>-1.2874999999999746E-4</v>
      </c>
      <c r="L29">
        <f t="shared" si="14"/>
        <v>-1.0174999999999823E-4</v>
      </c>
      <c r="M29">
        <f t="shared" si="15"/>
        <v>-1.1524999999999784E-4</v>
      </c>
      <c r="N29">
        <f t="shared" si="8"/>
        <v>-4.3187168031964796E-4</v>
      </c>
      <c r="O29" s="3">
        <f t="shared" si="16"/>
        <v>-4.3187168031964793</v>
      </c>
    </row>
    <row r="30" spans="1:15" x14ac:dyDescent="0.25">
      <c r="A30">
        <v>950</v>
      </c>
      <c r="B30" s="8">
        <v>3.3880000000000003</v>
      </c>
      <c r="C30" s="8">
        <v>3.3857937499999999</v>
      </c>
      <c r="D30">
        <f t="shared" si="2"/>
        <v>-2.2062500000004093E-3</v>
      </c>
      <c r="E30">
        <f t="shared" si="3"/>
        <v>-2.0959821428578884E-3</v>
      </c>
      <c r="F30" s="3">
        <v>172</v>
      </c>
      <c r="G30">
        <v>2135</v>
      </c>
      <c r="H30">
        <f t="shared" si="10"/>
        <v>-0.36050892857155681</v>
      </c>
      <c r="I30">
        <f t="shared" si="11"/>
        <v>-0.36050892857155681</v>
      </c>
      <c r="J30">
        <f t="shared" si="12"/>
        <v>-0.16885664101712264</v>
      </c>
      <c r="K30">
        <f t="shared" si="13"/>
        <v>-9.4964285714276288E-5</v>
      </c>
      <c r="L30">
        <f t="shared" si="14"/>
        <v>-7.7258928571435345E-5</v>
      </c>
      <c r="M30">
        <f t="shared" si="15"/>
        <v>-8.611160714285581E-5</v>
      </c>
      <c r="N30">
        <f t="shared" si="8"/>
        <v>-3.9470703213236247E-4</v>
      </c>
      <c r="O30" s="3">
        <f t="shared" si="16"/>
        <v>-3.9470703213236247</v>
      </c>
    </row>
    <row r="31" spans="1:15" x14ac:dyDescent="0.25">
      <c r="A31">
        <v>1000</v>
      </c>
      <c r="B31" s="8">
        <v>3.384328571428572</v>
      </c>
      <c r="C31" s="8">
        <v>3.3823428571428567</v>
      </c>
      <c r="D31">
        <f t="shared" si="2"/>
        <v>-1.9857142857153676E-3</v>
      </c>
      <c r="E31">
        <f t="shared" si="3"/>
        <v>-2.1392857142856769E-3</v>
      </c>
      <c r="F31" s="3">
        <v>167</v>
      </c>
      <c r="G31">
        <v>2136</v>
      </c>
      <c r="H31">
        <f t="shared" si="10"/>
        <v>-0.35726071428570805</v>
      </c>
      <c r="I31">
        <f t="shared" si="11"/>
        <v>-0.35726071428570805</v>
      </c>
      <c r="J31">
        <f t="shared" si="12"/>
        <v>-0.16725688871053745</v>
      </c>
      <c r="K31">
        <f t="shared" si="13"/>
        <v>-6.371428571429583E-5</v>
      </c>
      <c r="L31">
        <f t="shared" si="14"/>
        <v>-6.4580357142851597E-5</v>
      </c>
      <c r="M31">
        <f t="shared" si="15"/>
        <v>-6.414732142857372E-5</v>
      </c>
      <c r="N31">
        <f t="shared" si="8"/>
        <v>-5.2483634240500538E-4</v>
      </c>
      <c r="O31" s="3">
        <f t="shared" si="16"/>
        <v>-5.2483634240500541</v>
      </c>
    </row>
    <row r="32" spans="1:15" x14ac:dyDescent="0.25">
      <c r="A32">
        <v>1050</v>
      </c>
      <c r="B32" s="8">
        <v>3.3816285714285708</v>
      </c>
      <c r="C32" s="8">
        <v>3.3793357142857148</v>
      </c>
      <c r="D32">
        <f t="shared" si="2"/>
        <v>-2.2928571428559863E-3</v>
      </c>
      <c r="E32">
        <f t="shared" si="3"/>
        <v>-2.2607142857136164E-3</v>
      </c>
      <c r="F32" s="3">
        <v>160</v>
      </c>
      <c r="G32">
        <v>2137</v>
      </c>
      <c r="H32">
        <f t="shared" si="10"/>
        <v>-0.36171428571417863</v>
      </c>
      <c r="I32">
        <f t="shared" si="11"/>
        <v>-0.36171428571417863</v>
      </c>
      <c r="J32">
        <f t="shared" si="12"/>
        <v>-0.16926265124669099</v>
      </c>
      <c r="K32">
        <f t="shared" si="13"/>
        <v>-4.8714285714290817E-5</v>
      </c>
      <c r="L32">
        <f t="shared" si="14"/>
        <v>-5.114285714284961E-5</v>
      </c>
      <c r="M32">
        <f t="shared" si="15"/>
        <v>-4.9928571428570213E-5</v>
      </c>
      <c r="N32">
        <f t="shared" si="8"/>
        <v>-6.8238647730416917E-4</v>
      </c>
      <c r="O32" s="3">
        <f t="shared" si="16"/>
        <v>-6.8238647730416915</v>
      </c>
    </row>
    <row r="33" spans="1:15" x14ac:dyDescent="0.25">
      <c r="A33">
        <v>1100</v>
      </c>
      <c r="B33" s="8">
        <v>3.3794571428571429</v>
      </c>
      <c r="C33" s="8">
        <v>3.3772285714285717</v>
      </c>
      <c r="D33">
        <f t="shared" si="2"/>
        <v>-2.2285714285712466E-3</v>
      </c>
      <c r="E33">
        <f t="shared" si="3"/>
        <v>-2.1214285714286074E-3</v>
      </c>
      <c r="F33" s="3">
        <v>151</v>
      </c>
      <c r="G33">
        <v>2138</v>
      </c>
      <c r="H33">
        <f t="shared" si="10"/>
        <v>-0.32033571428571972</v>
      </c>
      <c r="I33">
        <f t="shared" si="11"/>
        <v>-0.32033571428571972</v>
      </c>
      <c r="J33">
        <f t="shared" si="12"/>
        <v>-0.14982961379126272</v>
      </c>
      <c r="K33">
        <f t="shared" si="13"/>
        <v>-3.3999999999991814E-5</v>
      </c>
      <c r="L33">
        <f t="shared" si="14"/>
        <v>-3.1214285714291632E-5</v>
      </c>
      <c r="M33">
        <f t="shared" si="15"/>
        <v>-3.2607142857141719E-5</v>
      </c>
      <c r="N33">
        <f t="shared" si="8"/>
        <v>-9.2491820292930676E-4</v>
      </c>
      <c r="O33" s="3">
        <f t="shared" si="16"/>
        <v>-9.2491820292930669</v>
      </c>
    </row>
    <row r="34" spans="1:15" x14ac:dyDescent="0.25">
      <c r="A34">
        <v>1150</v>
      </c>
      <c r="B34" s="8">
        <v>3.3782285714285716</v>
      </c>
      <c r="C34" s="8">
        <v>3.3762142857142856</v>
      </c>
      <c r="D34">
        <f t="shared" si="2"/>
        <v>-2.0142857142859683E-3</v>
      </c>
      <c r="E34">
        <f t="shared" si="3"/>
        <v>-1.7035714285715819E-3</v>
      </c>
      <c r="F34" s="3">
        <v>145</v>
      </c>
      <c r="G34">
        <v>2139</v>
      </c>
      <c r="H34">
        <f t="shared" si="10"/>
        <v>-0.24701785714287938</v>
      </c>
      <c r="I34">
        <f t="shared" si="11"/>
        <v>-0.24701785714287938</v>
      </c>
      <c r="J34">
        <f t="shared" si="12"/>
        <v>-0.11548286916450648</v>
      </c>
      <c r="K34">
        <f t="shared" si="13"/>
        <v>-2.3571428571429466E-5</v>
      </c>
      <c r="L34">
        <f t="shared" si="14"/>
        <v>-1.5214285714288956E-5</v>
      </c>
      <c r="M34">
        <f t="shared" si="15"/>
        <v>-1.9392857142859212E-5</v>
      </c>
      <c r="N34">
        <f t="shared" si="8"/>
        <v>-1.1986549410169232E-3</v>
      </c>
      <c r="O34" s="3">
        <f t="shared" si="16"/>
        <v>-11.986549410169232</v>
      </c>
    </row>
    <row r="35" spans="1:15" x14ac:dyDescent="0.25">
      <c r="A35">
        <v>1200</v>
      </c>
      <c r="B35" s="8">
        <v>3.3771</v>
      </c>
      <c r="C35" s="8">
        <v>3.3757071428571428</v>
      </c>
      <c r="D35">
        <f t="shared" si="2"/>
        <v>-1.3928571428571956E-3</v>
      </c>
      <c r="E35">
        <f t="shared" si="3"/>
        <v>-2.9951298701293982E-3</v>
      </c>
      <c r="F35" s="3">
        <v>137</v>
      </c>
      <c r="G35">
        <v>2140</v>
      </c>
      <c r="H35">
        <f t="shared" si="10"/>
        <v>-0.41033279220772756</v>
      </c>
      <c r="I35">
        <f t="shared" si="11"/>
        <v>-0.41033279220772756</v>
      </c>
      <c r="J35">
        <f t="shared" si="12"/>
        <v>-0.19174429542417176</v>
      </c>
      <c r="K35">
        <f t="shared" si="13"/>
        <v>-1.7857142857149455E-5</v>
      </c>
      <c r="L35">
        <f t="shared" si="14"/>
        <v>-4.368831168830578E-5</v>
      </c>
      <c r="M35">
        <f t="shared" si="15"/>
        <v>-3.0772727272727619E-5</v>
      </c>
      <c r="N35">
        <f t="shared" si="8"/>
        <v>-1.2542233363933104E-3</v>
      </c>
      <c r="O35" s="3">
        <f t="shared" si="16"/>
        <v>-12.542233363933104</v>
      </c>
    </row>
    <row r="36" spans="1:15" x14ac:dyDescent="0.25">
      <c r="A36">
        <v>1250</v>
      </c>
      <c r="B36" s="8">
        <v>3.3764428571428566</v>
      </c>
      <c r="C36" s="8">
        <v>3.371845454545455</v>
      </c>
      <c r="D36">
        <f t="shared" si="2"/>
        <v>-4.5974025974016008E-3</v>
      </c>
      <c r="E36">
        <f t="shared" si="3"/>
        <v>-2.7447330447327722E-3</v>
      </c>
      <c r="F36" s="3">
        <v>124</v>
      </c>
      <c r="G36">
        <v>2141</v>
      </c>
      <c r="H36">
        <f t="shared" si="10"/>
        <v>-0.34034689754686376</v>
      </c>
      <c r="I36">
        <f t="shared" si="11"/>
        <v>-0.34034689754686376</v>
      </c>
      <c r="J36">
        <f t="shared" si="12"/>
        <v>-0.15896632300180466</v>
      </c>
      <c r="K36">
        <f t="shared" si="13"/>
        <v>-8.8571428571393448E-6</v>
      </c>
      <c r="L36">
        <f t="shared" si="14"/>
        <v>-3.8492063492068238E-6</v>
      </c>
      <c r="M36">
        <f t="shared" si="15"/>
        <v>-6.3531746031730843E-6</v>
      </c>
      <c r="N36">
        <f t="shared" si="8"/>
        <v>-5.0365453702527346E-3</v>
      </c>
      <c r="O36" s="3">
        <f t="shared" si="16"/>
        <v>-50.365453702527347</v>
      </c>
    </row>
    <row r="37" spans="1:15" x14ac:dyDescent="0.25">
      <c r="A37">
        <v>1300</v>
      </c>
      <c r="B37" s="8">
        <v>3.3762142857142861</v>
      </c>
      <c r="C37" s="8">
        <v>3.3753222222222221</v>
      </c>
      <c r="D37">
        <f t="shared" si="2"/>
        <v>-8.9206349206394364E-4</v>
      </c>
      <c r="E37">
        <f t="shared" si="3"/>
        <v>-1.2746031746035946E-3</v>
      </c>
      <c r="F37" s="3">
        <v>101</v>
      </c>
      <c r="G37">
        <v>2142</v>
      </c>
      <c r="H37">
        <f t="shared" si="10"/>
        <v>-0.12873492063496306</v>
      </c>
      <c r="I37">
        <f t="shared" si="11"/>
        <v>-0.12873492063496306</v>
      </c>
      <c r="J37">
        <f t="shared" si="12"/>
        <v>-6.0100336430888447E-2</v>
      </c>
      <c r="K37">
        <f t="shared" si="13"/>
        <v>-3.857142857133233E-6</v>
      </c>
      <c r="L37">
        <f t="shared" si="14"/>
        <v>2.5545454545450318E-5</v>
      </c>
      <c r="M37">
        <f t="shared" si="15"/>
        <v>1.0844155844158541E-5</v>
      </c>
      <c r="N37">
        <f t="shared" si="8"/>
        <v>1.1155770355851726E-3</v>
      </c>
      <c r="O37" s="3">
        <f t="shared" si="16"/>
        <v>11.155770355851725</v>
      </c>
    </row>
    <row r="38" spans="1:15" x14ac:dyDescent="0.25">
      <c r="A38">
        <v>1350</v>
      </c>
      <c r="B38" s="8">
        <v>3.3760571428571433</v>
      </c>
      <c r="C38" s="8">
        <v>3.3744000000000001</v>
      </c>
      <c r="D38">
        <f t="shared" si="2"/>
        <v>-1.6571428571432456E-3</v>
      </c>
      <c r="E38">
        <f t="shared" si="3"/>
        <v>-8.285714285716228E-4</v>
      </c>
      <c r="F38" s="3">
        <v>67</v>
      </c>
      <c r="G38">
        <v>2143</v>
      </c>
      <c r="H38">
        <f t="shared" si="10"/>
        <v>-5.5514285714298728E-2</v>
      </c>
      <c r="I38">
        <f t="shared" si="11"/>
        <v>-5.5514285714298728E-2</v>
      </c>
      <c r="J38">
        <f t="shared" si="12"/>
        <v>-2.5904939670694693E-2</v>
      </c>
      <c r="K38">
        <f t="shared" si="13"/>
        <v>-6.054285714286234E-5</v>
      </c>
      <c r="L38">
        <f t="shared" si="14"/>
        <v>-2.6022222222223945E-5</v>
      </c>
      <c r="M38">
        <f t="shared" si="15"/>
        <v>-4.3282539682543145E-5</v>
      </c>
      <c r="N38">
        <f t="shared" si="8"/>
        <v>-1.2047259415323606E-4</v>
      </c>
      <c r="O38" s="3">
        <f t="shared" si="16"/>
        <v>-1.2047259415323606</v>
      </c>
    </row>
    <row r="39" spans="1:15" x14ac:dyDescent="0.25">
      <c r="A39">
        <v>1400</v>
      </c>
      <c r="B39" s="8">
        <v>3.3701599999999998</v>
      </c>
      <c r="C39" s="8">
        <v>3.3727199999999997</v>
      </c>
      <c r="F39" s="3">
        <v>25.9</v>
      </c>
      <c r="O39" s="3"/>
    </row>
    <row r="40" spans="1:15" x14ac:dyDescent="0.25">
      <c r="B40" s="8"/>
      <c r="C40" s="8"/>
      <c r="D40" s="8"/>
      <c r="E40" s="8"/>
      <c r="F40" s="3"/>
      <c r="G40" s="9"/>
      <c r="O40" s="3"/>
    </row>
    <row r="41" spans="1:15" x14ac:dyDescent="0.25">
      <c r="B41" s="8"/>
      <c r="C41" s="8"/>
      <c r="D41" s="8"/>
      <c r="E41" s="8"/>
      <c r="F41" s="3"/>
      <c r="G41" s="9"/>
      <c r="O41" s="3"/>
    </row>
    <row r="42" spans="1:15" x14ac:dyDescent="0.25">
      <c r="B42" s="8"/>
      <c r="C42" s="8"/>
      <c r="D42" s="8"/>
      <c r="E42" s="8"/>
      <c r="F42" s="3"/>
      <c r="G42" s="9"/>
      <c r="O42" s="3"/>
    </row>
    <row r="43" spans="1:15" x14ac:dyDescent="0.25">
      <c r="B43" s="8"/>
      <c r="C43" s="8"/>
      <c r="D43" s="8"/>
      <c r="E43" s="8"/>
      <c r="F43" s="3"/>
      <c r="G43" s="9"/>
      <c r="O43" s="3"/>
    </row>
    <row r="44" spans="1:15" x14ac:dyDescent="0.25">
      <c r="B44" s="8"/>
      <c r="C44" s="8"/>
      <c r="D44" s="8"/>
      <c r="E44" s="8"/>
      <c r="F44" s="3"/>
      <c r="G44" s="9"/>
      <c r="O44" s="3"/>
    </row>
    <row r="45" spans="1:15" x14ac:dyDescent="0.25">
      <c r="B45" s="8"/>
      <c r="C45" s="8"/>
      <c r="D45" s="8"/>
      <c r="E45" s="8"/>
      <c r="F45" s="3"/>
      <c r="G45" s="9"/>
      <c r="O45" s="3"/>
    </row>
    <row r="46" spans="1:15" x14ac:dyDescent="0.25">
      <c r="B46" s="8"/>
      <c r="C46" s="8"/>
      <c r="D46" s="8"/>
      <c r="E46" s="8"/>
      <c r="F46" s="3"/>
      <c r="G46" s="9"/>
      <c r="O46" s="3"/>
    </row>
    <row r="47" spans="1:15" x14ac:dyDescent="0.25">
      <c r="B47" s="8"/>
      <c r="C47" s="8"/>
      <c r="D47" s="8"/>
      <c r="E47" s="8"/>
      <c r="F47" s="3"/>
      <c r="G47" s="9"/>
      <c r="O47" s="3"/>
    </row>
    <row r="48" spans="1:15" x14ac:dyDescent="0.25">
      <c r="B48" s="8"/>
      <c r="C48" s="8"/>
      <c r="D48" s="8"/>
      <c r="E48" s="8"/>
      <c r="F48" s="3"/>
      <c r="G48" s="9"/>
      <c r="O48" s="3"/>
    </row>
    <row r="49" spans="2:15" x14ac:dyDescent="0.25">
      <c r="B49" s="8"/>
      <c r="C49" s="8"/>
      <c r="D49" s="8"/>
      <c r="E49" s="8"/>
      <c r="F49" s="3"/>
      <c r="G49" s="9"/>
      <c r="O49" s="3"/>
    </row>
    <row r="50" spans="2:15" x14ac:dyDescent="0.25">
      <c r="B50" s="8"/>
      <c r="C50" s="8"/>
      <c r="D50" s="8"/>
      <c r="E50" s="8"/>
      <c r="F50" s="3"/>
      <c r="G50" s="9"/>
      <c r="O50" s="3"/>
    </row>
    <row r="51" spans="2:15" x14ac:dyDescent="0.25">
      <c r="B51" s="8"/>
      <c r="C51" s="8"/>
      <c r="D51" s="8"/>
      <c r="E51" s="8"/>
      <c r="F51" s="3"/>
      <c r="G51" s="9"/>
      <c r="O51" s="3"/>
    </row>
    <row r="52" spans="2:15" x14ac:dyDescent="0.25">
      <c r="B52" s="8"/>
      <c r="C52" s="8"/>
      <c r="D52" s="8"/>
      <c r="E52" s="8"/>
      <c r="F52" s="3"/>
      <c r="O52" s="3"/>
    </row>
    <row r="53" spans="2:15" x14ac:dyDescent="0.25">
      <c r="B53" s="8"/>
      <c r="C53" s="8"/>
      <c r="D53" s="8"/>
      <c r="E53" s="8"/>
      <c r="F53" s="3"/>
      <c r="G53" s="9"/>
      <c r="O53" s="3"/>
    </row>
    <row r="54" spans="2:15" x14ac:dyDescent="0.25">
      <c r="B54" s="8"/>
      <c r="C54" s="8"/>
      <c r="D54" s="8"/>
      <c r="E54" s="8"/>
      <c r="F54" s="3"/>
      <c r="G54" s="9"/>
      <c r="O54" s="3"/>
    </row>
    <row r="55" spans="2:15" x14ac:dyDescent="0.25">
      <c r="B55" s="3"/>
      <c r="C55" s="3"/>
      <c r="D55" s="8"/>
      <c r="E55" s="8"/>
      <c r="F55" s="3"/>
      <c r="G55" s="9"/>
      <c r="O55" s="3"/>
    </row>
    <row r="56" spans="2:15" x14ac:dyDescent="0.25">
      <c r="B56" s="3"/>
      <c r="C56" s="3"/>
      <c r="D56" s="8"/>
      <c r="E56" s="8"/>
      <c r="F56" s="3"/>
      <c r="G56" s="9"/>
      <c r="O56" s="3"/>
    </row>
    <row r="57" spans="2:15" x14ac:dyDescent="0.25">
      <c r="B57" s="3"/>
      <c r="C57" s="3"/>
      <c r="D57" s="8"/>
      <c r="E57" s="8"/>
      <c r="F57" s="3"/>
      <c r="G57" s="9"/>
      <c r="O57" s="3"/>
    </row>
    <row r="58" spans="2:15" x14ac:dyDescent="0.25">
      <c r="D58" s="8"/>
      <c r="E58" s="8"/>
      <c r="F58" s="3"/>
      <c r="G58" s="9"/>
      <c r="O58" s="3"/>
    </row>
    <row r="59" spans="2:15" x14ac:dyDescent="0.25">
      <c r="D59" s="8"/>
      <c r="E59" s="8"/>
      <c r="F59" s="3"/>
      <c r="G59" s="9"/>
      <c r="O59" s="3"/>
    </row>
    <row r="60" spans="2:15" x14ac:dyDescent="0.25">
      <c r="D60" s="8"/>
      <c r="E60" s="8"/>
      <c r="F60" s="3"/>
      <c r="G60" s="9"/>
      <c r="O60" s="3"/>
    </row>
    <row r="61" spans="2:15" x14ac:dyDescent="0.25">
      <c r="D61" s="8"/>
      <c r="E61" s="8"/>
      <c r="F61" s="3"/>
      <c r="G61" s="9"/>
      <c r="O61" s="3"/>
    </row>
    <row r="62" spans="2:15" x14ac:dyDescent="0.25">
      <c r="D62" s="8"/>
      <c r="E62" s="8"/>
      <c r="F62" s="3"/>
      <c r="G62" s="9"/>
      <c r="O62" s="3"/>
    </row>
    <row r="63" spans="2:15" x14ac:dyDescent="0.25">
      <c r="D63" s="8"/>
      <c r="E63" s="8"/>
      <c r="F63" s="3"/>
      <c r="G63" s="9"/>
      <c r="O63" s="3"/>
    </row>
    <row r="64" spans="2:15" x14ac:dyDescent="0.25">
      <c r="D64" s="8"/>
      <c r="E64" s="8"/>
      <c r="F64" s="3"/>
      <c r="G64" s="9"/>
      <c r="O64" s="3"/>
    </row>
    <row r="65" spans="4:15" x14ac:dyDescent="0.25">
      <c r="D65" s="8"/>
      <c r="E65" s="8"/>
      <c r="F65" s="3"/>
      <c r="G65" s="9"/>
      <c r="O65" s="3"/>
    </row>
    <row r="66" spans="4:15" x14ac:dyDescent="0.25">
      <c r="D66" s="8"/>
      <c r="E66" s="8"/>
      <c r="F66" s="3"/>
      <c r="G66" s="9"/>
      <c r="O66" s="3"/>
    </row>
    <row r="67" spans="4:15" x14ac:dyDescent="0.25">
      <c r="D67" s="8"/>
      <c r="E67" s="8"/>
      <c r="F67" s="3"/>
      <c r="G67" s="9"/>
      <c r="O67" s="3"/>
    </row>
    <row r="68" spans="4:15" x14ac:dyDescent="0.25">
      <c r="D68" s="8"/>
      <c r="E68" s="8"/>
      <c r="F68" s="3"/>
      <c r="G68" s="9"/>
      <c r="O68" s="3"/>
    </row>
    <row r="69" spans="4:15" x14ac:dyDescent="0.25">
      <c r="D69" s="8"/>
      <c r="E69" s="8"/>
      <c r="F69" s="3"/>
      <c r="G69" s="9"/>
      <c r="O69" s="3"/>
    </row>
    <row r="70" spans="4:15" x14ac:dyDescent="0.25">
      <c r="D70" s="8"/>
      <c r="E70" s="8"/>
      <c r="F70" s="3"/>
      <c r="G70" s="9"/>
      <c r="O70" s="3"/>
    </row>
    <row r="71" spans="4:15" x14ac:dyDescent="0.25">
      <c r="D71" s="8"/>
      <c r="E71" s="8"/>
      <c r="F71" s="3"/>
      <c r="G71" s="9"/>
      <c r="O71" s="3"/>
    </row>
    <row r="72" spans="4:15" x14ac:dyDescent="0.25">
      <c r="D72" s="8"/>
      <c r="E72" s="8"/>
      <c r="F72" s="3"/>
      <c r="G72" s="9"/>
      <c r="O72" s="3"/>
    </row>
    <row r="73" spans="4:15" x14ac:dyDescent="0.25">
      <c r="D73" s="8"/>
      <c r="E73" s="8"/>
      <c r="F73" s="3"/>
      <c r="G73" s="9"/>
      <c r="O73" s="3"/>
    </row>
    <row r="74" spans="4:15" x14ac:dyDescent="0.25">
      <c r="D74" s="8"/>
      <c r="E74" s="8"/>
      <c r="F74" s="3"/>
      <c r="G74" s="9"/>
      <c r="O74" s="3"/>
    </row>
    <row r="75" spans="4:15" x14ac:dyDescent="0.25">
      <c r="D75" s="8"/>
      <c r="E75" s="8"/>
      <c r="F75" s="3"/>
      <c r="G75" s="9"/>
      <c r="O75" s="3"/>
    </row>
    <row r="76" spans="4:15" x14ac:dyDescent="0.25">
      <c r="D76" s="8"/>
      <c r="E76" s="8"/>
      <c r="F76" s="3"/>
      <c r="G76" s="9"/>
      <c r="O76" s="3"/>
    </row>
    <row r="77" spans="4:15" x14ac:dyDescent="0.25">
      <c r="D77" s="8"/>
      <c r="E77" s="8"/>
      <c r="F77" s="3"/>
      <c r="O77" s="3"/>
    </row>
    <row r="78" spans="4:15" x14ac:dyDescent="0.25">
      <c r="D78" s="8"/>
      <c r="E78" s="8"/>
      <c r="F78" s="3"/>
      <c r="G78" s="9"/>
      <c r="O78" s="3"/>
    </row>
    <row r="79" spans="4:15" x14ac:dyDescent="0.25">
      <c r="D79" s="8"/>
      <c r="E79" s="8"/>
      <c r="F79" s="3"/>
      <c r="G79" s="9"/>
      <c r="O79" s="3"/>
    </row>
    <row r="80" spans="4:15" x14ac:dyDescent="0.25">
      <c r="D80" s="8"/>
      <c r="E80" s="8"/>
      <c r="F80" s="3"/>
      <c r="G80" s="9"/>
      <c r="O80" s="3"/>
    </row>
    <row r="81" spans="4:15" x14ac:dyDescent="0.25">
      <c r="D81" s="8"/>
      <c r="E81" s="8"/>
      <c r="F81" s="3"/>
      <c r="G81" s="9"/>
      <c r="O81" s="3"/>
    </row>
    <row r="82" spans="4:15" x14ac:dyDescent="0.25">
      <c r="D82" s="8"/>
      <c r="E82" s="8"/>
      <c r="F82" s="3"/>
      <c r="G82" s="9"/>
      <c r="O82" s="3"/>
    </row>
    <row r="83" spans="4:15" x14ac:dyDescent="0.25">
      <c r="D83" s="8"/>
      <c r="E83" s="8"/>
      <c r="F83" s="3"/>
      <c r="G83" s="9"/>
      <c r="O83" s="3"/>
    </row>
    <row r="84" spans="4:15" x14ac:dyDescent="0.25">
      <c r="D84" s="8"/>
      <c r="E84" s="8"/>
      <c r="F84" s="3"/>
      <c r="G84" s="9"/>
      <c r="O84" s="3"/>
    </row>
    <row r="85" spans="4:15" x14ac:dyDescent="0.25">
      <c r="D85" s="8"/>
      <c r="E85" s="8"/>
      <c r="F85" s="3"/>
      <c r="G85" s="9"/>
      <c r="O85" s="3"/>
    </row>
    <row r="86" spans="4:15" x14ac:dyDescent="0.25">
      <c r="D86" s="8"/>
      <c r="E86" s="8"/>
      <c r="F86" s="3"/>
      <c r="G86" s="9"/>
      <c r="O86" s="3"/>
    </row>
    <row r="87" spans="4:15" x14ac:dyDescent="0.25">
      <c r="D87" s="8"/>
      <c r="E87" s="8"/>
      <c r="F87" s="3"/>
      <c r="G87" s="9"/>
      <c r="O87" s="3"/>
    </row>
    <row r="88" spans="4:15" x14ac:dyDescent="0.25">
      <c r="D88" s="8"/>
      <c r="E88" s="8"/>
      <c r="F88" s="3"/>
      <c r="G88" s="9"/>
      <c r="O88" s="3"/>
    </row>
    <row r="89" spans="4:15" x14ac:dyDescent="0.25">
      <c r="D89" s="8"/>
      <c r="E89" s="8"/>
      <c r="F89" s="3"/>
      <c r="G89" s="9"/>
      <c r="O89" s="3"/>
    </row>
    <row r="90" spans="4:15" x14ac:dyDescent="0.25">
      <c r="D90" s="8"/>
      <c r="E90" s="8"/>
      <c r="F90" s="3"/>
      <c r="G90" s="9"/>
      <c r="O90" s="3"/>
    </row>
    <row r="91" spans="4:15" x14ac:dyDescent="0.25">
      <c r="D91" s="8"/>
      <c r="E91" s="8"/>
      <c r="F91" s="3"/>
      <c r="G91" s="9"/>
      <c r="O91" s="3"/>
    </row>
    <row r="92" spans="4:15" x14ac:dyDescent="0.25">
      <c r="D92" s="8"/>
      <c r="E92" s="8"/>
      <c r="F92" s="3"/>
      <c r="G92" s="9"/>
      <c r="O92" s="3"/>
    </row>
    <row r="93" spans="4:15" x14ac:dyDescent="0.25">
      <c r="D93" s="8"/>
      <c r="E93" s="8"/>
      <c r="F93" s="3"/>
      <c r="G93" s="9"/>
      <c r="O93" s="3"/>
    </row>
    <row r="94" spans="4:15" x14ac:dyDescent="0.25">
      <c r="D94" s="8"/>
      <c r="E94" s="8"/>
      <c r="F94" s="3"/>
      <c r="G94" s="9"/>
      <c r="O94" s="3"/>
    </row>
    <row r="95" spans="4:15" x14ac:dyDescent="0.25">
      <c r="D95" s="8"/>
      <c r="E95" s="8"/>
      <c r="F95" s="3"/>
      <c r="G95" s="9"/>
      <c r="O95" s="3"/>
    </row>
    <row r="96" spans="4:15" x14ac:dyDescent="0.25">
      <c r="D96" s="8"/>
      <c r="E96" s="8"/>
      <c r="F96" s="3"/>
      <c r="G96" s="9"/>
      <c r="O96" s="3"/>
    </row>
    <row r="97" spans="4:15" x14ac:dyDescent="0.25">
      <c r="D97" s="8"/>
      <c r="E97" s="8"/>
      <c r="F97" s="3"/>
      <c r="G97" s="9"/>
      <c r="O97" s="3"/>
    </row>
    <row r="98" spans="4:15" x14ac:dyDescent="0.25">
      <c r="D98" s="8"/>
      <c r="E98" s="8"/>
      <c r="F98" s="3"/>
      <c r="G98" s="9"/>
      <c r="O98" s="3"/>
    </row>
    <row r="99" spans="4:15" x14ac:dyDescent="0.25">
      <c r="D99" s="8"/>
      <c r="E99" s="8"/>
      <c r="F99" s="3"/>
      <c r="G99" s="9"/>
      <c r="O99" s="3"/>
    </row>
    <row r="100" spans="4:15" x14ac:dyDescent="0.25">
      <c r="D100" s="8"/>
      <c r="E100" s="8"/>
      <c r="F100" s="3"/>
      <c r="G100" s="9"/>
      <c r="O100" s="3"/>
    </row>
    <row r="101" spans="4:15" x14ac:dyDescent="0.25">
      <c r="D101" s="8"/>
      <c r="E101" s="8"/>
      <c r="F101" s="3"/>
      <c r="G101" s="9"/>
      <c r="O101" s="3"/>
    </row>
    <row r="102" spans="4:15" x14ac:dyDescent="0.25">
      <c r="D102" s="8"/>
      <c r="E102" s="8"/>
      <c r="F102" s="3"/>
      <c r="O102" s="3"/>
    </row>
    <row r="103" spans="4:15" x14ac:dyDescent="0.25">
      <c r="D103" s="8"/>
      <c r="E103" s="8"/>
      <c r="F103" s="3"/>
      <c r="G103" s="9"/>
      <c r="O103" s="3"/>
    </row>
    <row r="104" spans="4:15" x14ac:dyDescent="0.25">
      <c r="D104" s="8"/>
      <c r="E104" s="8"/>
      <c r="F104" s="3"/>
      <c r="G104" s="9"/>
      <c r="O104" s="3"/>
    </row>
    <row r="105" spans="4:15" x14ac:dyDescent="0.25">
      <c r="D105" s="8"/>
      <c r="E105" s="8"/>
      <c r="F105" s="3"/>
      <c r="G105" s="9"/>
      <c r="O105" s="3"/>
    </row>
    <row r="106" spans="4:15" x14ac:dyDescent="0.25">
      <c r="D106" s="8"/>
      <c r="E106" s="8"/>
      <c r="F106" s="3"/>
      <c r="G106" s="9"/>
      <c r="O106" s="3"/>
    </row>
    <row r="107" spans="4:15" x14ac:dyDescent="0.25">
      <c r="D107" s="8"/>
      <c r="E107" s="8"/>
      <c r="F107" s="3"/>
      <c r="G107" s="9"/>
      <c r="O107" s="3"/>
    </row>
    <row r="108" spans="4:15" x14ac:dyDescent="0.25">
      <c r="D108" s="8"/>
      <c r="E108" s="8"/>
      <c r="F108" s="3"/>
      <c r="G108" s="9"/>
      <c r="O108" s="3"/>
    </row>
    <row r="109" spans="4:15" x14ac:dyDescent="0.25">
      <c r="D109" s="8"/>
      <c r="E109" s="8"/>
      <c r="F109" s="3"/>
      <c r="G109" s="9"/>
      <c r="O109" s="3"/>
    </row>
    <row r="110" spans="4:15" x14ac:dyDescent="0.25">
      <c r="D110" s="8"/>
      <c r="E110" s="8"/>
      <c r="F110" s="3"/>
      <c r="G110" s="9"/>
      <c r="O110" s="3"/>
    </row>
    <row r="111" spans="4:15" x14ac:dyDescent="0.25">
      <c r="D111" s="8"/>
      <c r="E111" s="8"/>
      <c r="F111" s="3"/>
      <c r="G111" s="9"/>
      <c r="O111" s="3"/>
    </row>
    <row r="112" spans="4:15" x14ac:dyDescent="0.25">
      <c r="D112" s="8"/>
      <c r="E112" s="8"/>
      <c r="F112" s="3"/>
      <c r="G112" s="9"/>
      <c r="O112" s="3"/>
    </row>
    <row r="113" spans="4:15" x14ac:dyDescent="0.25">
      <c r="D113" s="8"/>
      <c r="E113" s="8"/>
      <c r="F113" s="3"/>
      <c r="G113" s="9"/>
      <c r="O113" s="3"/>
    </row>
    <row r="114" spans="4:15" x14ac:dyDescent="0.25">
      <c r="D114" s="8"/>
      <c r="E114" s="8"/>
      <c r="F114" s="3"/>
      <c r="G114" s="9"/>
      <c r="O114" s="3"/>
    </row>
    <row r="115" spans="4:15" x14ac:dyDescent="0.25">
      <c r="D115" s="8"/>
      <c r="E115" s="8"/>
      <c r="F115" s="3"/>
      <c r="G115" s="9"/>
      <c r="O115" s="3"/>
    </row>
    <row r="116" spans="4:15" x14ac:dyDescent="0.25">
      <c r="D116" s="8"/>
      <c r="E116" s="8"/>
      <c r="F116" s="3"/>
      <c r="G116" s="9"/>
      <c r="O116" s="3"/>
    </row>
    <row r="117" spans="4:15" x14ac:dyDescent="0.25">
      <c r="D117" s="8"/>
      <c r="E117" s="8"/>
      <c r="F117" s="3"/>
      <c r="G117" s="9"/>
      <c r="O117" s="3"/>
    </row>
    <row r="118" spans="4:15" x14ac:dyDescent="0.25">
      <c r="D118" s="8"/>
      <c r="E118" s="8"/>
      <c r="F118" s="3"/>
      <c r="G118" s="9"/>
      <c r="O118" s="3"/>
    </row>
    <row r="119" spans="4:15" x14ac:dyDescent="0.25">
      <c r="D119" s="8"/>
      <c r="E119" s="8"/>
      <c r="F119" s="3"/>
      <c r="G119" s="9"/>
      <c r="O119" s="3"/>
    </row>
    <row r="120" spans="4:15" x14ac:dyDescent="0.25">
      <c r="D120" s="8"/>
      <c r="E120" s="8"/>
      <c r="F120" s="3"/>
      <c r="G120" s="9"/>
      <c r="O120" s="3"/>
    </row>
    <row r="121" spans="4:15" x14ac:dyDescent="0.25">
      <c r="D121" s="8"/>
      <c r="E121" s="8"/>
      <c r="F121" s="3"/>
      <c r="G121" s="9"/>
      <c r="O121" s="3"/>
    </row>
    <row r="122" spans="4:15" x14ac:dyDescent="0.25">
      <c r="D122" s="8"/>
      <c r="E122" s="8"/>
      <c r="F122" s="3"/>
      <c r="G122" s="9"/>
      <c r="O122" s="3"/>
    </row>
    <row r="123" spans="4:15" x14ac:dyDescent="0.25">
      <c r="D123" s="8"/>
      <c r="E123" s="8"/>
      <c r="F123" s="3"/>
      <c r="G123" s="9"/>
      <c r="O123" s="3"/>
    </row>
    <row r="124" spans="4:15" x14ac:dyDescent="0.25">
      <c r="D124" s="8"/>
      <c r="E124" s="8"/>
      <c r="F124" s="3"/>
      <c r="G124" s="9"/>
      <c r="O124" s="3"/>
    </row>
    <row r="125" spans="4:15" x14ac:dyDescent="0.25">
      <c r="D125" s="8"/>
      <c r="E125" s="8"/>
      <c r="F125" s="3"/>
      <c r="G125" s="9"/>
      <c r="O125" s="3"/>
    </row>
    <row r="126" spans="4:15" x14ac:dyDescent="0.25">
      <c r="D126" s="8"/>
      <c r="E126" s="8"/>
      <c r="F126" s="3"/>
      <c r="G126" s="9"/>
      <c r="O126" s="3"/>
    </row>
    <row r="127" spans="4:15" x14ac:dyDescent="0.25">
      <c r="D127" s="8"/>
      <c r="E127" s="8"/>
      <c r="F127" s="3"/>
      <c r="O127" s="3"/>
    </row>
    <row r="128" spans="4:15" x14ac:dyDescent="0.25">
      <c r="D128" s="8"/>
      <c r="E128" s="8"/>
      <c r="F128" s="3"/>
      <c r="G128" s="9"/>
      <c r="O128" s="3"/>
    </row>
    <row r="129" spans="4:15" x14ac:dyDescent="0.25">
      <c r="D129" s="8"/>
      <c r="E129" s="8"/>
      <c r="F129" s="3"/>
      <c r="G129" s="9"/>
      <c r="O129" s="3"/>
    </row>
    <row r="130" spans="4:15" x14ac:dyDescent="0.25">
      <c r="D130" s="8"/>
      <c r="E130" s="8"/>
      <c r="F130" s="3"/>
      <c r="G130" s="9"/>
      <c r="O130" s="3"/>
    </row>
    <row r="131" spans="4:15" x14ac:dyDescent="0.25">
      <c r="D131" s="8"/>
      <c r="E131" s="8"/>
      <c r="F131" s="3"/>
      <c r="G131" s="9"/>
      <c r="O131" s="3"/>
    </row>
    <row r="132" spans="4:15" x14ac:dyDescent="0.25">
      <c r="D132" s="8"/>
      <c r="E132" s="8"/>
      <c r="F132" s="3"/>
      <c r="G132" s="9"/>
      <c r="O132" s="3"/>
    </row>
    <row r="133" spans="4:15" x14ac:dyDescent="0.25">
      <c r="D133" s="8"/>
      <c r="E133" s="8"/>
      <c r="F133" s="3"/>
      <c r="G133" s="9"/>
      <c r="O133" s="3"/>
    </row>
    <row r="134" spans="4:15" x14ac:dyDescent="0.25">
      <c r="D134" s="8"/>
      <c r="E134" s="8"/>
      <c r="F134" s="3"/>
      <c r="G134" s="9"/>
      <c r="O134" s="3"/>
    </row>
    <row r="135" spans="4:15" x14ac:dyDescent="0.25">
      <c r="D135" s="8"/>
      <c r="E135" s="8"/>
      <c r="F135" s="3"/>
      <c r="G135" s="9"/>
      <c r="O135" s="3"/>
    </row>
    <row r="136" spans="4:15" x14ac:dyDescent="0.25">
      <c r="D136" s="8"/>
      <c r="E136" s="8"/>
      <c r="F136" s="3"/>
      <c r="G136" s="9"/>
      <c r="O136" s="3"/>
    </row>
    <row r="137" spans="4:15" x14ac:dyDescent="0.25">
      <c r="D137" s="8"/>
      <c r="E137" s="8"/>
      <c r="F137" s="3"/>
      <c r="G137" s="9"/>
      <c r="O137" s="3"/>
    </row>
    <row r="138" spans="4:15" x14ac:dyDescent="0.25">
      <c r="D138" s="8"/>
      <c r="E138" s="8"/>
      <c r="F138" s="3"/>
      <c r="G138" s="9"/>
      <c r="O138" s="3"/>
    </row>
    <row r="139" spans="4:15" x14ac:dyDescent="0.25">
      <c r="D139" s="8"/>
      <c r="E139" s="8"/>
      <c r="F139" s="3"/>
      <c r="G139" s="9"/>
      <c r="O139" s="3"/>
    </row>
    <row r="140" spans="4:15" x14ac:dyDescent="0.25">
      <c r="D140" s="8"/>
      <c r="E140" s="8"/>
      <c r="F140" s="3"/>
      <c r="G140" s="9"/>
      <c r="O140" s="3"/>
    </row>
    <row r="141" spans="4:15" x14ac:dyDescent="0.25">
      <c r="D141" s="8"/>
      <c r="E141" s="8"/>
      <c r="F141" s="3"/>
      <c r="G141" s="9"/>
      <c r="O141" s="3"/>
    </row>
    <row r="142" spans="4:15" x14ac:dyDescent="0.25">
      <c r="D142" s="8"/>
      <c r="E142" s="8"/>
      <c r="F142" s="3"/>
      <c r="G142" s="9"/>
      <c r="O142" s="3"/>
    </row>
    <row r="143" spans="4:15" x14ac:dyDescent="0.25">
      <c r="D143" s="8"/>
      <c r="E143" s="8"/>
      <c r="F143" s="3"/>
      <c r="G143" s="9"/>
      <c r="O143" s="3"/>
    </row>
    <row r="144" spans="4:15" x14ac:dyDescent="0.25">
      <c r="D144" s="8"/>
      <c r="E144" s="8"/>
      <c r="F144" s="3"/>
      <c r="G144" s="9"/>
      <c r="O144" s="3"/>
    </row>
    <row r="145" spans="4:15" x14ac:dyDescent="0.25">
      <c r="D145" s="8"/>
      <c r="E145" s="8"/>
      <c r="F145" s="3"/>
      <c r="G145" s="9"/>
      <c r="O145" s="3"/>
    </row>
    <row r="146" spans="4:15" x14ac:dyDescent="0.25">
      <c r="D146" s="8"/>
      <c r="E146" s="8"/>
      <c r="F146" s="3"/>
      <c r="G146" s="9"/>
      <c r="O146" s="3"/>
    </row>
    <row r="147" spans="4:15" x14ac:dyDescent="0.25">
      <c r="D147" s="8"/>
      <c r="E147" s="8"/>
      <c r="F147" s="3"/>
      <c r="G147" s="9"/>
      <c r="O147" s="3"/>
    </row>
    <row r="148" spans="4:15" x14ac:dyDescent="0.25">
      <c r="D148" s="8"/>
      <c r="E148" s="8"/>
      <c r="F148" s="3"/>
      <c r="G148" s="9"/>
      <c r="O148" s="3"/>
    </row>
    <row r="149" spans="4:15" x14ac:dyDescent="0.25">
      <c r="D149" s="8"/>
      <c r="E149" s="8"/>
      <c r="F149" s="3"/>
      <c r="G149" s="9"/>
      <c r="O149" s="3"/>
    </row>
    <row r="150" spans="4:15" x14ac:dyDescent="0.25">
      <c r="D150" s="8"/>
      <c r="E150" s="8"/>
      <c r="F150" s="3"/>
      <c r="G150" s="9"/>
      <c r="O150" s="3"/>
    </row>
    <row r="151" spans="4:15" x14ac:dyDescent="0.25">
      <c r="D151" s="8"/>
      <c r="E151" s="8"/>
      <c r="F151" s="3"/>
      <c r="G151" s="9"/>
      <c r="O151" s="3"/>
    </row>
    <row r="152" spans="4:15" x14ac:dyDescent="0.25">
      <c r="D152" s="8"/>
      <c r="E152" s="8"/>
      <c r="F152" s="3"/>
      <c r="O152" s="3"/>
    </row>
    <row r="153" spans="4:15" x14ac:dyDescent="0.25">
      <c r="D153" s="8"/>
      <c r="E153" s="8"/>
      <c r="F153" s="3"/>
      <c r="G153" s="9"/>
      <c r="O153" s="3"/>
    </row>
    <row r="154" spans="4:15" x14ac:dyDescent="0.25">
      <c r="D154" s="8"/>
      <c r="E154" s="8"/>
      <c r="F154" s="3"/>
      <c r="G154" s="9"/>
      <c r="O154" s="3"/>
    </row>
    <row r="155" spans="4:15" x14ac:dyDescent="0.25">
      <c r="D155" s="8"/>
      <c r="E155" s="8"/>
      <c r="F155" s="3"/>
      <c r="G155" s="9"/>
      <c r="O155" s="3"/>
    </row>
    <row r="156" spans="4:15" x14ac:dyDescent="0.25">
      <c r="D156" s="8"/>
      <c r="E156" s="8"/>
      <c r="F156" s="3"/>
      <c r="G156" s="9"/>
      <c r="O156" s="3"/>
    </row>
    <row r="157" spans="4:15" x14ac:dyDescent="0.25">
      <c r="D157" s="8"/>
      <c r="E157" s="8"/>
      <c r="F157" s="3"/>
      <c r="G157" s="9"/>
      <c r="O157" s="3"/>
    </row>
    <row r="158" spans="4:15" x14ac:dyDescent="0.25">
      <c r="D158" s="8"/>
      <c r="E158" s="8"/>
      <c r="F158" s="3"/>
      <c r="G158" s="9"/>
      <c r="O158" s="3"/>
    </row>
    <row r="159" spans="4:15" x14ac:dyDescent="0.25">
      <c r="D159" s="8"/>
      <c r="E159" s="8"/>
      <c r="F159" s="3"/>
      <c r="G159" s="9"/>
      <c r="O159" s="3"/>
    </row>
    <row r="160" spans="4:15" x14ac:dyDescent="0.25">
      <c r="D160" s="8"/>
      <c r="E160" s="8"/>
      <c r="F160" s="3"/>
      <c r="G160" s="9"/>
      <c r="O160" s="3"/>
    </row>
    <row r="161" spans="4:15" x14ac:dyDescent="0.25">
      <c r="D161" s="8"/>
      <c r="E161" s="8"/>
      <c r="F161" s="3"/>
      <c r="G161" s="9"/>
      <c r="O161" s="3"/>
    </row>
    <row r="162" spans="4:15" x14ac:dyDescent="0.25">
      <c r="D162" s="8"/>
      <c r="E162" s="8"/>
      <c r="F162" s="3"/>
      <c r="G162" s="9"/>
      <c r="O162" s="3"/>
    </row>
    <row r="163" spans="4:15" x14ac:dyDescent="0.25">
      <c r="D163" s="8"/>
      <c r="E163" s="8"/>
      <c r="F163" s="3"/>
      <c r="G163" s="9"/>
      <c r="O163" s="3"/>
    </row>
    <row r="164" spans="4:15" x14ac:dyDescent="0.25">
      <c r="D164" s="8"/>
      <c r="E164" s="8"/>
      <c r="F164" s="3"/>
      <c r="G164" s="9"/>
      <c r="O164" s="3"/>
    </row>
    <row r="165" spans="4:15" x14ac:dyDescent="0.25">
      <c r="D165" s="8"/>
      <c r="E165" s="8"/>
      <c r="F165" s="3"/>
      <c r="G165" s="9"/>
      <c r="O165" s="3"/>
    </row>
    <row r="166" spans="4:15" x14ac:dyDescent="0.25">
      <c r="D166" s="8"/>
      <c r="E166" s="8"/>
      <c r="F166" s="3"/>
      <c r="G166" s="9"/>
      <c r="O166" s="3"/>
    </row>
    <row r="167" spans="4:15" x14ac:dyDescent="0.25">
      <c r="D167" s="8"/>
      <c r="E167" s="8"/>
      <c r="F167" s="3"/>
      <c r="G167" s="9"/>
      <c r="O167" s="3"/>
    </row>
    <row r="168" spans="4:15" x14ac:dyDescent="0.25">
      <c r="D168" s="8"/>
      <c r="E168" s="8"/>
      <c r="F168" s="3"/>
      <c r="G168" s="9"/>
      <c r="O168" s="3"/>
    </row>
    <row r="169" spans="4:15" x14ac:dyDescent="0.25">
      <c r="D169" s="8"/>
      <c r="E169" s="8"/>
      <c r="F169" s="3"/>
      <c r="G169" s="9"/>
      <c r="O169" s="3"/>
    </row>
    <row r="170" spans="4:15" x14ac:dyDescent="0.25">
      <c r="D170" s="8"/>
      <c r="E170" s="8"/>
      <c r="F170" s="3"/>
      <c r="G170" s="9"/>
      <c r="O170" s="3"/>
    </row>
    <row r="171" spans="4:15" x14ac:dyDescent="0.25">
      <c r="D171" s="8"/>
      <c r="E171" s="8"/>
      <c r="F171" s="3"/>
      <c r="G171" s="9"/>
      <c r="O171" s="3"/>
    </row>
    <row r="172" spans="4:15" x14ac:dyDescent="0.25">
      <c r="D172" s="8"/>
      <c r="E172" s="8"/>
      <c r="F172" s="3"/>
      <c r="G172" s="9"/>
      <c r="O172" s="3"/>
    </row>
    <row r="173" spans="4:15" x14ac:dyDescent="0.25">
      <c r="D173" s="8"/>
      <c r="E173" s="8"/>
      <c r="F173" s="3"/>
      <c r="G173" s="9"/>
      <c r="O173" s="3"/>
    </row>
    <row r="174" spans="4:15" x14ac:dyDescent="0.25">
      <c r="D174" s="8"/>
      <c r="E174" s="8"/>
      <c r="F174" s="3"/>
      <c r="G174" s="9"/>
      <c r="O174" s="3"/>
    </row>
    <row r="175" spans="4:15" x14ac:dyDescent="0.25">
      <c r="D175" s="8"/>
      <c r="E175" s="8"/>
      <c r="F175" s="3"/>
      <c r="G175" s="9"/>
      <c r="O175" s="3"/>
    </row>
    <row r="176" spans="4:15" x14ac:dyDescent="0.25">
      <c r="D176" s="8"/>
      <c r="E176" s="8"/>
      <c r="F176" s="3"/>
      <c r="G176" s="9"/>
      <c r="O176" s="3"/>
    </row>
    <row r="177" spans="4:15" x14ac:dyDescent="0.25">
      <c r="D177" s="8"/>
      <c r="E177" s="8"/>
      <c r="F177" s="3"/>
      <c r="O177" s="3"/>
    </row>
    <row r="178" spans="4:15" x14ac:dyDescent="0.25">
      <c r="D178" s="8"/>
      <c r="E178" s="8"/>
      <c r="F178" s="3"/>
      <c r="G178" s="9"/>
      <c r="O178" s="3"/>
    </row>
    <row r="179" spans="4:15" x14ac:dyDescent="0.25">
      <c r="D179" s="8"/>
      <c r="E179" s="8"/>
      <c r="F179" s="3"/>
      <c r="G179" s="9"/>
      <c r="O179" s="3"/>
    </row>
    <row r="180" spans="4:15" x14ac:dyDescent="0.25">
      <c r="D180" s="8"/>
      <c r="E180" s="8"/>
      <c r="F180" s="3"/>
      <c r="G180" s="9"/>
      <c r="O180" s="3"/>
    </row>
    <row r="181" spans="4:15" x14ac:dyDescent="0.25">
      <c r="D181" s="8"/>
      <c r="E181" s="8"/>
      <c r="F181" s="3"/>
      <c r="G181" s="9"/>
      <c r="O181" s="3"/>
    </row>
    <row r="182" spans="4:15" x14ac:dyDescent="0.25">
      <c r="D182" s="8"/>
      <c r="E182" s="8"/>
      <c r="F182" s="3"/>
      <c r="G182" s="9"/>
      <c r="O182" s="3"/>
    </row>
    <row r="183" spans="4:15" x14ac:dyDescent="0.25">
      <c r="D183" s="8"/>
      <c r="E183" s="8"/>
      <c r="F183" s="3"/>
      <c r="G183" s="9"/>
      <c r="O183" s="3"/>
    </row>
    <row r="184" spans="4:15" x14ac:dyDescent="0.25">
      <c r="D184" s="8"/>
      <c r="E184" s="8"/>
      <c r="F184" s="3"/>
      <c r="G184" s="9"/>
      <c r="O184" s="3"/>
    </row>
    <row r="185" spans="4:15" x14ac:dyDescent="0.25">
      <c r="D185" s="8"/>
      <c r="E185" s="8"/>
      <c r="F185" s="3"/>
      <c r="G185" s="9"/>
      <c r="O185" s="3"/>
    </row>
    <row r="186" spans="4:15" x14ac:dyDescent="0.25">
      <c r="D186" s="8"/>
      <c r="E186" s="8"/>
      <c r="F186" s="3"/>
      <c r="G186" s="9"/>
      <c r="O186" s="3"/>
    </row>
    <row r="187" spans="4:15" x14ac:dyDescent="0.25">
      <c r="D187" s="8"/>
      <c r="E187" s="8"/>
      <c r="F187" s="3"/>
      <c r="G187" s="9"/>
      <c r="O187" s="3"/>
    </row>
    <row r="188" spans="4:15" x14ac:dyDescent="0.25">
      <c r="D188" s="8"/>
      <c r="E188" s="8"/>
      <c r="F188" s="3"/>
      <c r="G188" s="9"/>
      <c r="O188" s="3"/>
    </row>
    <row r="189" spans="4:15" x14ac:dyDescent="0.25">
      <c r="D189" s="8"/>
      <c r="E189" s="8"/>
      <c r="F189" s="3"/>
      <c r="G189" s="9"/>
      <c r="O189" s="3"/>
    </row>
    <row r="190" spans="4:15" x14ac:dyDescent="0.25">
      <c r="D190" s="8"/>
      <c r="E190" s="8"/>
      <c r="F190" s="3"/>
      <c r="G190" s="9"/>
      <c r="O190" s="3"/>
    </row>
    <row r="191" spans="4:15" x14ac:dyDescent="0.25">
      <c r="D191" s="8"/>
      <c r="E191" s="8"/>
      <c r="F191" s="3"/>
      <c r="G191" s="9"/>
      <c r="O191" s="3"/>
    </row>
    <row r="192" spans="4:15" x14ac:dyDescent="0.25">
      <c r="D192" s="8"/>
      <c r="E192" s="8"/>
      <c r="F192" s="3"/>
      <c r="G192" s="9"/>
      <c r="O192" s="3"/>
    </row>
    <row r="193" spans="4:15" x14ac:dyDescent="0.25">
      <c r="D193" s="8"/>
      <c r="E193" s="8"/>
      <c r="F193" s="3"/>
      <c r="G193" s="9"/>
      <c r="O193" s="3"/>
    </row>
    <row r="194" spans="4:15" x14ac:dyDescent="0.25">
      <c r="D194" s="8"/>
      <c r="E194" s="8"/>
      <c r="F194" s="3"/>
      <c r="G194" s="9"/>
      <c r="O194" s="3"/>
    </row>
    <row r="195" spans="4:15" x14ac:dyDescent="0.25">
      <c r="D195" s="8"/>
      <c r="E195" s="8"/>
      <c r="F195" s="3"/>
      <c r="G195" s="9"/>
      <c r="O195" s="3"/>
    </row>
    <row r="196" spans="4:15" x14ac:dyDescent="0.25">
      <c r="D196" s="8"/>
      <c r="E196" s="8"/>
      <c r="F196" s="3"/>
      <c r="G196" s="9"/>
      <c r="O196" s="3"/>
    </row>
    <row r="197" spans="4:15" x14ac:dyDescent="0.25">
      <c r="D197" s="8"/>
      <c r="E197" s="8"/>
      <c r="F197" s="3"/>
      <c r="G197" s="9"/>
      <c r="O197" s="3"/>
    </row>
    <row r="198" spans="4:15" x14ac:dyDescent="0.25">
      <c r="D198" s="8"/>
      <c r="E198" s="8"/>
      <c r="F198" s="3"/>
      <c r="G198" s="9"/>
      <c r="O198" s="3"/>
    </row>
    <row r="199" spans="4:15" x14ac:dyDescent="0.25">
      <c r="D199" s="8"/>
      <c r="E199" s="8"/>
      <c r="F199" s="3"/>
      <c r="G199" s="9"/>
      <c r="O199" s="3"/>
    </row>
    <row r="200" spans="4:15" x14ac:dyDescent="0.25">
      <c r="D200" s="8"/>
      <c r="E200" s="8"/>
      <c r="F200" s="3"/>
      <c r="G200" s="9"/>
      <c r="O200" s="3"/>
    </row>
    <row r="201" spans="4:15" x14ac:dyDescent="0.25">
      <c r="D201" s="8"/>
      <c r="E201" s="8"/>
      <c r="F201" s="3"/>
      <c r="G201" s="9"/>
      <c r="O201" s="3"/>
    </row>
    <row r="202" spans="4:15" x14ac:dyDescent="0.25">
      <c r="D202" s="8"/>
      <c r="E202" s="8"/>
      <c r="F202" s="3"/>
      <c r="O202" s="3"/>
    </row>
    <row r="203" spans="4:15" x14ac:dyDescent="0.25">
      <c r="D203" s="8"/>
      <c r="E203" s="8"/>
      <c r="F203" s="3"/>
      <c r="G203" s="9"/>
      <c r="O203" s="3"/>
    </row>
    <row r="204" spans="4:15" x14ac:dyDescent="0.25">
      <c r="D204" s="8"/>
      <c r="E204" s="8"/>
      <c r="F204" s="3"/>
      <c r="G204" s="9"/>
      <c r="O204" s="3"/>
    </row>
    <row r="205" spans="4:15" x14ac:dyDescent="0.25">
      <c r="D205" s="8"/>
      <c r="E205" s="8"/>
      <c r="F205" s="3"/>
      <c r="G205" s="9"/>
      <c r="O205" s="3"/>
    </row>
    <row r="206" spans="4:15" x14ac:dyDescent="0.25">
      <c r="D206" s="8"/>
      <c r="E206" s="8"/>
      <c r="F206" s="3"/>
      <c r="G206" s="9"/>
      <c r="O206" s="3"/>
    </row>
    <row r="207" spans="4:15" x14ac:dyDescent="0.25">
      <c r="D207" s="8"/>
      <c r="E207" s="8"/>
      <c r="F207" s="3"/>
      <c r="G207" s="9"/>
      <c r="O207" s="3"/>
    </row>
    <row r="208" spans="4:15" x14ac:dyDescent="0.25">
      <c r="D208" s="8"/>
      <c r="E208" s="8"/>
      <c r="F208" s="3"/>
      <c r="G208" s="9"/>
      <c r="O208" s="3"/>
    </row>
    <row r="209" spans="4:15" x14ac:dyDescent="0.25">
      <c r="D209" s="8"/>
      <c r="E209" s="8"/>
      <c r="F209" s="3"/>
      <c r="G209" s="9"/>
      <c r="O209" s="3"/>
    </row>
    <row r="210" spans="4:15" x14ac:dyDescent="0.25">
      <c r="D210" s="8"/>
      <c r="E210" s="8"/>
      <c r="F210" s="3"/>
      <c r="G210" s="9"/>
      <c r="O210" s="3"/>
    </row>
    <row r="211" spans="4:15" x14ac:dyDescent="0.25">
      <c r="D211" s="8"/>
      <c r="E211" s="8"/>
      <c r="F211" s="3"/>
      <c r="G211" s="9"/>
      <c r="O211" s="3"/>
    </row>
    <row r="212" spans="4:15" x14ac:dyDescent="0.25">
      <c r="D212" s="8"/>
      <c r="E212" s="8"/>
      <c r="F212" s="3"/>
      <c r="G212" s="9"/>
      <c r="O212" s="3"/>
    </row>
    <row r="213" spans="4:15" x14ac:dyDescent="0.25">
      <c r="D213" s="8"/>
      <c r="E213" s="8"/>
      <c r="F213" s="3"/>
      <c r="G213" s="9"/>
      <c r="O213" s="3"/>
    </row>
    <row r="214" spans="4:15" x14ac:dyDescent="0.25">
      <c r="D214" s="8"/>
      <c r="E214" s="8"/>
      <c r="F214" s="3"/>
      <c r="G214" s="9"/>
      <c r="O214" s="3"/>
    </row>
    <row r="215" spans="4:15" x14ac:dyDescent="0.25">
      <c r="D215" s="8"/>
      <c r="E215" s="8"/>
      <c r="F215" s="3"/>
      <c r="G215" s="9"/>
      <c r="O215" s="3"/>
    </row>
    <row r="216" spans="4:15" x14ac:dyDescent="0.25">
      <c r="D216" s="8"/>
      <c r="E216" s="8"/>
      <c r="F216" s="3"/>
      <c r="G216" s="9"/>
      <c r="O216" s="3"/>
    </row>
    <row r="217" spans="4:15" x14ac:dyDescent="0.25">
      <c r="D217" s="8"/>
      <c r="E217" s="8"/>
      <c r="F217" s="3"/>
      <c r="G217" s="9"/>
      <c r="O217" s="3"/>
    </row>
    <row r="218" spans="4:15" x14ac:dyDescent="0.25">
      <c r="D218" s="8"/>
      <c r="E218" s="8"/>
      <c r="F218" s="3"/>
      <c r="G218" s="9"/>
      <c r="O218" s="3"/>
    </row>
    <row r="219" spans="4:15" x14ac:dyDescent="0.25">
      <c r="D219" s="8"/>
      <c r="E219" s="8"/>
      <c r="F219" s="3"/>
      <c r="G219" s="9"/>
      <c r="O219" s="3"/>
    </row>
    <row r="220" spans="4:15" x14ac:dyDescent="0.25">
      <c r="D220" s="8"/>
      <c r="E220" s="8"/>
      <c r="F220" s="3"/>
      <c r="G220" s="9"/>
      <c r="O220" s="3"/>
    </row>
    <row r="221" spans="4:15" x14ac:dyDescent="0.25">
      <c r="D221" s="8"/>
      <c r="E221" s="8"/>
      <c r="F221" s="3"/>
      <c r="G221" s="9"/>
      <c r="O221" s="3"/>
    </row>
    <row r="222" spans="4:15" x14ac:dyDescent="0.25">
      <c r="D222" s="8"/>
      <c r="E222" s="8"/>
      <c r="F222" s="3"/>
      <c r="G222" s="9"/>
      <c r="O222" s="3"/>
    </row>
    <row r="223" spans="4:15" x14ac:dyDescent="0.25">
      <c r="D223" s="8"/>
      <c r="E223" s="8"/>
      <c r="F223" s="3"/>
      <c r="G223" s="9"/>
      <c r="O223" s="3"/>
    </row>
    <row r="224" spans="4:15" x14ac:dyDescent="0.25">
      <c r="D224" s="8"/>
      <c r="E224" s="8"/>
      <c r="F224" s="3"/>
      <c r="G224" s="9"/>
      <c r="O224" s="3"/>
    </row>
    <row r="225" spans="4:15" x14ac:dyDescent="0.25">
      <c r="D225" s="8"/>
      <c r="E225" s="8"/>
      <c r="F225" s="3"/>
      <c r="G225" s="9"/>
      <c r="O225" s="3"/>
    </row>
    <row r="226" spans="4:15" x14ac:dyDescent="0.25">
      <c r="D226" s="8"/>
      <c r="E226" s="8"/>
      <c r="F226" s="3"/>
      <c r="G226" s="9"/>
      <c r="O226" s="3"/>
    </row>
    <row r="227" spans="4:15" x14ac:dyDescent="0.25">
      <c r="D227" s="8"/>
      <c r="E227" s="8"/>
      <c r="F227" s="3"/>
      <c r="O227" s="3"/>
    </row>
    <row r="228" spans="4:15" x14ac:dyDescent="0.25">
      <c r="D228" s="8"/>
      <c r="E228" s="8"/>
      <c r="F228" s="3"/>
      <c r="G228" s="9"/>
      <c r="O228" s="3"/>
    </row>
    <row r="229" spans="4:15" x14ac:dyDescent="0.25">
      <c r="D229" s="8"/>
      <c r="E229" s="8"/>
      <c r="F229" s="3"/>
      <c r="G229" s="9"/>
      <c r="O229" s="3"/>
    </row>
    <row r="230" spans="4:15" x14ac:dyDescent="0.25">
      <c r="D230" s="8"/>
      <c r="E230" s="8"/>
      <c r="F230" s="3"/>
      <c r="G230" s="9"/>
      <c r="O230" s="3"/>
    </row>
    <row r="231" spans="4:15" x14ac:dyDescent="0.25">
      <c r="D231" s="8"/>
      <c r="E231" s="8"/>
      <c r="F231" s="3"/>
      <c r="G231" s="9"/>
      <c r="O231" s="3"/>
    </row>
    <row r="232" spans="4:15" x14ac:dyDescent="0.25">
      <c r="D232" s="8"/>
      <c r="E232" s="8"/>
      <c r="F232" s="3"/>
      <c r="G232" s="9"/>
      <c r="O232" s="3"/>
    </row>
    <row r="233" spans="4:15" x14ac:dyDescent="0.25">
      <c r="D233" s="8"/>
      <c r="E233" s="8"/>
      <c r="F233" s="3"/>
      <c r="G233" s="9"/>
      <c r="O233" s="3"/>
    </row>
    <row r="234" spans="4:15" x14ac:dyDescent="0.25">
      <c r="D234" s="8"/>
      <c r="E234" s="8"/>
      <c r="F234" s="3"/>
      <c r="G234" s="9"/>
      <c r="O234" s="3"/>
    </row>
    <row r="235" spans="4:15" x14ac:dyDescent="0.25">
      <c r="D235" s="8"/>
      <c r="E235" s="8"/>
      <c r="F235" s="3"/>
      <c r="G235" s="9"/>
      <c r="O235" s="3"/>
    </row>
    <row r="236" spans="4:15" x14ac:dyDescent="0.25">
      <c r="D236" s="8"/>
      <c r="E236" s="8"/>
      <c r="F236" s="3"/>
      <c r="G236" s="9"/>
      <c r="O236" s="3"/>
    </row>
    <row r="237" spans="4:15" x14ac:dyDescent="0.25">
      <c r="D237" s="8"/>
      <c r="E237" s="8"/>
      <c r="F237" s="3"/>
      <c r="G237" s="9"/>
      <c r="O237" s="3"/>
    </row>
    <row r="238" spans="4:15" x14ac:dyDescent="0.25">
      <c r="D238" s="8"/>
      <c r="E238" s="8"/>
      <c r="F238" s="3"/>
      <c r="G238" s="9"/>
      <c r="O238" s="3"/>
    </row>
    <row r="239" spans="4:15" x14ac:dyDescent="0.25">
      <c r="D239" s="8"/>
      <c r="E239" s="8"/>
      <c r="F239" s="3"/>
      <c r="G239" s="9"/>
      <c r="O239" s="3"/>
    </row>
    <row r="240" spans="4:15" x14ac:dyDescent="0.25">
      <c r="D240" s="8"/>
      <c r="E240" s="8"/>
      <c r="F240" s="3"/>
      <c r="G240" s="9"/>
      <c r="O240" s="3"/>
    </row>
    <row r="241" spans="4:15" x14ac:dyDescent="0.25">
      <c r="D241" s="8"/>
      <c r="E241" s="8"/>
      <c r="F241" s="3"/>
      <c r="G241" s="9"/>
      <c r="O241" s="3"/>
    </row>
    <row r="242" spans="4:15" x14ac:dyDescent="0.25">
      <c r="D242" s="8"/>
      <c r="E242" s="8"/>
      <c r="F242" s="3"/>
      <c r="G242" s="9"/>
      <c r="O242" s="3"/>
    </row>
    <row r="243" spans="4:15" x14ac:dyDescent="0.25">
      <c r="D243" s="8"/>
      <c r="E243" s="8"/>
      <c r="F243" s="3"/>
      <c r="G243" s="9"/>
      <c r="O243" s="3"/>
    </row>
    <row r="244" spans="4:15" x14ac:dyDescent="0.25">
      <c r="D244" s="8"/>
      <c r="E244" s="8"/>
      <c r="F244" s="3"/>
      <c r="G244" s="9"/>
      <c r="O244" s="3"/>
    </row>
    <row r="245" spans="4:15" x14ac:dyDescent="0.25">
      <c r="D245" s="8"/>
      <c r="E245" s="8"/>
      <c r="F245" s="3"/>
      <c r="G245" s="9"/>
      <c r="O245" s="3"/>
    </row>
    <row r="246" spans="4:15" x14ac:dyDescent="0.25">
      <c r="D246" s="8"/>
      <c r="E246" s="8"/>
      <c r="F246" s="3"/>
      <c r="G246" s="9"/>
      <c r="O246" s="3"/>
    </row>
    <row r="247" spans="4:15" x14ac:dyDescent="0.25">
      <c r="D247" s="8"/>
      <c r="E247" s="8"/>
      <c r="F247" s="3"/>
      <c r="G247" s="9"/>
      <c r="O247" s="3"/>
    </row>
    <row r="248" spans="4:15" x14ac:dyDescent="0.25">
      <c r="D248" s="8"/>
      <c r="E248" s="8"/>
      <c r="F248" s="3"/>
      <c r="G248" s="9"/>
      <c r="O248" s="3"/>
    </row>
    <row r="249" spans="4:15" x14ac:dyDescent="0.25">
      <c r="D249" s="8"/>
      <c r="E249" s="8"/>
      <c r="F249" s="3"/>
      <c r="G249" s="9"/>
      <c r="O249" s="3"/>
    </row>
    <row r="250" spans="4:15" x14ac:dyDescent="0.25">
      <c r="D250" s="8"/>
      <c r="E250" s="8"/>
      <c r="F250" s="3"/>
      <c r="G250" s="9"/>
      <c r="O250" s="3"/>
    </row>
    <row r="251" spans="4:15" x14ac:dyDescent="0.25">
      <c r="D251" s="8"/>
      <c r="E251" s="8"/>
      <c r="F251" s="3"/>
      <c r="G251" s="9"/>
      <c r="O251" s="3"/>
    </row>
    <row r="252" spans="4:15" x14ac:dyDescent="0.25">
      <c r="D252" s="8"/>
      <c r="E252" s="8"/>
      <c r="F252" s="3"/>
      <c r="O252" s="3"/>
    </row>
    <row r="253" spans="4:15" x14ac:dyDescent="0.25">
      <c r="D253" s="8"/>
      <c r="E253" s="8"/>
      <c r="F253" s="3"/>
      <c r="G253" s="9"/>
      <c r="O253" s="3"/>
    </row>
    <row r="254" spans="4:15" x14ac:dyDescent="0.25">
      <c r="D254" s="8"/>
      <c r="E254" s="8"/>
      <c r="F254" s="3"/>
      <c r="G254" s="9"/>
      <c r="O254" s="3"/>
    </row>
    <row r="255" spans="4:15" x14ac:dyDescent="0.25">
      <c r="D255" s="8"/>
      <c r="E255" s="8"/>
      <c r="F255" s="3"/>
      <c r="G255" s="9"/>
      <c r="O255" s="3"/>
    </row>
    <row r="256" spans="4:15" x14ac:dyDescent="0.25">
      <c r="D256" s="8"/>
      <c r="E256" s="8"/>
      <c r="F256" s="3"/>
      <c r="G256" s="9"/>
      <c r="O256" s="3"/>
    </row>
    <row r="257" spans="4:15" x14ac:dyDescent="0.25">
      <c r="D257" s="8"/>
      <c r="E257" s="8"/>
      <c r="F257" s="3"/>
      <c r="G257" s="9"/>
      <c r="O257" s="3"/>
    </row>
    <row r="258" spans="4:15" x14ac:dyDescent="0.25">
      <c r="D258" s="8"/>
      <c r="E258" s="8"/>
      <c r="F258" s="3"/>
      <c r="G258" s="9"/>
      <c r="O258" s="3"/>
    </row>
    <row r="259" spans="4:15" x14ac:dyDescent="0.25">
      <c r="D259" s="8"/>
      <c r="E259" s="8"/>
      <c r="F259" s="3"/>
      <c r="G259" s="9"/>
      <c r="O259" s="3"/>
    </row>
    <row r="260" spans="4:15" x14ac:dyDescent="0.25">
      <c r="D260" s="8"/>
      <c r="E260" s="8"/>
      <c r="F260" s="3"/>
      <c r="G260" s="9"/>
      <c r="O260" s="3"/>
    </row>
    <row r="261" spans="4:15" x14ac:dyDescent="0.25">
      <c r="D261" s="8"/>
      <c r="E261" s="8"/>
      <c r="F261" s="3"/>
      <c r="G261" s="9"/>
      <c r="O261" s="3"/>
    </row>
    <row r="262" spans="4:15" x14ac:dyDescent="0.25">
      <c r="D262" s="8"/>
      <c r="E262" s="8"/>
      <c r="F262" s="3"/>
      <c r="G262" s="9"/>
      <c r="O262" s="3"/>
    </row>
    <row r="263" spans="4:15" x14ac:dyDescent="0.25">
      <c r="D263" s="8"/>
      <c r="E263" s="8"/>
      <c r="F263" s="3"/>
      <c r="G263" s="9"/>
      <c r="O263" s="3"/>
    </row>
    <row r="264" spans="4:15" x14ac:dyDescent="0.25">
      <c r="D264" s="8"/>
      <c r="E264" s="8"/>
      <c r="F264" s="3"/>
      <c r="G264" s="9"/>
      <c r="O264" s="3"/>
    </row>
    <row r="265" spans="4:15" x14ac:dyDescent="0.25">
      <c r="D265" s="8"/>
      <c r="E265" s="8"/>
      <c r="F265" s="3"/>
      <c r="G265" s="9"/>
      <c r="O265" s="3"/>
    </row>
    <row r="266" spans="4:15" x14ac:dyDescent="0.25">
      <c r="D266" s="8"/>
      <c r="E266" s="8"/>
      <c r="F266" s="3"/>
      <c r="G266" s="9"/>
      <c r="O266" s="3"/>
    </row>
    <row r="267" spans="4:15" x14ac:dyDescent="0.25">
      <c r="D267" s="8"/>
      <c r="E267" s="8"/>
      <c r="F267" s="3"/>
      <c r="G267" s="9"/>
      <c r="O267" s="3"/>
    </row>
    <row r="268" spans="4:15" x14ac:dyDescent="0.25">
      <c r="D268" s="8"/>
      <c r="E268" s="8"/>
      <c r="F268" s="3"/>
      <c r="G268" s="9"/>
      <c r="O268" s="3"/>
    </row>
    <row r="269" spans="4:15" x14ac:dyDescent="0.25">
      <c r="D269" s="8"/>
      <c r="E269" s="8"/>
      <c r="F269" s="3"/>
      <c r="G269" s="9"/>
      <c r="O269" s="3"/>
    </row>
    <row r="270" spans="4:15" x14ac:dyDescent="0.25">
      <c r="D270" s="8"/>
      <c r="E270" s="8"/>
      <c r="F270" s="3"/>
      <c r="G270" s="9"/>
      <c r="O270" s="3"/>
    </row>
    <row r="271" spans="4:15" x14ac:dyDescent="0.25">
      <c r="D271" s="8"/>
      <c r="E271" s="8"/>
      <c r="F271" s="3"/>
      <c r="G271" s="9"/>
      <c r="O271" s="3"/>
    </row>
    <row r="272" spans="4:15" x14ac:dyDescent="0.25">
      <c r="D272" s="8"/>
      <c r="E272" s="8"/>
      <c r="F272" s="3"/>
      <c r="G272" s="9"/>
      <c r="O272" s="3"/>
    </row>
    <row r="273" spans="4:15" x14ac:dyDescent="0.25">
      <c r="D273" s="8"/>
      <c r="E273" s="8"/>
      <c r="F273" s="3"/>
      <c r="G273" s="9"/>
      <c r="O273" s="3"/>
    </row>
    <row r="274" spans="4:15" x14ac:dyDescent="0.25">
      <c r="D274" s="8"/>
      <c r="E274" s="8"/>
      <c r="F274" s="3"/>
      <c r="G274" s="9"/>
      <c r="O274" s="3"/>
    </row>
    <row r="275" spans="4:15" x14ac:dyDescent="0.25">
      <c r="D275" s="8"/>
      <c r="E275" s="8"/>
      <c r="F275" s="3"/>
      <c r="G275" s="9"/>
      <c r="O275" s="3"/>
    </row>
    <row r="276" spans="4:15" x14ac:dyDescent="0.25">
      <c r="D276" s="8"/>
      <c r="E276" s="8"/>
      <c r="F276" s="3"/>
      <c r="G276" s="9"/>
      <c r="O276" s="3"/>
    </row>
    <row r="277" spans="4:15" x14ac:dyDescent="0.25">
      <c r="D277" s="8"/>
      <c r="E277" s="8"/>
      <c r="F277" s="3"/>
      <c r="O277" s="3"/>
    </row>
    <row r="278" spans="4:15" x14ac:dyDescent="0.25">
      <c r="D278" s="8"/>
      <c r="E278" s="8"/>
      <c r="F278" s="3"/>
      <c r="G278" s="9"/>
      <c r="O278" s="3"/>
    </row>
    <row r="279" spans="4:15" x14ac:dyDescent="0.25">
      <c r="D279" s="8"/>
      <c r="E279" s="8"/>
      <c r="F279" s="3"/>
      <c r="G279" s="9"/>
      <c r="O279" s="3"/>
    </row>
    <row r="280" spans="4:15" x14ac:dyDescent="0.25">
      <c r="D280" s="8"/>
      <c r="E280" s="8"/>
      <c r="F280" s="3"/>
      <c r="G280" s="9"/>
      <c r="O280" s="3"/>
    </row>
    <row r="281" spans="4:15" x14ac:dyDescent="0.25">
      <c r="D281" s="8"/>
      <c r="E281" s="8"/>
      <c r="F281" s="3"/>
      <c r="G281" s="9"/>
      <c r="O281" s="3"/>
    </row>
    <row r="282" spans="4:15" x14ac:dyDescent="0.25">
      <c r="D282" s="8"/>
      <c r="E282" s="8"/>
      <c r="F282" s="3"/>
      <c r="G282" s="9"/>
      <c r="O282" s="3"/>
    </row>
    <row r="283" spans="4:15" x14ac:dyDescent="0.25">
      <c r="D283" s="8"/>
      <c r="E283" s="8"/>
      <c r="F283" s="3"/>
      <c r="G283" s="9"/>
      <c r="O283" s="3"/>
    </row>
    <row r="284" spans="4:15" x14ac:dyDescent="0.25">
      <c r="D284" s="8"/>
      <c r="E284" s="8"/>
      <c r="F284" s="3"/>
      <c r="G284" s="9"/>
      <c r="O284" s="3"/>
    </row>
    <row r="285" spans="4:15" x14ac:dyDescent="0.25">
      <c r="D285" s="8"/>
      <c r="E285" s="8"/>
      <c r="F285" s="3"/>
      <c r="G285" s="9"/>
      <c r="O285" s="3"/>
    </row>
    <row r="286" spans="4:15" x14ac:dyDescent="0.25">
      <c r="D286" s="8"/>
      <c r="E286" s="8"/>
      <c r="F286" s="3"/>
      <c r="G286" s="9"/>
      <c r="O286" s="3"/>
    </row>
    <row r="287" spans="4:15" x14ac:dyDescent="0.25">
      <c r="D287" s="8"/>
      <c r="E287" s="8"/>
      <c r="F287" s="3"/>
      <c r="G287" s="9"/>
      <c r="O287" s="3"/>
    </row>
    <row r="288" spans="4:15" x14ac:dyDescent="0.25">
      <c r="D288" s="8"/>
      <c r="E288" s="8"/>
      <c r="F288" s="3"/>
      <c r="G288" s="9"/>
      <c r="O288" s="3"/>
    </row>
    <row r="289" spans="4:15" x14ac:dyDescent="0.25">
      <c r="D289" s="8"/>
      <c r="E289" s="8"/>
      <c r="F289" s="3"/>
      <c r="G289" s="9"/>
      <c r="O289" s="3"/>
    </row>
    <row r="290" spans="4:15" x14ac:dyDescent="0.25">
      <c r="D290" s="8"/>
      <c r="E290" s="8"/>
      <c r="F290" s="3"/>
      <c r="G290" s="9"/>
      <c r="O290" s="3"/>
    </row>
    <row r="291" spans="4:15" x14ac:dyDescent="0.25">
      <c r="D291" s="8"/>
      <c r="E291" s="8"/>
      <c r="F291" s="3"/>
      <c r="G291" s="9"/>
      <c r="O291" s="3"/>
    </row>
    <row r="292" spans="4:15" x14ac:dyDescent="0.25">
      <c r="D292" s="8"/>
      <c r="E292" s="8"/>
      <c r="F292" s="3"/>
      <c r="G292" s="9"/>
      <c r="O292" s="3"/>
    </row>
    <row r="293" spans="4:15" x14ac:dyDescent="0.25">
      <c r="D293" s="8"/>
      <c r="E293" s="8"/>
      <c r="F293" s="3"/>
      <c r="G293" s="9"/>
      <c r="O293" s="3"/>
    </row>
    <row r="294" spans="4:15" x14ac:dyDescent="0.25">
      <c r="D294" s="8"/>
      <c r="E294" s="8"/>
      <c r="F294" s="3"/>
      <c r="G294" s="9"/>
      <c r="O294" s="3"/>
    </row>
    <row r="295" spans="4:15" x14ac:dyDescent="0.25">
      <c r="D295" s="8"/>
      <c r="E295" s="8"/>
      <c r="F295" s="3"/>
      <c r="G295" s="9"/>
      <c r="O295" s="3"/>
    </row>
    <row r="296" spans="4:15" x14ac:dyDescent="0.25">
      <c r="D296" s="8"/>
      <c r="E296" s="8"/>
      <c r="F296" s="3"/>
      <c r="G296" s="9"/>
      <c r="O296" s="3"/>
    </row>
    <row r="297" spans="4:15" x14ac:dyDescent="0.25">
      <c r="D297" s="8"/>
      <c r="E297" s="8"/>
      <c r="F297" s="3"/>
      <c r="G297" s="9"/>
      <c r="O297" s="3"/>
    </row>
    <row r="298" spans="4:15" x14ac:dyDescent="0.25">
      <c r="D298" s="8"/>
      <c r="E298" s="8"/>
      <c r="F298" s="3"/>
      <c r="G298" s="9"/>
      <c r="O298" s="3"/>
    </row>
    <row r="299" spans="4:15" x14ac:dyDescent="0.25">
      <c r="D299" s="8"/>
      <c r="E299" s="8"/>
      <c r="F299" s="3"/>
      <c r="G299" s="9"/>
      <c r="O299" s="3"/>
    </row>
    <row r="300" spans="4:15" x14ac:dyDescent="0.25">
      <c r="D300" s="8"/>
      <c r="E300" s="8"/>
      <c r="F300" s="3"/>
      <c r="G300" s="9"/>
      <c r="O300" s="3"/>
    </row>
    <row r="301" spans="4:15" x14ac:dyDescent="0.25">
      <c r="D301" s="8"/>
      <c r="E301" s="8"/>
      <c r="F301" s="3"/>
      <c r="G301" s="9"/>
      <c r="O301" s="3"/>
    </row>
    <row r="302" spans="4:15" x14ac:dyDescent="0.25">
      <c r="D302" s="8"/>
      <c r="E302" s="8"/>
      <c r="F302" s="3"/>
      <c r="O302" s="3"/>
    </row>
    <row r="303" spans="4:15" x14ac:dyDescent="0.25">
      <c r="D303" s="8"/>
      <c r="E303" s="8"/>
      <c r="F303" s="3"/>
      <c r="G303" s="9"/>
      <c r="O303" s="3"/>
    </row>
    <row r="304" spans="4:15" x14ac:dyDescent="0.25">
      <c r="D304" s="8"/>
      <c r="E304" s="8"/>
      <c r="F304" s="3"/>
      <c r="G304" s="9"/>
      <c r="O304" s="3"/>
    </row>
    <row r="305" spans="4:15" x14ac:dyDescent="0.25">
      <c r="D305" s="8"/>
      <c r="E305" s="8"/>
      <c r="F305" s="3"/>
      <c r="G305" s="9"/>
      <c r="O305" s="3"/>
    </row>
    <row r="306" spans="4:15" x14ac:dyDescent="0.25">
      <c r="D306" s="8"/>
      <c r="E306" s="8"/>
      <c r="F306" s="3"/>
      <c r="G306" s="9"/>
      <c r="O306" s="3"/>
    </row>
    <row r="307" spans="4:15" x14ac:dyDescent="0.25">
      <c r="D307" s="8"/>
      <c r="E307" s="8"/>
      <c r="F307" s="3"/>
      <c r="G307" s="9"/>
      <c r="O307" s="3"/>
    </row>
    <row r="308" spans="4:15" x14ac:dyDescent="0.25">
      <c r="D308" s="8"/>
      <c r="E308" s="8"/>
      <c r="F308" s="3"/>
      <c r="G308" s="9"/>
      <c r="O308" s="3"/>
    </row>
    <row r="309" spans="4:15" x14ac:dyDescent="0.25">
      <c r="D309" s="8"/>
      <c r="E309" s="8"/>
      <c r="F309" s="3"/>
      <c r="G309" s="9"/>
      <c r="O309" s="3"/>
    </row>
    <row r="310" spans="4:15" x14ac:dyDescent="0.25">
      <c r="D310" s="8"/>
      <c r="E310" s="8"/>
      <c r="F310" s="3"/>
      <c r="G310" s="9"/>
      <c r="O310" s="3"/>
    </row>
    <row r="311" spans="4:15" x14ac:dyDescent="0.25">
      <c r="D311" s="8"/>
      <c r="E311" s="8"/>
      <c r="F311" s="3"/>
      <c r="G311" s="9"/>
      <c r="O311" s="3"/>
    </row>
    <row r="312" spans="4:15" x14ac:dyDescent="0.25">
      <c r="D312" s="8"/>
      <c r="E312" s="8"/>
      <c r="F312" s="3"/>
      <c r="G312" s="9"/>
      <c r="O312" s="3"/>
    </row>
    <row r="313" spans="4:15" x14ac:dyDescent="0.25">
      <c r="D313" s="8"/>
      <c r="E313" s="8"/>
      <c r="F313" s="3"/>
      <c r="G313" s="9"/>
      <c r="O313" s="3"/>
    </row>
    <row r="314" spans="4:15" x14ac:dyDescent="0.25">
      <c r="D314" s="8"/>
      <c r="E314" s="8"/>
      <c r="F314" s="3"/>
      <c r="G314" s="9"/>
      <c r="O314" s="3"/>
    </row>
    <row r="315" spans="4:15" x14ac:dyDescent="0.25">
      <c r="D315" s="8"/>
      <c r="E315" s="8"/>
      <c r="F315" s="3"/>
      <c r="G315" s="9"/>
      <c r="O315" s="3"/>
    </row>
    <row r="316" spans="4:15" x14ac:dyDescent="0.25">
      <c r="D316" s="8"/>
      <c r="E316" s="8"/>
      <c r="F316" s="3"/>
      <c r="G316" s="9"/>
      <c r="O316" s="3"/>
    </row>
    <row r="317" spans="4:15" x14ac:dyDescent="0.25">
      <c r="D317" s="8"/>
      <c r="E317" s="8"/>
      <c r="F317" s="3"/>
      <c r="G317" s="9"/>
      <c r="O317" s="3"/>
    </row>
    <row r="318" spans="4:15" x14ac:dyDescent="0.25">
      <c r="D318" s="8"/>
      <c r="E318" s="8"/>
      <c r="F318" s="3"/>
      <c r="G318" s="9"/>
      <c r="O318" s="3"/>
    </row>
    <row r="319" spans="4:15" x14ac:dyDescent="0.25">
      <c r="D319" s="8"/>
      <c r="E319" s="8"/>
      <c r="F319" s="3"/>
      <c r="G319" s="9"/>
      <c r="O319" s="3"/>
    </row>
    <row r="320" spans="4:15" x14ac:dyDescent="0.25">
      <c r="D320" s="8"/>
      <c r="E320" s="8"/>
      <c r="F320" s="3"/>
      <c r="G320" s="9"/>
      <c r="O320" s="3"/>
    </row>
    <row r="321" spans="4:15" x14ac:dyDescent="0.25">
      <c r="D321" s="8"/>
      <c r="E321" s="8"/>
      <c r="F321" s="3"/>
      <c r="G321" s="9"/>
      <c r="O321" s="3"/>
    </row>
    <row r="322" spans="4:15" x14ac:dyDescent="0.25">
      <c r="D322" s="8"/>
      <c r="E322" s="8"/>
      <c r="F322" s="3"/>
      <c r="G322" s="9"/>
      <c r="O322" s="3"/>
    </row>
    <row r="323" spans="4:15" x14ac:dyDescent="0.25">
      <c r="D323" s="8"/>
      <c r="E323" s="8"/>
      <c r="F323" s="3"/>
      <c r="G323" s="9"/>
      <c r="O323" s="3"/>
    </row>
    <row r="324" spans="4:15" x14ac:dyDescent="0.25">
      <c r="D324" s="8"/>
      <c r="E324" s="8"/>
      <c r="F324" s="3"/>
      <c r="G324" s="9"/>
      <c r="O324" s="3"/>
    </row>
    <row r="325" spans="4:15" x14ac:dyDescent="0.25">
      <c r="D325" s="8"/>
      <c r="E325" s="8"/>
      <c r="F325" s="3"/>
      <c r="G325" s="9"/>
      <c r="O325" s="3"/>
    </row>
    <row r="326" spans="4:15" x14ac:dyDescent="0.25">
      <c r="D326" s="8"/>
      <c r="E326" s="8"/>
      <c r="F326" s="3"/>
      <c r="G326" s="9"/>
      <c r="O326" s="3"/>
    </row>
    <row r="327" spans="4:15" x14ac:dyDescent="0.25">
      <c r="D327" s="8"/>
      <c r="E327" s="8"/>
      <c r="F327" s="3"/>
      <c r="O327" s="3"/>
    </row>
    <row r="328" spans="4:15" x14ac:dyDescent="0.25">
      <c r="D328" s="8"/>
      <c r="E328" s="8"/>
      <c r="F328" s="3"/>
      <c r="G328" s="9"/>
      <c r="O328" s="3"/>
    </row>
    <row r="329" spans="4:15" x14ac:dyDescent="0.25">
      <c r="D329" s="8"/>
      <c r="E329" s="8"/>
      <c r="F329" s="3"/>
      <c r="G329" s="9"/>
      <c r="O329" s="3"/>
    </row>
    <row r="330" spans="4:15" x14ac:dyDescent="0.25">
      <c r="D330" s="8"/>
      <c r="E330" s="8"/>
      <c r="F330" s="3"/>
      <c r="G330" s="9"/>
      <c r="O330" s="3"/>
    </row>
    <row r="331" spans="4:15" x14ac:dyDescent="0.25">
      <c r="D331" s="8"/>
      <c r="E331" s="8"/>
      <c r="F331" s="3"/>
      <c r="G331" s="9"/>
      <c r="O331" s="3"/>
    </row>
    <row r="332" spans="4:15" x14ac:dyDescent="0.25">
      <c r="D332" s="8"/>
      <c r="E332" s="8"/>
      <c r="F332" s="3"/>
      <c r="G332" s="9"/>
      <c r="O332" s="3"/>
    </row>
    <row r="333" spans="4:15" x14ac:dyDescent="0.25">
      <c r="D333" s="8"/>
      <c r="E333" s="8"/>
      <c r="F333" s="3"/>
      <c r="G333" s="9"/>
      <c r="O333" s="3"/>
    </row>
    <row r="334" spans="4:15" x14ac:dyDescent="0.25">
      <c r="D334" s="8"/>
      <c r="E334" s="8"/>
      <c r="F334" s="3"/>
      <c r="G334" s="9"/>
      <c r="O334" s="3"/>
    </row>
    <row r="335" spans="4:15" x14ac:dyDescent="0.25">
      <c r="D335" s="8"/>
      <c r="E335" s="8"/>
      <c r="F335" s="3"/>
      <c r="G335" s="9"/>
      <c r="O335" s="3"/>
    </row>
    <row r="336" spans="4:15" x14ac:dyDescent="0.25">
      <c r="D336" s="8"/>
      <c r="E336" s="8"/>
      <c r="F336" s="3"/>
      <c r="G336" s="9"/>
      <c r="O336" s="3"/>
    </row>
    <row r="337" spans="4:15" x14ac:dyDescent="0.25">
      <c r="D337" s="8"/>
      <c r="E337" s="8"/>
      <c r="F337" s="3"/>
      <c r="G337" s="9"/>
      <c r="O337" s="3"/>
    </row>
    <row r="338" spans="4:15" x14ac:dyDescent="0.25">
      <c r="D338" s="8"/>
      <c r="E338" s="8"/>
      <c r="F338" s="3"/>
      <c r="G338" s="9"/>
      <c r="O338" s="3"/>
    </row>
    <row r="339" spans="4:15" x14ac:dyDescent="0.25">
      <c r="D339" s="8"/>
      <c r="E339" s="8"/>
      <c r="F339" s="3"/>
      <c r="G339" s="9"/>
      <c r="O339" s="3"/>
    </row>
    <row r="340" spans="4:15" x14ac:dyDescent="0.25">
      <c r="D340" s="8"/>
      <c r="E340" s="8"/>
      <c r="F340" s="3"/>
      <c r="G340" s="9"/>
      <c r="O340" s="3"/>
    </row>
    <row r="341" spans="4:15" x14ac:dyDescent="0.25">
      <c r="D341" s="8"/>
      <c r="E341" s="8"/>
      <c r="F341" s="3"/>
      <c r="G341" s="9"/>
      <c r="O341" s="3"/>
    </row>
    <row r="342" spans="4:15" x14ac:dyDescent="0.25">
      <c r="D342" s="8"/>
      <c r="E342" s="8"/>
      <c r="F342" s="3"/>
      <c r="G342" s="9"/>
      <c r="O342" s="3"/>
    </row>
    <row r="343" spans="4:15" x14ac:dyDescent="0.25">
      <c r="D343" s="8"/>
      <c r="E343" s="8"/>
      <c r="F343" s="3"/>
      <c r="G343" s="9"/>
      <c r="O343" s="3"/>
    </row>
    <row r="344" spans="4:15" x14ac:dyDescent="0.25">
      <c r="D344" s="8"/>
      <c r="E344" s="8"/>
      <c r="F344" s="3"/>
      <c r="G344" s="9"/>
      <c r="O344" s="3"/>
    </row>
    <row r="345" spans="4:15" x14ac:dyDescent="0.25">
      <c r="D345" s="8"/>
      <c r="E345" s="8"/>
      <c r="F345" s="3"/>
      <c r="G345" s="9"/>
      <c r="O345" s="3"/>
    </row>
    <row r="346" spans="4:15" x14ac:dyDescent="0.25">
      <c r="D346" s="8"/>
      <c r="E346" s="8"/>
      <c r="F346" s="3"/>
      <c r="G346" s="9"/>
      <c r="O346" s="3"/>
    </row>
    <row r="347" spans="4:15" x14ac:dyDescent="0.25">
      <c r="D347" s="8"/>
      <c r="E347" s="8"/>
      <c r="F347" s="3"/>
      <c r="G347" s="9"/>
      <c r="O347" s="3"/>
    </row>
    <row r="348" spans="4:15" x14ac:dyDescent="0.25">
      <c r="D348" s="8"/>
      <c r="E348" s="8"/>
      <c r="F348" s="3"/>
      <c r="G348" s="9"/>
      <c r="O348" s="3"/>
    </row>
    <row r="349" spans="4:15" x14ac:dyDescent="0.25">
      <c r="D349" s="8"/>
      <c r="E349" s="8"/>
      <c r="F349" s="3"/>
      <c r="G349" s="9"/>
      <c r="O349" s="3"/>
    </row>
    <row r="350" spans="4:15" x14ac:dyDescent="0.25">
      <c r="D350" s="8"/>
      <c r="E350" s="8"/>
      <c r="F350" s="3"/>
      <c r="G350" s="9"/>
      <c r="O350" s="3"/>
    </row>
    <row r="351" spans="4:15" x14ac:dyDescent="0.25">
      <c r="D351" s="8"/>
      <c r="E351" s="8"/>
      <c r="F351" s="3"/>
      <c r="G351" s="9"/>
      <c r="O351" s="3"/>
    </row>
    <row r="352" spans="4:15" x14ac:dyDescent="0.25">
      <c r="D352" s="8"/>
      <c r="E352" s="8"/>
      <c r="F352" s="3"/>
      <c r="O352" s="3"/>
    </row>
    <row r="353" spans="4:15" x14ac:dyDescent="0.25">
      <c r="D353" s="8"/>
      <c r="E353" s="8"/>
      <c r="F353" s="3"/>
      <c r="G353" s="9"/>
      <c r="O353" s="3"/>
    </row>
    <row r="354" spans="4:15" x14ac:dyDescent="0.25">
      <c r="D354" s="8"/>
      <c r="E354" s="8"/>
      <c r="F354" s="3"/>
      <c r="G354" s="9"/>
      <c r="O354" s="3"/>
    </row>
    <row r="355" spans="4:15" x14ac:dyDescent="0.25">
      <c r="D355" s="8"/>
      <c r="E355" s="8"/>
      <c r="F355" s="3"/>
      <c r="G355" s="9"/>
      <c r="O355" s="3"/>
    </row>
    <row r="356" spans="4:15" x14ac:dyDescent="0.25">
      <c r="D356" s="8"/>
      <c r="E356" s="8"/>
      <c r="F356" s="3"/>
      <c r="G356" s="9"/>
      <c r="O356" s="3"/>
    </row>
    <row r="357" spans="4:15" x14ac:dyDescent="0.25">
      <c r="D357" s="8"/>
      <c r="E357" s="8"/>
      <c r="F357" s="3"/>
      <c r="G357" s="9"/>
      <c r="O357" s="3"/>
    </row>
    <row r="358" spans="4:15" x14ac:dyDescent="0.25">
      <c r="D358" s="8"/>
      <c r="E358" s="8"/>
      <c r="F358" s="3"/>
      <c r="G358" s="9"/>
      <c r="O358" s="3"/>
    </row>
    <row r="359" spans="4:15" x14ac:dyDescent="0.25">
      <c r="D359" s="8"/>
      <c r="E359" s="8"/>
      <c r="F359" s="3"/>
      <c r="G359" s="9"/>
      <c r="O359" s="3"/>
    </row>
    <row r="360" spans="4:15" x14ac:dyDescent="0.25">
      <c r="D360" s="8"/>
      <c r="E360" s="8"/>
      <c r="F360" s="3"/>
      <c r="G360" s="9"/>
      <c r="O360" s="3"/>
    </row>
    <row r="361" spans="4:15" x14ac:dyDescent="0.25">
      <c r="D361" s="8"/>
      <c r="E361" s="8"/>
      <c r="F361" s="3"/>
      <c r="G361" s="9"/>
      <c r="O361" s="3"/>
    </row>
    <row r="362" spans="4:15" x14ac:dyDescent="0.25">
      <c r="D362" s="8"/>
      <c r="E362" s="8"/>
      <c r="F362" s="3"/>
      <c r="G362" s="9"/>
      <c r="O362" s="3"/>
    </row>
    <row r="363" spans="4:15" x14ac:dyDescent="0.25">
      <c r="D363" s="8"/>
      <c r="E363" s="8"/>
      <c r="F363" s="3"/>
      <c r="G363" s="9"/>
      <c r="O363" s="3"/>
    </row>
    <row r="364" spans="4:15" x14ac:dyDescent="0.25">
      <c r="D364" s="8"/>
      <c r="E364" s="8"/>
      <c r="F364" s="3"/>
      <c r="G364" s="9"/>
      <c r="O364" s="3"/>
    </row>
    <row r="365" spans="4:15" x14ac:dyDescent="0.25">
      <c r="D365" s="8"/>
      <c r="E365" s="8"/>
      <c r="F365" s="3"/>
      <c r="G365" s="9"/>
      <c r="O365" s="3"/>
    </row>
    <row r="366" spans="4:15" x14ac:dyDescent="0.25">
      <c r="D366" s="8"/>
      <c r="E366" s="8"/>
      <c r="F366" s="3"/>
      <c r="G366" s="9"/>
      <c r="O366" s="3"/>
    </row>
    <row r="367" spans="4:15" x14ac:dyDescent="0.25">
      <c r="D367" s="8"/>
      <c r="E367" s="8"/>
      <c r="F367" s="3"/>
      <c r="G367" s="9"/>
      <c r="O367" s="3"/>
    </row>
    <row r="368" spans="4:15" x14ac:dyDescent="0.25">
      <c r="D368" s="8"/>
      <c r="E368" s="8"/>
      <c r="F368" s="3"/>
      <c r="G368" s="9"/>
      <c r="O368" s="3"/>
    </row>
    <row r="369" spans="4:15" x14ac:dyDescent="0.25">
      <c r="D369" s="8"/>
      <c r="E369" s="8"/>
      <c r="F369" s="3"/>
      <c r="G369" s="9"/>
      <c r="O369" s="3"/>
    </row>
    <row r="370" spans="4:15" x14ac:dyDescent="0.25">
      <c r="D370" s="8"/>
      <c r="E370" s="8"/>
      <c r="F370" s="3"/>
      <c r="G370" s="9"/>
      <c r="O370" s="3"/>
    </row>
    <row r="371" spans="4:15" x14ac:dyDescent="0.25">
      <c r="D371" s="8"/>
      <c r="E371" s="8"/>
      <c r="F371" s="3"/>
      <c r="G371" s="9"/>
      <c r="O371" s="3"/>
    </row>
    <row r="372" spans="4:15" x14ac:dyDescent="0.25">
      <c r="D372" s="8"/>
      <c r="E372" s="8"/>
      <c r="F372" s="3"/>
      <c r="G372" s="9"/>
      <c r="O372" s="3"/>
    </row>
    <row r="373" spans="4:15" x14ac:dyDescent="0.25">
      <c r="D373" s="8"/>
      <c r="E373" s="8"/>
      <c r="F373" s="3"/>
      <c r="G373" s="9"/>
      <c r="O373" s="3"/>
    </row>
    <row r="374" spans="4:15" x14ac:dyDescent="0.25">
      <c r="D374" s="8"/>
      <c r="E374" s="8"/>
      <c r="F374" s="3"/>
      <c r="G374" s="9"/>
      <c r="O374" s="3"/>
    </row>
    <row r="375" spans="4:15" x14ac:dyDescent="0.25">
      <c r="D375" s="8"/>
      <c r="E375" s="8"/>
      <c r="F375" s="3"/>
      <c r="G375" s="9"/>
      <c r="O375" s="3"/>
    </row>
    <row r="376" spans="4:15" x14ac:dyDescent="0.25">
      <c r="D376" s="8"/>
      <c r="E376" s="8"/>
      <c r="F376" s="3"/>
      <c r="G376" s="9"/>
      <c r="O376" s="3"/>
    </row>
    <row r="377" spans="4:15" x14ac:dyDescent="0.25">
      <c r="D377" s="8"/>
      <c r="E377" s="8"/>
      <c r="F377" s="3"/>
      <c r="O377" s="3"/>
    </row>
    <row r="378" spans="4:15" x14ac:dyDescent="0.25">
      <c r="D378" s="8"/>
      <c r="E378" s="8"/>
      <c r="F378" s="3"/>
      <c r="G378" s="9"/>
      <c r="O378" s="3"/>
    </row>
    <row r="379" spans="4:15" x14ac:dyDescent="0.25">
      <c r="D379" s="8"/>
      <c r="E379" s="8"/>
      <c r="F379" s="3"/>
      <c r="G379" s="9"/>
      <c r="O379" s="3"/>
    </row>
    <row r="380" spans="4:15" x14ac:dyDescent="0.25">
      <c r="D380" s="8"/>
      <c r="E380" s="8"/>
      <c r="F380" s="3"/>
      <c r="G380" s="9"/>
      <c r="O380" s="3"/>
    </row>
    <row r="381" spans="4:15" x14ac:dyDescent="0.25">
      <c r="D381" s="8"/>
      <c r="E381" s="8"/>
      <c r="F381" s="3"/>
      <c r="G381" s="9"/>
      <c r="O381" s="3"/>
    </row>
    <row r="382" spans="4:15" x14ac:dyDescent="0.25">
      <c r="D382" s="8"/>
      <c r="E382" s="8"/>
      <c r="F382" s="3"/>
      <c r="G382" s="9"/>
      <c r="O382" s="3"/>
    </row>
    <row r="383" spans="4:15" x14ac:dyDescent="0.25">
      <c r="D383" s="8"/>
      <c r="E383" s="8"/>
      <c r="F383" s="3"/>
      <c r="G383" s="9"/>
      <c r="O383" s="3"/>
    </row>
    <row r="384" spans="4:15" x14ac:dyDescent="0.25">
      <c r="D384" s="8"/>
      <c r="E384" s="8"/>
      <c r="F384" s="3"/>
      <c r="G384" s="9"/>
      <c r="O384" s="3"/>
    </row>
    <row r="385" spans="4:15" x14ac:dyDescent="0.25">
      <c r="D385" s="8"/>
      <c r="E385" s="8"/>
      <c r="F385" s="3"/>
      <c r="G385" s="9"/>
      <c r="O385" s="3"/>
    </row>
    <row r="386" spans="4:15" x14ac:dyDescent="0.25">
      <c r="D386" s="8"/>
      <c r="E386" s="8"/>
      <c r="F386" s="3"/>
      <c r="G386" s="9"/>
      <c r="O386" s="3"/>
    </row>
    <row r="387" spans="4:15" x14ac:dyDescent="0.25">
      <c r="D387" s="8"/>
      <c r="E387" s="8"/>
      <c r="F387" s="3"/>
      <c r="G387" s="9"/>
      <c r="O387" s="3"/>
    </row>
    <row r="388" spans="4:15" x14ac:dyDescent="0.25">
      <c r="D388" s="8"/>
      <c r="E388" s="8"/>
      <c r="F388" s="3"/>
      <c r="G388" s="9"/>
      <c r="O388" s="3"/>
    </row>
    <row r="389" spans="4:15" x14ac:dyDescent="0.25">
      <c r="D389" s="8"/>
      <c r="E389" s="8"/>
      <c r="F389" s="3"/>
      <c r="G389" s="9"/>
      <c r="O389" s="3"/>
    </row>
    <row r="390" spans="4:15" x14ac:dyDescent="0.25">
      <c r="D390" s="8"/>
      <c r="E390" s="8"/>
      <c r="F390" s="3"/>
      <c r="G390" s="9"/>
      <c r="O390" s="3"/>
    </row>
    <row r="391" spans="4:15" x14ac:dyDescent="0.25">
      <c r="D391" s="8"/>
      <c r="E391" s="8"/>
      <c r="F391" s="3"/>
      <c r="G391" s="9"/>
      <c r="O391" s="3"/>
    </row>
    <row r="392" spans="4:15" x14ac:dyDescent="0.25">
      <c r="D392" s="8"/>
      <c r="E392" s="8"/>
      <c r="F392" s="3"/>
      <c r="G392" s="9"/>
      <c r="O392" s="3"/>
    </row>
    <row r="393" spans="4:15" x14ac:dyDescent="0.25">
      <c r="D393" s="8"/>
      <c r="E393" s="8"/>
      <c r="F393" s="3"/>
      <c r="G393" s="9"/>
      <c r="O393" s="3"/>
    </row>
    <row r="394" spans="4:15" x14ac:dyDescent="0.25">
      <c r="D394" s="8"/>
      <c r="E394" s="8"/>
      <c r="F394" s="3"/>
      <c r="G394" s="9"/>
      <c r="O394" s="3"/>
    </row>
    <row r="395" spans="4:15" x14ac:dyDescent="0.25">
      <c r="D395" s="8"/>
      <c r="E395" s="8"/>
      <c r="F395" s="3"/>
      <c r="G395" s="9"/>
      <c r="O395" s="3"/>
    </row>
    <row r="396" spans="4:15" x14ac:dyDescent="0.25">
      <c r="D396" s="8"/>
      <c r="E396" s="8"/>
      <c r="F396" s="3"/>
      <c r="G396" s="9"/>
      <c r="O396" s="3"/>
    </row>
    <row r="397" spans="4:15" x14ac:dyDescent="0.25">
      <c r="D397" s="8"/>
      <c r="E397" s="8"/>
      <c r="F397" s="3"/>
      <c r="G397" s="9"/>
      <c r="O397" s="3"/>
    </row>
    <row r="398" spans="4:15" x14ac:dyDescent="0.25">
      <c r="D398" s="8"/>
      <c r="E398" s="8"/>
      <c r="F398" s="3"/>
      <c r="G398" s="9"/>
      <c r="O398" s="3"/>
    </row>
    <row r="399" spans="4:15" x14ac:dyDescent="0.25">
      <c r="D399" s="8"/>
      <c r="E399" s="8"/>
      <c r="F399" s="3"/>
      <c r="G399" s="9"/>
      <c r="O399" s="3"/>
    </row>
    <row r="400" spans="4:15" x14ac:dyDescent="0.25">
      <c r="D400" s="8"/>
      <c r="E400" s="8"/>
      <c r="F400" s="3"/>
      <c r="G400" s="9"/>
      <c r="O400" s="3"/>
    </row>
    <row r="401" spans="4:15" x14ac:dyDescent="0.25">
      <c r="D401" s="8"/>
      <c r="E401" s="8"/>
      <c r="F401" s="3"/>
      <c r="G401" s="9"/>
      <c r="O401" s="3"/>
    </row>
    <row r="402" spans="4:15" x14ac:dyDescent="0.25">
      <c r="D402" s="8"/>
      <c r="E402" s="8"/>
      <c r="F402" s="3"/>
      <c r="O402" s="3"/>
    </row>
    <row r="403" spans="4:15" x14ac:dyDescent="0.25">
      <c r="D403" s="8"/>
      <c r="E403" s="8"/>
      <c r="F403" s="3"/>
      <c r="G403" s="9"/>
      <c r="O403" s="3"/>
    </row>
    <row r="404" spans="4:15" x14ac:dyDescent="0.25">
      <c r="D404" s="8"/>
      <c r="E404" s="8"/>
      <c r="F404" s="3"/>
      <c r="G404" s="9"/>
      <c r="O404" s="3"/>
    </row>
    <row r="405" spans="4:15" x14ac:dyDescent="0.25">
      <c r="D405" s="8"/>
      <c r="E405" s="8"/>
      <c r="F405" s="3"/>
      <c r="G405" s="9"/>
      <c r="O405" s="3"/>
    </row>
    <row r="406" spans="4:15" x14ac:dyDescent="0.25">
      <c r="D406" s="8"/>
      <c r="E406" s="8"/>
      <c r="F406" s="3"/>
      <c r="G406" s="9"/>
      <c r="O406" s="3"/>
    </row>
    <row r="407" spans="4:15" x14ac:dyDescent="0.25">
      <c r="D407" s="8"/>
      <c r="E407" s="8"/>
      <c r="F407" s="3"/>
      <c r="G407" s="9"/>
      <c r="O407" s="3"/>
    </row>
    <row r="408" spans="4:15" x14ac:dyDescent="0.25">
      <c r="D408" s="8"/>
      <c r="E408" s="8"/>
      <c r="F408" s="3"/>
      <c r="G408" s="9"/>
      <c r="O408" s="3"/>
    </row>
    <row r="409" spans="4:15" x14ac:dyDescent="0.25">
      <c r="D409" s="8"/>
      <c r="E409" s="8"/>
      <c r="F409" s="3"/>
      <c r="G409" s="9"/>
      <c r="O409" s="3"/>
    </row>
    <row r="410" spans="4:15" x14ac:dyDescent="0.25">
      <c r="D410" s="8"/>
      <c r="E410" s="8"/>
      <c r="F410" s="3"/>
      <c r="G410" s="9"/>
      <c r="O410" s="3"/>
    </row>
    <row r="411" spans="4:15" x14ac:dyDescent="0.25">
      <c r="D411" s="8"/>
      <c r="E411" s="8"/>
      <c r="F411" s="3"/>
      <c r="G411" s="9"/>
      <c r="O411" s="3"/>
    </row>
    <row r="412" spans="4:15" x14ac:dyDescent="0.25">
      <c r="D412" s="8"/>
      <c r="E412" s="8"/>
      <c r="F412" s="3"/>
      <c r="G412" s="9"/>
      <c r="O412" s="3"/>
    </row>
    <row r="413" spans="4:15" x14ac:dyDescent="0.25">
      <c r="D413" s="8"/>
      <c r="E413" s="8"/>
      <c r="F413" s="3"/>
      <c r="G413" s="9"/>
      <c r="O413" s="3"/>
    </row>
    <row r="414" spans="4:15" x14ac:dyDescent="0.25">
      <c r="D414" s="8"/>
      <c r="E414" s="8"/>
      <c r="F414" s="3"/>
      <c r="G414" s="9"/>
      <c r="O414" s="3"/>
    </row>
    <row r="415" spans="4:15" x14ac:dyDescent="0.25">
      <c r="D415" s="8"/>
      <c r="E415" s="8"/>
      <c r="F415" s="3"/>
      <c r="G415" s="9"/>
      <c r="O415" s="3"/>
    </row>
    <row r="416" spans="4:15" x14ac:dyDescent="0.25">
      <c r="D416" s="8"/>
      <c r="E416" s="8"/>
      <c r="F416" s="3"/>
      <c r="G416" s="9"/>
      <c r="O416" s="3"/>
    </row>
    <row r="417" spans="4:15" x14ac:dyDescent="0.25">
      <c r="D417" s="8"/>
      <c r="E417" s="8"/>
      <c r="F417" s="3"/>
      <c r="G417" s="9"/>
      <c r="O417" s="3"/>
    </row>
    <row r="418" spans="4:15" x14ac:dyDescent="0.25">
      <c r="D418" s="8"/>
      <c r="E418" s="8"/>
      <c r="F418" s="3"/>
      <c r="G418" s="9"/>
      <c r="O418" s="3"/>
    </row>
    <row r="419" spans="4:15" x14ac:dyDescent="0.25">
      <c r="D419" s="8"/>
      <c r="E419" s="8"/>
      <c r="F419" s="3"/>
      <c r="G419" s="9"/>
      <c r="O419" s="3"/>
    </row>
    <row r="420" spans="4:15" x14ac:dyDescent="0.25">
      <c r="D420" s="8"/>
      <c r="E420" s="8"/>
      <c r="F420" s="3"/>
      <c r="G420" s="9"/>
      <c r="O420" s="3"/>
    </row>
    <row r="421" spans="4:15" x14ac:dyDescent="0.25">
      <c r="D421" s="8"/>
      <c r="E421" s="8"/>
      <c r="F421" s="3"/>
      <c r="G421" s="9"/>
      <c r="O421" s="3"/>
    </row>
    <row r="422" spans="4:15" x14ac:dyDescent="0.25">
      <c r="D422" s="8"/>
      <c r="E422" s="8"/>
      <c r="F422" s="3"/>
      <c r="G422" s="9"/>
      <c r="O422" s="3"/>
    </row>
    <row r="423" spans="4:15" x14ac:dyDescent="0.25">
      <c r="D423" s="8"/>
      <c r="E423" s="8"/>
      <c r="F423" s="3"/>
      <c r="G423" s="9"/>
      <c r="O423" s="3"/>
    </row>
    <row r="424" spans="4:15" x14ac:dyDescent="0.25">
      <c r="D424" s="8"/>
      <c r="E424" s="8"/>
      <c r="F424" s="3"/>
      <c r="G424" s="9"/>
      <c r="O424" s="3"/>
    </row>
    <row r="425" spans="4:15" x14ac:dyDescent="0.25">
      <c r="D425" s="8"/>
      <c r="E425" s="8"/>
      <c r="F425" s="3"/>
      <c r="G425" s="9"/>
      <c r="O425" s="3"/>
    </row>
    <row r="426" spans="4:15" x14ac:dyDescent="0.25">
      <c r="D426" s="8"/>
      <c r="E426" s="8"/>
      <c r="F426" s="3"/>
      <c r="G426" s="9"/>
      <c r="O426" s="3"/>
    </row>
    <row r="427" spans="4:15" x14ac:dyDescent="0.25">
      <c r="D427" s="8"/>
      <c r="E427" s="8"/>
      <c r="F427" s="3"/>
      <c r="O427" s="3"/>
    </row>
    <row r="428" spans="4:15" x14ac:dyDescent="0.25">
      <c r="D428" s="8"/>
      <c r="E428" s="8"/>
      <c r="F428" s="3"/>
      <c r="G428" s="9"/>
      <c r="O428" s="3"/>
    </row>
    <row r="429" spans="4:15" x14ac:dyDescent="0.25">
      <c r="D429" s="8"/>
      <c r="E429" s="8"/>
      <c r="F429" s="3"/>
      <c r="G429" s="9"/>
      <c r="O429" s="3"/>
    </row>
    <row r="430" spans="4:15" x14ac:dyDescent="0.25">
      <c r="D430" s="8"/>
      <c r="E430" s="8"/>
      <c r="F430" s="3"/>
      <c r="G430" s="9"/>
      <c r="O430" s="3"/>
    </row>
    <row r="431" spans="4:15" x14ac:dyDescent="0.25">
      <c r="D431" s="8"/>
      <c r="E431" s="8"/>
      <c r="F431" s="3"/>
      <c r="G431" s="9"/>
      <c r="O431" s="3"/>
    </row>
    <row r="432" spans="4:15" x14ac:dyDescent="0.25">
      <c r="D432" s="8"/>
      <c r="E432" s="8"/>
      <c r="F432" s="3"/>
      <c r="G432" s="9"/>
      <c r="O432" s="3"/>
    </row>
    <row r="433" spans="4:15" x14ac:dyDescent="0.25">
      <c r="D433" s="8"/>
      <c r="E433" s="8"/>
      <c r="F433" s="3"/>
      <c r="G433" s="9"/>
      <c r="O433" s="3"/>
    </row>
    <row r="434" spans="4:15" x14ac:dyDescent="0.25">
      <c r="D434" s="8"/>
      <c r="E434" s="8"/>
      <c r="F434" s="3"/>
      <c r="G434" s="9"/>
      <c r="O434" s="3"/>
    </row>
    <row r="435" spans="4:15" x14ac:dyDescent="0.25">
      <c r="D435" s="8"/>
      <c r="E435" s="8"/>
      <c r="F435" s="3"/>
      <c r="G435" s="9"/>
      <c r="O435" s="3"/>
    </row>
    <row r="436" spans="4:15" x14ac:dyDescent="0.25">
      <c r="D436" s="8"/>
      <c r="E436" s="8"/>
      <c r="F436" s="3"/>
      <c r="G436" s="9"/>
      <c r="O436" s="3"/>
    </row>
    <row r="437" spans="4:15" x14ac:dyDescent="0.25">
      <c r="D437" s="8"/>
      <c r="E437" s="8"/>
      <c r="F437" s="3"/>
      <c r="G437" s="9"/>
      <c r="O437" s="3"/>
    </row>
    <row r="438" spans="4:15" x14ac:dyDescent="0.25">
      <c r="D438" s="8"/>
      <c r="E438" s="8"/>
      <c r="F438" s="3"/>
      <c r="G438" s="9"/>
      <c r="O438" s="3"/>
    </row>
    <row r="439" spans="4:15" x14ac:dyDescent="0.25">
      <c r="D439" s="8"/>
      <c r="E439" s="8"/>
      <c r="F439" s="3"/>
      <c r="G439" s="9"/>
      <c r="O439" s="3"/>
    </row>
    <row r="440" spans="4:15" x14ac:dyDescent="0.25">
      <c r="D440" s="8"/>
      <c r="E440" s="8"/>
      <c r="F440" s="3"/>
      <c r="G440" s="9"/>
      <c r="O440" s="3"/>
    </row>
    <row r="441" spans="4:15" x14ac:dyDescent="0.25">
      <c r="D441" s="8"/>
      <c r="E441" s="8"/>
      <c r="F441" s="3"/>
      <c r="G441" s="9"/>
      <c r="O441" s="3"/>
    </row>
    <row r="442" spans="4:15" x14ac:dyDescent="0.25">
      <c r="D442" s="8"/>
      <c r="E442" s="8"/>
      <c r="F442" s="3"/>
      <c r="G442" s="9"/>
      <c r="O442" s="3"/>
    </row>
    <row r="443" spans="4:15" x14ac:dyDescent="0.25">
      <c r="D443" s="8"/>
      <c r="E443" s="8"/>
      <c r="F443" s="3"/>
      <c r="G443" s="9"/>
      <c r="O443" s="3"/>
    </row>
    <row r="444" spans="4:15" x14ac:dyDescent="0.25">
      <c r="D444" s="8"/>
      <c r="E444" s="8"/>
      <c r="F444" s="3"/>
      <c r="G444" s="9"/>
      <c r="O444" s="3"/>
    </row>
    <row r="445" spans="4:15" x14ac:dyDescent="0.25">
      <c r="D445" s="8"/>
      <c r="E445" s="8"/>
      <c r="F445" s="3"/>
      <c r="G445" s="9"/>
      <c r="O445" s="3"/>
    </row>
    <row r="446" spans="4:15" x14ac:dyDescent="0.25">
      <c r="D446" s="8"/>
      <c r="E446" s="8"/>
      <c r="F446" s="3"/>
      <c r="G446" s="9"/>
      <c r="O446" s="3"/>
    </row>
    <row r="447" spans="4:15" x14ac:dyDescent="0.25">
      <c r="D447" s="8"/>
      <c r="E447" s="8"/>
      <c r="F447" s="3"/>
      <c r="G447" s="9"/>
      <c r="O447" s="3"/>
    </row>
    <row r="448" spans="4:15" x14ac:dyDescent="0.25">
      <c r="D448" s="8"/>
      <c r="E448" s="8"/>
      <c r="F448" s="3"/>
      <c r="G448" s="9"/>
      <c r="O448" s="3"/>
    </row>
    <row r="449" spans="4:15" x14ac:dyDescent="0.25">
      <c r="D449" s="8"/>
      <c r="E449" s="8"/>
      <c r="F449" s="3"/>
      <c r="G449" s="9"/>
      <c r="O449" s="3"/>
    </row>
    <row r="450" spans="4:15" x14ac:dyDescent="0.25">
      <c r="D450" s="8"/>
      <c r="E450" s="8"/>
      <c r="F450" s="3"/>
      <c r="G450" s="9"/>
      <c r="O450" s="3"/>
    </row>
    <row r="451" spans="4:15" x14ac:dyDescent="0.25">
      <c r="D451" s="8"/>
      <c r="E451" s="8"/>
      <c r="F451" s="3"/>
      <c r="G451" s="9"/>
      <c r="O451" s="3"/>
    </row>
    <row r="452" spans="4:15" x14ac:dyDescent="0.25">
      <c r="D452" s="8"/>
      <c r="E452" s="8"/>
      <c r="F452" s="3"/>
      <c r="O452" s="3"/>
    </row>
    <row r="453" spans="4:15" x14ac:dyDescent="0.25">
      <c r="D453" s="8"/>
      <c r="E453" s="8"/>
      <c r="F453" s="3"/>
      <c r="G453" s="9"/>
      <c r="O453" s="3"/>
    </row>
    <row r="454" spans="4:15" x14ac:dyDescent="0.25">
      <c r="D454" s="8"/>
      <c r="E454" s="8"/>
      <c r="F454" s="3"/>
      <c r="G454" s="9"/>
      <c r="O454" s="3"/>
    </row>
    <row r="455" spans="4:15" x14ac:dyDescent="0.25">
      <c r="D455" s="8"/>
      <c r="E455" s="8"/>
      <c r="F455" s="3"/>
      <c r="G455" s="9"/>
      <c r="O455" s="3"/>
    </row>
    <row r="456" spans="4:15" x14ac:dyDescent="0.25">
      <c r="D456" s="8"/>
      <c r="E456" s="8"/>
      <c r="F456" s="3"/>
      <c r="G456" s="9"/>
      <c r="O456" s="3"/>
    </row>
    <row r="457" spans="4:15" x14ac:dyDescent="0.25">
      <c r="D457" s="8"/>
      <c r="E457" s="8"/>
      <c r="F457" s="3"/>
      <c r="G457" s="9"/>
      <c r="O457" s="3"/>
    </row>
    <row r="458" spans="4:15" x14ac:dyDescent="0.25">
      <c r="D458" s="8"/>
      <c r="E458" s="8"/>
      <c r="F458" s="3"/>
      <c r="G458" s="9"/>
      <c r="O458" s="3"/>
    </row>
    <row r="459" spans="4:15" x14ac:dyDescent="0.25">
      <c r="D459" s="8"/>
      <c r="E459" s="8"/>
      <c r="F459" s="3"/>
      <c r="G459" s="9"/>
      <c r="O459" s="3"/>
    </row>
    <row r="460" spans="4:15" x14ac:dyDescent="0.25">
      <c r="D460" s="8"/>
      <c r="E460" s="8"/>
      <c r="F460" s="3"/>
      <c r="G460" s="9"/>
      <c r="O460" s="3"/>
    </row>
    <row r="461" spans="4:15" x14ac:dyDescent="0.25">
      <c r="D461" s="8"/>
      <c r="E461" s="8"/>
      <c r="F461" s="3"/>
      <c r="G461" s="9"/>
      <c r="O461" s="3"/>
    </row>
    <row r="462" spans="4:15" x14ac:dyDescent="0.25">
      <c r="D462" s="8"/>
      <c r="E462" s="8"/>
      <c r="F462" s="3"/>
      <c r="G462" s="9"/>
      <c r="O462" s="3"/>
    </row>
    <row r="463" spans="4:15" x14ac:dyDescent="0.25">
      <c r="D463" s="8"/>
      <c r="E463" s="8"/>
      <c r="F463" s="3"/>
      <c r="G463" s="9"/>
      <c r="O463" s="3"/>
    </row>
    <row r="464" spans="4:15" x14ac:dyDescent="0.25">
      <c r="D464" s="8"/>
      <c r="E464" s="8"/>
      <c r="F464" s="3"/>
      <c r="G464" s="9"/>
      <c r="O464" s="3"/>
    </row>
    <row r="465" spans="4:15" x14ac:dyDescent="0.25">
      <c r="D465" s="8"/>
      <c r="E465" s="8"/>
      <c r="F465" s="3"/>
      <c r="G465" s="9"/>
      <c r="O465" s="3"/>
    </row>
    <row r="466" spans="4:15" x14ac:dyDescent="0.25">
      <c r="D466" s="8"/>
      <c r="E466" s="8"/>
      <c r="F466" s="3"/>
      <c r="G466" s="9"/>
      <c r="O466" s="3"/>
    </row>
    <row r="467" spans="4:15" x14ac:dyDescent="0.25">
      <c r="D467" s="8"/>
      <c r="E467" s="8"/>
      <c r="F467" s="3"/>
      <c r="G467" s="9"/>
      <c r="O467" s="3"/>
    </row>
    <row r="468" spans="4:15" x14ac:dyDescent="0.25">
      <c r="D468" s="8"/>
      <c r="E468" s="8"/>
      <c r="F468" s="3"/>
      <c r="G468" s="9"/>
      <c r="O468" s="3"/>
    </row>
    <row r="469" spans="4:15" x14ac:dyDescent="0.25">
      <c r="D469" s="8"/>
      <c r="E469" s="8"/>
      <c r="F469" s="3"/>
      <c r="G469" s="9"/>
      <c r="O469" s="3"/>
    </row>
    <row r="470" spans="4:15" x14ac:dyDescent="0.25">
      <c r="D470" s="8"/>
      <c r="E470" s="8"/>
      <c r="F470" s="3"/>
      <c r="G470" s="9"/>
      <c r="O470" s="3"/>
    </row>
    <row r="471" spans="4:15" x14ac:dyDescent="0.25">
      <c r="D471" s="8"/>
      <c r="E471" s="8"/>
      <c r="F471" s="3"/>
      <c r="G471" s="9"/>
      <c r="O471" s="3"/>
    </row>
    <row r="472" spans="4:15" x14ac:dyDescent="0.25">
      <c r="D472" s="8"/>
      <c r="E472" s="8"/>
      <c r="F472" s="3"/>
      <c r="G472" s="9"/>
      <c r="O472" s="3"/>
    </row>
    <row r="473" spans="4:15" x14ac:dyDescent="0.25">
      <c r="D473" s="8"/>
      <c r="E473" s="8"/>
      <c r="F473" s="3"/>
      <c r="G473" s="9"/>
      <c r="O473" s="3"/>
    </row>
    <row r="474" spans="4:15" x14ac:dyDescent="0.25">
      <c r="D474" s="8"/>
      <c r="E474" s="8"/>
      <c r="F474" s="3"/>
      <c r="G474" s="9"/>
      <c r="O474" s="3"/>
    </row>
    <row r="475" spans="4:15" x14ac:dyDescent="0.25">
      <c r="D475" s="8"/>
      <c r="E475" s="8"/>
      <c r="F475" s="3"/>
      <c r="G475" s="9"/>
      <c r="O475" s="3"/>
    </row>
    <row r="476" spans="4:15" x14ac:dyDescent="0.25">
      <c r="D476" s="8"/>
      <c r="E476" s="8"/>
      <c r="F476" s="3"/>
      <c r="G476" s="9"/>
      <c r="O476" s="3"/>
    </row>
    <row r="477" spans="4:15" x14ac:dyDescent="0.25">
      <c r="D477" s="8"/>
      <c r="E477" s="8"/>
      <c r="F477" s="3"/>
      <c r="O477" s="3"/>
    </row>
    <row r="478" spans="4:15" x14ac:dyDescent="0.25">
      <c r="D478" s="8"/>
      <c r="E478" s="8"/>
      <c r="F478" s="3"/>
      <c r="G478" s="9"/>
      <c r="O478" s="3"/>
    </row>
    <row r="479" spans="4:15" x14ac:dyDescent="0.25">
      <c r="D479" s="8"/>
      <c r="E479" s="8"/>
      <c r="F479" s="3"/>
      <c r="G479" s="9"/>
      <c r="O479" s="3"/>
    </row>
    <row r="480" spans="4:15" x14ac:dyDescent="0.25">
      <c r="D480" s="8"/>
      <c r="E480" s="8"/>
      <c r="F480" s="3"/>
      <c r="G480" s="9"/>
      <c r="O480" s="3"/>
    </row>
    <row r="481" spans="4:15" x14ac:dyDescent="0.25">
      <c r="D481" s="8"/>
      <c r="E481" s="8"/>
      <c r="F481" s="3"/>
      <c r="G481" s="9"/>
      <c r="O481" s="3"/>
    </row>
    <row r="482" spans="4:15" x14ac:dyDescent="0.25">
      <c r="D482" s="8"/>
      <c r="E482" s="8"/>
      <c r="F482" s="3"/>
      <c r="G482" s="9"/>
      <c r="O482" s="3"/>
    </row>
    <row r="483" spans="4:15" x14ac:dyDescent="0.25">
      <c r="D483" s="8"/>
      <c r="E483" s="8"/>
      <c r="F483" s="3"/>
      <c r="G483" s="9"/>
      <c r="O483" s="3"/>
    </row>
    <row r="484" spans="4:15" x14ac:dyDescent="0.25">
      <c r="D484" s="8"/>
      <c r="E484" s="8"/>
      <c r="F484" s="3"/>
      <c r="G484" s="9"/>
      <c r="O484" s="3"/>
    </row>
    <row r="485" spans="4:15" x14ac:dyDescent="0.25">
      <c r="D485" s="8"/>
      <c r="E485" s="8"/>
      <c r="F485" s="3"/>
      <c r="G485" s="9"/>
      <c r="O485" s="3"/>
    </row>
    <row r="486" spans="4:15" x14ac:dyDescent="0.25">
      <c r="D486" s="8"/>
      <c r="E486" s="8"/>
      <c r="F486" s="3"/>
      <c r="G486" s="9"/>
      <c r="O486" s="3"/>
    </row>
    <row r="487" spans="4:15" x14ac:dyDescent="0.25">
      <c r="D487" s="8"/>
      <c r="E487" s="8"/>
      <c r="F487" s="3"/>
      <c r="G487" s="9"/>
      <c r="O487" s="3"/>
    </row>
    <row r="488" spans="4:15" x14ac:dyDescent="0.25">
      <c r="D488" s="8"/>
      <c r="E488" s="8"/>
      <c r="F488" s="3"/>
      <c r="G488" s="9"/>
      <c r="O488" s="3"/>
    </row>
    <row r="489" spans="4:15" x14ac:dyDescent="0.25">
      <c r="D489" s="8"/>
      <c r="E489" s="8"/>
      <c r="F489" s="3"/>
      <c r="G489" s="9"/>
      <c r="O489" s="3"/>
    </row>
    <row r="490" spans="4:15" x14ac:dyDescent="0.25">
      <c r="D490" s="8"/>
      <c r="E490" s="8"/>
      <c r="F490" s="3"/>
      <c r="G490" s="9"/>
      <c r="O490" s="3"/>
    </row>
    <row r="491" spans="4:15" x14ac:dyDescent="0.25">
      <c r="D491" s="8"/>
      <c r="E491" s="8"/>
      <c r="F491" s="3"/>
      <c r="G491" s="9"/>
      <c r="O491" s="3"/>
    </row>
    <row r="492" spans="4:15" x14ac:dyDescent="0.25">
      <c r="D492" s="8"/>
      <c r="E492" s="8"/>
      <c r="F492" s="3"/>
      <c r="G492" s="9"/>
      <c r="O492" s="3"/>
    </row>
    <row r="493" spans="4:15" x14ac:dyDescent="0.25">
      <c r="D493" s="8"/>
      <c r="E493" s="8"/>
      <c r="F493" s="3"/>
      <c r="G493" s="9"/>
      <c r="O493" s="3"/>
    </row>
    <row r="494" spans="4:15" x14ac:dyDescent="0.25">
      <c r="D494" s="8"/>
      <c r="E494" s="8"/>
      <c r="F494" s="3"/>
      <c r="G494" s="9"/>
      <c r="O494" s="3"/>
    </row>
    <row r="495" spans="4:15" x14ac:dyDescent="0.25">
      <c r="D495" s="8"/>
      <c r="E495" s="8"/>
      <c r="F495" s="3"/>
      <c r="G495" s="9"/>
      <c r="O495" s="3"/>
    </row>
    <row r="496" spans="4:15" x14ac:dyDescent="0.25">
      <c r="D496" s="8"/>
      <c r="E496" s="8"/>
      <c r="F496" s="3"/>
      <c r="G496" s="9"/>
      <c r="O496" s="3"/>
    </row>
    <row r="497" spans="4:15" x14ac:dyDescent="0.25">
      <c r="D497" s="8"/>
      <c r="E497" s="8"/>
      <c r="F497" s="3"/>
      <c r="G497" s="9"/>
      <c r="O497" s="3"/>
    </row>
    <row r="498" spans="4:15" x14ac:dyDescent="0.25">
      <c r="D498" s="8"/>
      <c r="E498" s="8"/>
      <c r="F498" s="3"/>
      <c r="G498" s="9"/>
      <c r="O498" s="3"/>
    </row>
    <row r="499" spans="4:15" x14ac:dyDescent="0.25">
      <c r="D499" s="8"/>
      <c r="E499" s="8"/>
      <c r="F499" s="3"/>
      <c r="G499" s="9"/>
      <c r="O499" s="3"/>
    </row>
    <row r="500" spans="4:15" x14ac:dyDescent="0.25">
      <c r="D500" s="8"/>
      <c r="E500" s="8"/>
      <c r="F500" s="3"/>
      <c r="G500" s="9"/>
      <c r="O500" s="3"/>
    </row>
    <row r="501" spans="4:15" x14ac:dyDescent="0.25">
      <c r="D501" s="8"/>
      <c r="E501" s="8"/>
      <c r="F501" s="3"/>
      <c r="G501" s="9"/>
      <c r="O501" s="3"/>
    </row>
    <row r="502" spans="4:15" x14ac:dyDescent="0.25">
      <c r="D502" s="8"/>
      <c r="E502" s="8"/>
      <c r="F502" s="3"/>
      <c r="O502" s="3"/>
    </row>
    <row r="503" spans="4:15" x14ac:dyDescent="0.25">
      <c r="D503" s="8"/>
      <c r="E503" s="8"/>
      <c r="F503" s="3"/>
      <c r="G503" s="9"/>
      <c r="O503" s="3"/>
    </row>
    <row r="504" spans="4:15" x14ac:dyDescent="0.25">
      <c r="D504" s="8"/>
      <c r="E504" s="8"/>
      <c r="F504" s="3"/>
      <c r="G504" s="9"/>
      <c r="O504" s="3"/>
    </row>
    <row r="505" spans="4:15" x14ac:dyDescent="0.25">
      <c r="D505" s="8"/>
      <c r="E505" s="8"/>
      <c r="F505" s="3"/>
      <c r="G505" s="9"/>
      <c r="O505" s="3"/>
    </row>
    <row r="506" spans="4:15" x14ac:dyDescent="0.25">
      <c r="D506" s="8"/>
      <c r="E506" s="8"/>
      <c r="F506" s="3"/>
      <c r="G506" s="9"/>
      <c r="O506" s="3"/>
    </row>
    <row r="507" spans="4:15" x14ac:dyDescent="0.25">
      <c r="D507" s="8"/>
      <c r="E507" s="8"/>
      <c r="F507" s="3"/>
      <c r="G507" s="9"/>
      <c r="O507" s="3"/>
    </row>
    <row r="508" spans="4:15" x14ac:dyDescent="0.25">
      <c r="D508" s="8"/>
      <c r="E508" s="8"/>
      <c r="F508" s="3"/>
      <c r="G508" s="9"/>
      <c r="O508" s="3"/>
    </row>
    <row r="509" spans="4:15" x14ac:dyDescent="0.25">
      <c r="D509" s="8"/>
      <c r="E509" s="8"/>
      <c r="F509" s="3"/>
      <c r="G509" s="9"/>
      <c r="O509" s="3"/>
    </row>
    <row r="510" spans="4:15" x14ac:dyDescent="0.25">
      <c r="D510" s="8"/>
      <c r="E510" s="8"/>
      <c r="F510" s="3"/>
      <c r="G510" s="9"/>
      <c r="O510" s="3"/>
    </row>
    <row r="511" spans="4:15" x14ac:dyDescent="0.25">
      <c r="D511" s="8"/>
      <c r="E511" s="8"/>
      <c r="F511" s="3"/>
      <c r="G511" s="9"/>
      <c r="O511" s="3"/>
    </row>
    <row r="512" spans="4:15" x14ac:dyDescent="0.25">
      <c r="D512" s="8"/>
      <c r="E512" s="8"/>
      <c r="F512" s="3"/>
      <c r="G512" s="9"/>
      <c r="O512" s="3"/>
    </row>
    <row r="513" spans="4:15" x14ac:dyDescent="0.25">
      <c r="D513" s="8"/>
      <c r="E513" s="8"/>
      <c r="F513" s="3"/>
      <c r="G513" s="9"/>
      <c r="O513" s="3"/>
    </row>
    <row r="514" spans="4:15" x14ac:dyDescent="0.25">
      <c r="D514" s="8"/>
      <c r="E514" s="8"/>
      <c r="F514" s="3"/>
      <c r="G514" s="9"/>
      <c r="O514" s="3"/>
    </row>
    <row r="515" spans="4:15" x14ac:dyDescent="0.25">
      <c r="D515" s="8"/>
      <c r="E515" s="8"/>
      <c r="F515" s="3"/>
      <c r="G515" s="9"/>
      <c r="O515" s="3"/>
    </row>
    <row r="516" spans="4:15" x14ac:dyDescent="0.25">
      <c r="D516" s="8"/>
      <c r="E516" s="8"/>
      <c r="F516" s="3"/>
      <c r="G516" s="9"/>
      <c r="O516" s="3"/>
    </row>
    <row r="517" spans="4:15" x14ac:dyDescent="0.25">
      <c r="D517" s="8"/>
      <c r="E517" s="8"/>
      <c r="F517" s="3"/>
      <c r="G517" s="9"/>
      <c r="O517" s="3"/>
    </row>
    <row r="518" spans="4:15" x14ac:dyDescent="0.25">
      <c r="D518" s="8"/>
      <c r="E518" s="8"/>
      <c r="F518" s="3"/>
      <c r="G518" s="9"/>
      <c r="O518" s="3"/>
    </row>
    <row r="519" spans="4:15" x14ac:dyDescent="0.25">
      <c r="D519" s="8"/>
      <c r="E519" s="8"/>
      <c r="F519" s="3"/>
      <c r="G519" s="9"/>
      <c r="O519" s="3"/>
    </row>
    <row r="520" spans="4:15" x14ac:dyDescent="0.25">
      <c r="D520" s="8"/>
      <c r="E520" s="8"/>
      <c r="F520" s="3"/>
      <c r="G520" s="9"/>
      <c r="O520" s="3"/>
    </row>
    <row r="521" spans="4:15" x14ac:dyDescent="0.25">
      <c r="D521" s="8"/>
      <c r="E521" s="8"/>
      <c r="F521" s="3"/>
      <c r="G521" s="9"/>
      <c r="O521" s="3"/>
    </row>
    <row r="522" spans="4:15" x14ac:dyDescent="0.25">
      <c r="D522" s="8"/>
      <c r="E522" s="8"/>
      <c r="F522" s="3"/>
      <c r="G522" s="9"/>
      <c r="O522" s="3"/>
    </row>
    <row r="523" spans="4:15" x14ac:dyDescent="0.25">
      <c r="D523" s="8"/>
      <c r="E523" s="8"/>
      <c r="F523" s="3"/>
      <c r="G523" s="9"/>
      <c r="O523" s="3"/>
    </row>
    <row r="524" spans="4:15" x14ac:dyDescent="0.25">
      <c r="D524" s="8"/>
      <c r="E524" s="8"/>
      <c r="F524" s="3"/>
      <c r="G524" s="9"/>
      <c r="O524" s="3"/>
    </row>
    <row r="525" spans="4:15" x14ac:dyDescent="0.25">
      <c r="D525" s="8"/>
      <c r="E525" s="8"/>
      <c r="F525" s="3"/>
      <c r="G525" s="9"/>
      <c r="O525" s="3"/>
    </row>
    <row r="526" spans="4:15" x14ac:dyDescent="0.25">
      <c r="D526" s="8"/>
      <c r="E526" s="8"/>
      <c r="F526" s="3"/>
      <c r="G526" s="9"/>
      <c r="O526" s="3"/>
    </row>
    <row r="527" spans="4:15" x14ac:dyDescent="0.25">
      <c r="D527" s="8"/>
      <c r="E527" s="8"/>
      <c r="F527" s="3"/>
      <c r="O527" s="3"/>
    </row>
    <row r="528" spans="4:15" x14ac:dyDescent="0.25">
      <c r="D528" s="8"/>
      <c r="E528" s="8"/>
      <c r="F528" s="3"/>
      <c r="G528" s="9"/>
      <c r="O528" s="3"/>
    </row>
    <row r="529" spans="4:15" x14ac:dyDescent="0.25">
      <c r="D529" s="8"/>
      <c r="E529" s="8"/>
      <c r="F529" s="3"/>
      <c r="G529" s="9"/>
      <c r="O529" s="3"/>
    </row>
    <row r="530" spans="4:15" x14ac:dyDescent="0.25">
      <c r="D530" s="8"/>
      <c r="E530" s="8"/>
      <c r="F530" s="3"/>
      <c r="G530" s="9"/>
      <c r="O530" s="3"/>
    </row>
    <row r="531" spans="4:15" x14ac:dyDescent="0.25">
      <c r="D531" s="8"/>
      <c r="E531" s="8"/>
      <c r="F531" s="3"/>
      <c r="G531" s="9"/>
      <c r="O531" s="3"/>
    </row>
    <row r="532" spans="4:15" x14ac:dyDescent="0.25">
      <c r="D532" s="8"/>
      <c r="E532" s="8"/>
      <c r="F532" s="3"/>
      <c r="G532" s="9"/>
      <c r="O532" s="3"/>
    </row>
    <row r="533" spans="4:15" x14ac:dyDescent="0.25">
      <c r="D533" s="8"/>
      <c r="E533" s="8"/>
      <c r="F533" s="3"/>
      <c r="G533" s="9"/>
      <c r="O533" s="3"/>
    </row>
    <row r="534" spans="4:15" x14ac:dyDescent="0.25">
      <c r="D534" s="8"/>
      <c r="E534" s="8"/>
      <c r="F534" s="3"/>
      <c r="G534" s="9"/>
      <c r="O534" s="3"/>
    </row>
    <row r="535" spans="4:15" x14ac:dyDescent="0.25">
      <c r="D535" s="8"/>
      <c r="E535" s="8"/>
      <c r="F535" s="3"/>
      <c r="G535" s="9"/>
      <c r="O535" s="3"/>
    </row>
    <row r="536" spans="4:15" x14ac:dyDescent="0.25">
      <c r="D536" s="8"/>
      <c r="E536" s="8"/>
      <c r="F536" s="3"/>
      <c r="G536" s="9"/>
      <c r="O536" s="3"/>
    </row>
    <row r="537" spans="4:15" x14ac:dyDescent="0.25">
      <c r="D537" s="8"/>
      <c r="E537" s="8"/>
      <c r="F537" s="3"/>
      <c r="G537" s="9"/>
      <c r="O537" s="3"/>
    </row>
    <row r="538" spans="4:15" x14ac:dyDescent="0.25">
      <c r="D538" s="8"/>
      <c r="E538" s="8"/>
      <c r="F538" s="3"/>
      <c r="G538" s="9"/>
      <c r="O538" s="3"/>
    </row>
    <row r="539" spans="4:15" x14ac:dyDescent="0.25">
      <c r="D539" s="8"/>
      <c r="E539" s="8"/>
      <c r="F539" s="3"/>
      <c r="G539" s="9"/>
      <c r="O539" s="3"/>
    </row>
    <row r="540" spans="4:15" x14ac:dyDescent="0.25">
      <c r="D540" s="8"/>
      <c r="E540" s="8"/>
      <c r="F540" s="3"/>
      <c r="G540" s="9"/>
      <c r="O540" s="3"/>
    </row>
    <row r="541" spans="4:15" x14ac:dyDescent="0.25">
      <c r="D541" s="8"/>
      <c r="E541" s="8"/>
      <c r="F541" s="3"/>
      <c r="G541" s="9"/>
      <c r="O541" s="3"/>
    </row>
    <row r="542" spans="4:15" x14ac:dyDescent="0.25">
      <c r="D542" s="8"/>
      <c r="E542" s="8"/>
      <c r="F542" s="3"/>
      <c r="G542" s="9"/>
      <c r="O542" s="3"/>
    </row>
    <row r="543" spans="4:15" x14ac:dyDescent="0.25">
      <c r="D543" s="8"/>
      <c r="E543" s="8"/>
      <c r="F543" s="3"/>
      <c r="G543" s="9"/>
      <c r="O543" s="3"/>
    </row>
    <row r="544" spans="4:15" x14ac:dyDescent="0.25">
      <c r="D544" s="8"/>
      <c r="E544" s="8"/>
      <c r="F544" s="3"/>
      <c r="G544" s="9"/>
      <c r="O544" s="3"/>
    </row>
    <row r="545" spans="4:15" x14ac:dyDescent="0.25">
      <c r="D545" s="8"/>
      <c r="E545" s="8"/>
      <c r="F545" s="3"/>
      <c r="G545" s="9"/>
      <c r="O545" s="3"/>
    </row>
    <row r="546" spans="4:15" x14ac:dyDescent="0.25">
      <c r="D546" s="8"/>
      <c r="E546" s="8"/>
      <c r="F546" s="3"/>
      <c r="G546" s="9"/>
      <c r="O546" s="3"/>
    </row>
    <row r="547" spans="4:15" x14ac:dyDescent="0.25">
      <c r="D547" s="8"/>
      <c r="E547" s="8"/>
      <c r="F547" s="3"/>
      <c r="G547" s="9"/>
      <c r="O547" s="3"/>
    </row>
    <row r="548" spans="4:15" x14ac:dyDescent="0.25">
      <c r="D548" s="8"/>
      <c r="E548" s="8"/>
      <c r="F548" s="3"/>
      <c r="G548" s="9"/>
      <c r="O548" s="3"/>
    </row>
    <row r="549" spans="4:15" x14ac:dyDescent="0.25">
      <c r="D549" s="8"/>
      <c r="E549" s="8"/>
      <c r="F549" s="3"/>
      <c r="G549" s="9"/>
      <c r="O549" s="3"/>
    </row>
    <row r="550" spans="4:15" x14ac:dyDescent="0.25">
      <c r="D550" s="8"/>
      <c r="E550" s="8"/>
      <c r="F550" s="3"/>
      <c r="G550" s="9"/>
      <c r="O550" s="3"/>
    </row>
    <row r="551" spans="4:15" x14ac:dyDescent="0.25">
      <c r="D551" s="8"/>
      <c r="E551" s="8"/>
      <c r="F551" s="3"/>
      <c r="G551" s="9"/>
      <c r="O551" s="3"/>
    </row>
    <row r="552" spans="4:15" x14ac:dyDescent="0.25">
      <c r="D552" s="8"/>
      <c r="E552" s="8"/>
      <c r="F552" s="3"/>
      <c r="O552" s="3"/>
    </row>
    <row r="553" spans="4:15" x14ac:dyDescent="0.25">
      <c r="D553" s="8"/>
      <c r="E553" s="8"/>
      <c r="F553" s="3"/>
      <c r="G553" s="9"/>
      <c r="O553" s="3"/>
    </row>
    <row r="554" spans="4:15" x14ac:dyDescent="0.25">
      <c r="D554" s="8"/>
      <c r="E554" s="8"/>
      <c r="F554" s="3"/>
      <c r="G554" s="9"/>
      <c r="O554" s="3"/>
    </row>
    <row r="555" spans="4:15" x14ac:dyDescent="0.25">
      <c r="D555" s="8"/>
      <c r="E555" s="8"/>
      <c r="F555" s="3"/>
      <c r="G555" s="9"/>
      <c r="O555" s="3"/>
    </row>
    <row r="556" spans="4:15" x14ac:dyDescent="0.25">
      <c r="D556" s="8"/>
      <c r="E556" s="8"/>
      <c r="F556" s="3"/>
      <c r="G556" s="9"/>
      <c r="O556" s="3"/>
    </row>
    <row r="557" spans="4:15" x14ac:dyDescent="0.25">
      <c r="D557" s="8"/>
      <c r="E557" s="8"/>
      <c r="F557" s="3"/>
      <c r="G557" s="9"/>
      <c r="O557" s="3"/>
    </row>
    <row r="558" spans="4:15" x14ac:dyDescent="0.25">
      <c r="D558" s="8"/>
      <c r="E558" s="8"/>
      <c r="F558" s="3"/>
      <c r="G558" s="9"/>
      <c r="O558" s="3"/>
    </row>
    <row r="559" spans="4:15" x14ac:dyDescent="0.25">
      <c r="D559" s="8"/>
      <c r="E559" s="8"/>
      <c r="F559" s="3"/>
      <c r="G559" s="9"/>
      <c r="O559" s="3"/>
    </row>
    <row r="560" spans="4:15" x14ac:dyDescent="0.25">
      <c r="D560" s="8"/>
      <c r="E560" s="8"/>
      <c r="F560" s="3"/>
      <c r="G560" s="9"/>
      <c r="O560" s="3"/>
    </row>
    <row r="561" spans="4:15" x14ac:dyDescent="0.25">
      <c r="D561" s="8"/>
      <c r="E561" s="8"/>
      <c r="F561" s="3"/>
      <c r="G561" s="9"/>
      <c r="O561" s="3"/>
    </row>
    <row r="562" spans="4:15" x14ac:dyDescent="0.25">
      <c r="D562" s="8"/>
      <c r="E562" s="8"/>
      <c r="F562" s="3"/>
      <c r="G562" s="9"/>
      <c r="O562" s="3"/>
    </row>
    <row r="563" spans="4:15" x14ac:dyDescent="0.25">
      <c r="D563" s="8"/>
      <c r="E563" s="8"/>
      <c r="F563" s="3"/>
      <c r="G563" s="9"/>
      <c r="O563" s="3"/>
    </row>
    <row r="564" spans="4:15" x14ac:dyDescent="0.25">
      <c r="D564" s="8"/>
      <c r="E564" s="8"/>
      <c r="F564" s="3"/>
      <c r="G564" s="9"/>
      <c r="O564" s="3"/>
    </row>
    <row r="565" spans="4:15" x14ac:dyDescent="0.25">
      <c r="D565" s="8"/>
      <c r="E565" s="8"/>
      <c r="F565" s="3"/>
      <c r="G565" s="9"/>
      <c r="O565" s="3"/>
    </row>
    <row r="566" spans="4:15" x14ac:dyDescent="0.25">
      <c r="D566" s="8"/>
      <c r="E566" s="8"/>
      <c r="F566" s="3"/>
      <c r="G566" s="9"/>
      <c r="O566" s="3"/>
    </row>
    <row r="567" spans="4:15" x14ac:dyDescent="0.25">
      <c r="D567" s="8"/>
      <c r="E567" s="8"/>
      <c r="F567" s="3"/>
      <c r="G567" s="9"/>
      <c r="O567" s="3"/>
    </row>
    <row r="568" spans="4:15" x14ac:dyDescent="0.25">
      <c r="D568" s="8"/>
      <c r="E568" s="8"/>
      <c r="F568" s="3"/>
      <c r="G568" s="9"/>
      <c r="O568" s="3"/>
    </row>
    <row r="569" spans="4:15" x14ac:dyDescent="0.25">
      <c r="D569" s="8"/>
      <c r="E569" s="8"/>
      <c r="F569" s="3"/>
      <c r="G569" s="9"/>
      <c r="O569" s="3"/>
    </row>
    <row r="570" spans="4:15" x14ac:dyDescent="0.25">
      <c r="D570" s="8"/>
      <c r="E570" s="8"/>
      <c r="F570" s="3"/>
      <c r="G570" s="9"/>
      <c r="O570" s="3"/>
    </row>
    <row r="571" spans="4:15" x14ac:dyDescent="0.25">
      <c r="D571" s="8"/>
      <c r="E571" s="8"/>
      <c r="F571" s="3"/>
      <c r="G571" s="9"/>
      <c r="O571" s="3"/>
    </row>
    <row r="572" spans="4:15" x14ac:dyDescent="0.25">
      <c r="D572" s="8"/>
      <c r="E572" s="8"/>
      <c r="F572" s="3"/>
      <c r="G572" s="9"/>
      <c r="O572" s="3"/>
    </row>
    <row r="573" spans="4:15" x14ac:dyDescent="0.25">
      <c r="D573" s="8"/>
      <c r="E573" s="8"/>
      <c r="F573" s="3"/>
      <c r="G573" s="9"/>
      <c r="O573" s="3"/>
    </row>
    <row r="574" spans="4:15" x14ac:dyDescent="0.25">
      <c r="D574" s="8"/>
      <c r="E574" s="8"/>
      <c r="F574" s="3"/>
      <c r="G574" s="9"/>
      <c r="O574" s="3"/>
    </row>
    <row r="575" spans="4:15" x14ac:dyDescent="0.25">
      <c r="D575" s="8"/>
      <c r="E575" s="8"/>
      <c r="F575" s="3"/>
      <c r="G575" s="9"/>
      <c r="O575" s="3"/>
    </row>
    <row r="576" spans="4:15" x14ac:dyDescent="0.25">
      <c r="D576" s="8"/>
      <c r="E576" s="8"/>
      <c r="F576" s="3"/>
      <c r="G576" s="9"/>
      <c r="O576" s="3"/>
    </row>
    <row r="577" spans="4:15" x14ac:dyDescent="0.25">
      <c r="D577" s="8"/>
      <c r="E577" s="8"/>
      <c r="F577" s="3"/>
      <c r="O577" s="3"/>
    </row>
    <row r="578" spans="4:15" x14ac:dyDescent="0.25">
      <c r="D578" s="8"/>
      <c r="E578" s="8"/>
      <c r="F578" s="3"/>
      <c r="G578" s="9"/>
      <c r="O578" s="3"/>
    </row>
    <row r="579" spans="4:15" x14ac:dyDescent="0.25">
      <c r="D579" s="8"/>
      <c r="E579" s="8"/>
      <c r="F579" s="3"/>
      <c r="G579" s="9"/>
      <c r="O579" s="3"/>
    </row>
    <row r="580" spans="4:15" x14ac:dyDescent="0.25">
      <c r="D580" s="8"/>
      <c r="E580" s="8"/>
      <c r="F580" s="3"/>
      <c r="G580" s="9"/>
      <c r="O580" s="3"/>
    </row>
    <row r="581" spans="4:15" x14ac:dyDescent="0.25">
      <c r="D581" s="8"/>
      <c r="E581" s="8"/>
      <c r="F581" s="3"/>
      <c r="G581" s="9"/>
      <c r="O581" s="3"/>
    </row>
    <row r="582" spans="4:15" x14ac:dyDescent="0.25">
      <c r="D582" s="8"/>
      <c r="E582" s="8"/>
      <c r="F582" s="3"/>
      <c r="G582" s="9"/>
      <c r="O582" s="3"/>
    </row>
    <row r="583" spans="4:15" x14ac:dyDescent="0.25">
      <c r="D583" s="8"/>
      <c r="E583" s="8"/>
      <c r="F583" s="3"/>
      <c r="G583" s="9"/>
      <c r="O583" s="3"/>
    </row>
    <row r="584" spans="4:15" x14ac:dyDescent="0.25">
      <c r="D584" s="8"/>
      <c r="E584" s="8"/>
      <c r="F584" s="3"/>
      <c r="G584" s="9"/>
      <c r="O584" s="3"/>
    </row>
    <row r="585" spans="4:15" x14ac:dyDescent="0.25">
      <c r="D585" s="8"/>
      <c r="E585" s="8"/>
      <c r="F585" s="3"/>
      <c r="G585" s="9"/>
      <c r="O585" s="3"/>
    </row>
    <row r="586" spans="4:15" x14ac:dyDescent="0.25">
      <c r="D586" s="8"/>
      <c r="E586" s="8"/>
      <c r="F586" s="3"/>
      <c r="G586" s="9"/>
      <c r="O586" s="3"/>
    </row>
    <row r="587" spans="4:15" x14ac:dyDescent="0.25">
      <c r="D587" s="8"/>
      <c r="E587" s="8"/>
      <c r="F587" s="3"/>
      <c r="G587" s="9"/>
      <c r="O587" s="3"/>
    </row>
    <row r="588" spans="4:15" x14ac:dyDescent="0.25">
      <c r="D588" s="8"/>
      <c r="E588" s="8"/>
      <c r="F588" s="3"/>
      <c r="G588" s="9"/>
      <c r="O588" s="3"/>
    </row>
    <row r="589" spans="4:15" x14ac:dyDescent="0.25">
      <c r="D589" s="8"/>
      <c r="E589" s="8"/>
      <c r="F589" s="3"/>
      <c r="G589" s="9"/>
      <c r="O589" s="3"/>
    </row>
    <row r="590" spans="4:15" x14ac:dyDescent="0.25">
      <c r="D590" s="8"/>
      <c r="E590" s="8"/>
      <c r="F590" s="3"/>
      <c r="G590" s="9"/>
      <c r="O590" s="3"/>
    </row>
    <row r="591" spans="4:15" x14ac:dyDescent="0.25">
      <c r="D591" s="8"/>
      <c r="E591" s="8"/>
      <c r="F591" s="3"/>
      <c r="G591" s="9"/>
      <c r="O591" s="3"/>
    </row>
    <row r="592" spans="4:15" x14ac:dyDescent="0.25">
      <c r="D592" s="8"/>
      <c r="E592" s="8"/>
      <c r="F592" s="3"/>
      <c r="G592" s="9"/>
      <c r="O592" s="3"/>
    </row>
    <row r="593" spans="4:15" x14ac:dyDescent="0.25">
      <c r="D593" s="8"/>
      <c r="E593" s="8"/>
      <c r="F593" s="3"/>
      <c r="G593" s="9"/>
      <c r="O593" s="3"/>
    </row>
    <row r="594" spans="4:15" x14ac:dyDescent="0.25">
      <c r="D594" s="8"/>
      <c r="E594" s="8"/>
      <c r="F594" s="3"/>
      <c r="G594" s="9"/>
      <c r="O594" s="3"/>
    </row>
    <row r="595" spans="4:15" x14ac:dyDescent="0.25">
      <c r="D595" s="8"/>
      <c r="E595" s="8"/>
      <c r="F595" s="3"/>
      <c r="G595" s="9"/>
      <c r="O595" s="3"/>
    </row>
    <row r="596" spans="4:15" x14ac:dyDescent="0.25">
      <c r="D596" s="8"/>
      <c r="E596" s="8"/>
      <c r="F596" s="3"/>
      <c r="G596" s="9"/>
      <c r="O596" s="3"/>
    </row>
    <row r="597" spans="4:15" x14ac:dyDescent="0.25">
      <c r="D597" s="8"/>
      <c r="E597" s="8"/>
      <c r="F597" s="3"/>
      <c r="G597" s="9"/>
      <c r="O597" s="3"/>
    </row>
    <row r="598" spans="4:15" x14ac:dyDescent="0.25">
      <c r="D598" s="8"/>
      <c r="E598" s="8"/>
      <c r="F598" s="3"/>
      <c r="G598" s="9"/>
      <c r="O598" s="3"/>
    </row>
    <row r="599" spans="4:15" x14ac:dyDescent="0.25">
      <c r="D599" s="8"/>
      <c r="E599" s="8"/>
      <c r="F599" s="3"/>
      <c r="G599" s="9"/>
      <c r="O599" s="3"/>
    </row>
    <row r="600" spans="4:15" x14ac:dyDescent="0.25">
      <c r="D600" s="8"/>
      <c r="E600" s="8"/>
      <c r="F600" s="3"/>
      <c r="G600" s="9"/>
      <c r="O600" s="3"/>
    </row>
    <row r="601" spans="4:15" x14ac:dyDescent="0.25">
      <c r="D601" s="8"/>
      <c r="E601" s="8"/>
      <c r="F601" s="3"/>
      <c r="G601" s="9"/>
      <c r="O601" s="3"/>
    </row>
    <row r="602" spans="4:15" x14ac:dyDescent="0.25">
      <c r="D602" s="8"/>
      <c r="E602" s="8"/>
      <c r="F602" s="3"/>
      <c r="O602" s="3"/>
    </row>
    <row r="603" spans="4:15" x14ac:dyDescent="0.25">
      <c r="D603" s="8"/>
      <c r="E603" s="8"/>
      <c r="F603" s="3"/>
      <c r="G603" s="9"/>
      <c r="O603" s="3"/>
    </row>
    <row r="604" spans="4:15" x14ac:dyDescent="0.25">
      <c r="D604" s="8"/>
      <c r="E604" s="8"/>
      <c r="F604" s="3"/>
      <c r="G604" s="9"/>
      <c r="O604" s="3"/>
    </row>
    <row r="605" spans="4:15" x14ac:dyDescent="0.25">
      <c r="D605" s="8"/>
      <c r="E605" s="8"/>
      <c r="F605" s="3"/>
      <c r="G605" s="9"/>
      <c r="O605" s="3"/>
    </row>
    <row r="606" spans="4:15" x14ac:dyDescent="0.25">
      <c r="D606" s="8"/>
      <c r="E606" s="8"/>
      <c r="F606" s="3"/>
      <c r="G606" s="9"/>
      <c r="O606" s="3"/>
    </row>
    <row r="607" spans="4:15" x14ac:dyDescent="0.25">
      <c r="D607" s="8"/>
      <c r="E607" s="8"/>
      <c r="F607" s="3"/>
      <c r="G607" s="9"/>
      <c r="O607" s="3"/>
    </row>
    <row r="608" spans="4:15" x14ac:dyDescent="0.25">
      <c r="D608" s="8"/>
      <c r="E608" s="8"/>
      <c r="F608" s="3"/>
      <c r="G608" s="9"/>
      <c r="O608" s="3"/>
    </row>
    <row r="609" spans="4:15" x14ac:dyDescent="0.25">
      <c r="D609" s="8"/>
      <c r="E609" s="8"/>
      <c r="F609" s="3"/>
      <c r="G609" s="9"/>
      <c r="O609" s="3"/>
    </row>
    <row r="610" spans="4:15" x14ac:dyDescent="0.25">
      <c r="D610" s="8"/>
      <c r="E610" s="8"/>
      <c r="F610" s="3"/>
      <c r="G610" s="9"/>
      <c r="O610" s="3"/>
    </row>
    <row r="611" spans="4:15" x14ac:dyDescent="0.25">
      <c r="D611" s="8"/>
      <c r="E611" s="8"/>
      <c r="F611" s="3"/>
      <c r="G611" s="9"/>
      <c r="O611" s="3"/>
    </row>
    <row r="612" spans="4:15" x14ac:dyDescent="0.25">
      <c r="D612" s="8"/>
      <c r="E612" s="8"/>
      <c r="F612" s="3"/>
      <c r="G612" s="9"/>
      <c r="O612" s="3"/>
    </row>
    <row r="613" spans="4:15" x14ac:dyDescent="0.25">
      <c r="D613" s="8"/>
      <c r="E613" s="8"/>
      <c r="F613" s="3"/>
      <c r="G613" s="9"/>
      <c r="O613" s="3"/>
    </row>
    <row r="614" spans="4:15" x14ac:dyDescent="0.25">
      <c r="D614" s="8"/>
      <c r="E614" s="8"/>
      <c r="F614" s="3"/>
      <c r="G614" s="9"/>
      <c r="O614" s="3"/>
    </row>
    <row r="615" spans="4:15" x14ac:dyDescent="0.25">
      <c r="D615" s="8"/>
      <c r="E615" s="8"/>
      <c r="F615" s="3"/>
      <c r="G615" s="9"/>
      <c r="O615" s="3"/>
    </row>
    <row r="616" spans="4:15" x14ac:dyDescent="0.25">
      <c r="D616" s="8"/>
      <c r="E616" s="8"/>
      <c r="F616" s="3"/>
      <c r="G616" s="9"/>
      <c r="O616" s="3"/>
    </row>
    <row r="617" spans="4:15" x14ac:dyDescent="0.25">
      <c r="D617" s="8"/>
      <c r="E617" s="8"/>
      <c r="F617" s="3"/>
      <c r="G617" s="9"/>
      <c r="O617" s="3"/>
    </row>
    <row r="618" spans="4:15" x14ac:dyDescent="0.25">
      <c r="D618" s="8"/>
      <c r="E618" s="8"/>
      <c r="F618" s="3"/>
      <c r="G618" s="9"/>
      <c r="O618" s="3"/>
    </row>
    <row r="619" spans="4:15" x14ac:dyDescent="0.25">
      <c r="D619" s="8"/>
      <c r="E619" s="8"/>
      <c r="F619" s="3"/>
      <c r="G619" s="9"/>
      <c r="O619" s="3"/>
    </row>
    <row r="620" spans="4:15" x14ac:dyDescent="0.25">
      <c r="D620" s="8"/>
      <c r="E620" s="8"/>
      <c r="F620" s="3"/>
      <c r="G620" s="9"/>
      <c r="O620" s="3"/>
    </row>
    <row r="621" spans="4:15" x14ac:dyDescent="0.25">
      <c r="D621" s="8"/>
      <c r="E621" s="8"/>
      <c r="F621" s="3"/>
      <c r="G621" s="9"/>
      <c r="O621" s="3"/>
    </row>
    <row r="622" spans="4:15" x14ac:dyDescent="0.25">
      <c r="D622" s="8"/>
      <c r="E622" s="8"/>
      <c r="F622" s="3"/>
      <c r="G622" s="9"/>
      <c r="O622" s="3"/>
    </row>
    <row r="623" spans="4:15" x14ac:dyDescent="0.25">
      <c r="D623" s="8"/>
      <c r="E623" s="8"/>
      <c r="F623" s="3"/>
      <c r="G623" s="9"/>
      <c r="O623" s="3"/>
    </row>
    <row r="624" spans="4:15" x14ac:dyDescent="0.25">
      <c r="D624" s="8"/>
      <c r="E624" s="8"/>
      <c r="F624" s="3"/>
      <c r="G624" s="9"/>
      <c r="O624" s="3"/>
    </row>
    <row r="625" spans="4:15" x14ac:dyDescent="0.25">
      <c r="D625" s="8"/>
      <c r="E625" s="8"/>
      <c r="F625" s="3"/>
      <c r="G625" s="9"/>
      <c r="O625" s="3"/>
    </row>
    <row r="626" spans="4:15" x14ac:dyDescent="0.25">
      <c r="D626" s="8"/>
      <c r="E626" s="8"/>
      <c r="F626" s="3"/>
      <c r="G626" s="9"/>
      <c r="O626" s="3"/>
    </row>
    <row r="627" spans="4:15" x14ac:dyDescent="0.25">
      <c r="D627" s="8"/>
      <c r="E627" s="8"/>
      <c r="F627" s="3"/>
      <c r="O627" s="3"/>
    </row>
    <row r="628" spans="4:15" x14ac:dyDescent="0.25">
      <c r="D628" s="8"/>
      <c r="E628" s="8"/>
      <c r="F628" s="3"/>
      <c r="G628" s="9"/>
      <c r="O628" s="3"/>
    </row>
    <row r="629" spans="4:15" x14ac:dyDescent="0.25">
      <c r="D629" s="8"/>
      <c r="E629" s="8"/>
      <c r="F629" s="3"/>
      <c r="G629" s="9"/>
      <c r="O629" s="3"/>
    </row>
    <row r="630" spans="4:15" x14ac:dyDescent="0.25">
      <c r="D630" s="8"/>
      <c r="E630" s="8"/>
      <c r="F630" s="3"/>
      <c r="G630" s="9"/>
      <c r="O630" s="3"/>
    </row>
    <row r="631" spans="4:15" x14ac:dyDescent="0.25">
      <c r="D631" s="8"/>
      <c r="E631" s="8"/>
      <c r="F631" s="3"/>
      <c r="G631" s="9"/>
      <c r="O631" s="3"/>
    </row>
    <row r="632" spans="4:15" x14ac:dyDescent="0.25">
      <c r="D632" s="8"/>
      <c r="E632" s="8"/>
      <c r="F632" s="3"/>
      <c r="G632" s="9"/>
      <c r="O632" s="3"/>
    </row>
    <row r="633" spans="4:15" x14ac:dyDescent="0.25">
      <c r="D633" s="8"/>
      <c r="E633" s="8"/>
      <c r="F633" s="3"/>
      <c r="G633" s="9"/>
      <c r="O633" s="3"/>
    </row>
    <row r="634" spans="4:15" x14ac:dyDescent="0.25">
      <c r="D634" s="8"/>
      <c r="E634" s="8"/>
      <c r="F634" s="3"/>
      <c r="G634" s="9"/>
      <c r="O634" s="3"/>
    </row>
    <row r="635" spans="4:15" x14ac:dyDescent="0.25">
      <c r="D635" s="8"/>
      <c r="E635" s="8"/>
      <c r="F635" s="3"/>
      <c r="G635" s="9"/>
      <c r="O635" s="3"/>
    </row>
    <row r="636" spans="4:15" x14ac:dyDescent="0.25">
      <c r="D636" s="8"/>
      <c r="E636" s="8"/>
      <c r="F636" s="3"/>
      <c r="G636" s="9"/>
      <c r="O636" s="3"/>
    </row>
    <row r="637" spans="4:15" x14ac:dyDescent="0.25">
      <c r="D637" s="8"/>
      <c r="E637" s="8"/>
      <c r="F637" s="3"/>
      <c r="G637" s="9"/>
      <c r="O637" s="3"/>
    </row>
    <row r="638" spans="4:15" x14ac:dyDescent="0.25">
      <c r="D638" s="8"/>
      <c r="E638" s="8"/>
      <c r="F638" s="3"/>
      <c r="G638" s="9"/>
      <c r="O638" s="3"/>
    </row>
    <row r="639" spans="4:15" x14ac:dyDescent="0.25">
      <c r="D639" s="8"/>
      <c r="E639" s="8"/>
      <c r="F639" s="3"/>
      <c r="G639" s="9"/>
      <c r="O639" s="3"/>
    </row>
    <row r="640" spans="4:15" x14ac:dyDescent="0.25">
      <c r="D640" s="8"/>
      <c r="E640" s="8"/>
      <c r="F640" s="3"/>
      <c r="G640" s="9"/>
      <c r="O640" s="3"/>
    </row>
    <row r="641" spans="4:15" x14ac:dyDescent="0.25">
      <c r="D641" s="8"/>
      <c r="E641" s="8"/>
      <c r="F641" s="3"/>
      <c r="G641" s="9"/>
      <c r="O641" s="3"/>
    </row>
    <row r="642" spans="4:15" x14ac:dyDescent="0.25">
      <c r="D642" s="8"/>
      <c r="E642" s="8"/>
      <c r="F642" s="3"/>
      <c r="G642" s="9"/>
      <c r="O642" s="3"/>
    </row>
    <row r="643" spans="4:15" x14ac:dyDescent="0.25">
      <c r="D643" s="8"/>
      <c r="E643" s="8"/>
      <c r="F643" s="3"/>
      <c r="G643" s="9"/>
      <c r="O643" s="3"/>
    </row>
    <row r="644" spans="4:15" x14ac:dyDescent="0.25">
      <c r="D644" s="8"/>
      <c r="E644" s="8"/>
      <c r="F644" s="3"/>
      <c r="G644" s="9"/>
      <c r="O644" s="3"/>
    </row>
    <row r="645" spans="4:15" x14ac:dyDescent="0.25">
      <c r="D645" s="8"/>
      <c r="E645" s="8"/>
      <c r="F645" s="3"/>
      <c r="G645" s="9"/>
      <c r="O645" s="3"/>
    </row>
    <row r="646" spans="4:15" x14ac:dyDescent="0.25">
      <c r="D646" s="8"/>
      <c r="E646" s="8"/>
      <c r="F646" s="3"/>
      <c r="G646" s="9"/>
      <c r="O646" s="3"/>
    </row>
    <row r="647" spans="4:15" x14ac:dyDescent="0.25">
      <c r="D647" s="8"/>
      <c r="E647" s="8"/>
      <c r="F647" s="3"/>
      <c r="G647" s="9"/>
      <c r="O647" s="3"/>
    </row>
    <row r="648" spans="4:15" x14ac:dyDescent="0.25">
      <c r="D648" s="8"/>
      <c r="E648" s="8"/>
      <c r="F648" s="3"/>
      <c r="G648" s="9"/>
      <c r="O648" s="3"/>
    </row>
    <row r="649" spans="4:15" x14ac:dyDescent="0.25">
      <c r="D649" s="8"/>
      <c r="E649" s="8"/>
      <c r="F649" s="3"/>
      <c r="G649" s="9"/>
      <c r="O649" s="3"/>
    </row>
    <row r="650" spans="4:15" x14ac:dyDescent="0.25">
      <c r="D650" s="8"/>
      <c r="E650" s="8"/>
      <c r="F650" s="3"/>
      <c r="G650" s="9"/>
      <c r="O650" s="3"/>
    </row>
    <row r="651" spans="4:15" x14ac:dyDescent="0.25">
      <c r="D651" s="8"/>
      <c r="E651" s="8"/>
      <c r="F651" s="3"/>
      <c r="G651" s="9"/>
      <c r="O651" s="3"/>
    </row>
    <row r="652" spans="4:15" x14ac:dyDescent="0.25">
      <c r="D652" s="8"/>
      <c r="E652" s="8"/>
      <c r="F652" s="3"/>
      <c r="O652" s="3"/>
    </row>
    <row r="653" spans="4:15" x14ac:dyDescent="0.25">
      <c r="D653" s="8"/>
      <c r="E653" s="8"/>
      <c r="F653" s="3"/>
      <c r="G653" s="9"/>
      <c r="O653" s="3"/>
    </row>
    <row r="654" spans="4:15" x14ac:dyDescent="0.25">
      <c r="D654" s="8"/>
      <c r="E654" s="8"/>
      <c r="F654" s="3"/>
      <c r="G654" s="9"/>
      <c r="O654" s="3"/>
    </row>
    <row r="655" spans="4:15" x14ac:dyDescent="0.25">
      <c r="D655" s="8"/>
      <c r="E655" s="8"/>
      <c r="F655" s="3"/>
      <c r="G655" s="9"/>
      <c r="O655" s="3"/>
    </row>
    <row r="656" spans="4:15" x14ac:dyDescent="0.25">
      <c r="D656" s="8"/>
      <c r="E656" s="8"/>
      <c r="F656" s="3"/>
      <c r="G656" s="9"/>
      <c r="O656" s="3"/>
    </row>
    <row r="657" spans="4:15" x14ac:dyDescent="0.25">
      <c r="D657" s="8"/>
      <c r="E657" s="8"/>
      <c r="F657" s="3"/>
      <c r="G657" s="9"/>
      <c r="O657" s="3"/>
    </row>
    <row r="658" spans="4:15" x14ac:dyDescent="0.25">
      <c r="D658" s="8"/>
      <c r="E658" s="8"/>
      <c r="F658" s="3"/>
      <c r="G658" s="9"/>
      <c r="O658" s="3"/>
    </row>
    <row r="659" spans="4:15" x14ac:dyDescent="0.25">
      <c r="D659" s="8"/>
      <c r="E659" s="8"/>
      <c r="F659" s="3"/>
      <c r="G659" s="9"/>
      <c r="O659" s="3"/>
    </row>
    <row r="660" spans="4:15" x14ac:dyDescent="0.25">
      <c r="D660" s="8"/>
      <c r="E660" s="8"/>
      <c r="F660" s="3"/>
      <c r="G660" s="9"/>
      <c r="O660" s="3"/>
    </row>
    <row r="661" spans="4:15" x14ac:dyDescent="0.25">
      <c r="D661" s="8"/>
      <c r="E661" s="8"/>
      <c r="F661" s="3"/>
      <c r="G661" s="9"/>
      <c r="O661" s="3"/>
    </row>
    <row r="662" spans="4:15" x14ac:dyDescent="0.25">
      <c r="D662" s="8"/>
      <c r="E662" s="8"/>
      <c r="F662" s="3"/>
      <c r="G662" s="9"/>
      <c r="O662" s="3"/>
    </row>
    <row r="663" spans="4:15" x14ac:dyDescent="0.25">
      <c r="D663" s="8"/>
      <c r="E663" s="8"/>
      <c r="F663" s="3"/>
      <c r="G663" s="9"/>
      <c r="O663" s="3"/>
    </row>
    <row r="664" spans="4:15" x14ac:dyDescent="0.25">
      <c r="D664" s="8"/>
      <c r="E664" s="8"/>
      <c r="F664" s="3"/>
      <c r="G664" s="9"/>
      <c r="O664" s="3"/>
    </row>
    <row r="665" spans="4:15" x14ac:dyDescent="0.25">
      <c r="D665" s="8"/>
      <c r="E665" s="8"/>
      <c r="F665" s="3"/>
      <c r="G665" s="9"/>
      <c r="O665" s="3"/>
    </row>
    <row r="666" spans="4:15" x14ac:dyDescent="0.25">
      <c r="D666" s="8"/>
      <c r="E666" s="8"/>
      <c r="F666" s="3"/>
      <c r="G666" s="9"/>
      <c r="O666" s="3"/>
    </row>
    <row r="667" spans="4:15" x14ac:dyDescent="0.25">
      <c r="D667" s="8"/>
      <c r="E667" s="8"/>
      <c r="F667" s="3"/>
      <c r="G667" s="9"/>
      <c r="O667" s="3"/>
    </row>
    <row r="668" spans="4:15" x14ac:dyDescent="0.25">
      <c r="D668" s="8"/>
      <c r="E668" s="8"/>
      <c r="F668" s="3"/>
      <c r="G668" s="9"/>
      <c r="O668" s="3"/>
    </row>
    <row r="669" spans="4:15" x14ac:dyDescent="0.25">
      <c r="D669" s="8"/>
      <c r="E669" s="8"/>
      <c r="F669" s="3"/>
      <c r="G669" s="9"/>
      <c r="O669" s="3"/>
    </row>
    <row r="670" spans="4:15" x14ac:dyDescent="0.25">
      <c r="D670" s="8"/>
      <c r="E670" s="8"/>
      <c r="F670" s="3"/>
      <c r="G670" s="9"/>
      <c r="O670" s="3"/>
    </row>
    <row r="671" spans="4:15" x14ac:dyDescent="0.25">
      <c r="D671" s="8"/>
      <c r="E671" s="8"/>
      <c r="F671" s="3"/>
      <c r="G671" s="9"/>
      <c r="O671" s="3"/>
    </row>
    <row r="672" spans="4:15" x14ac:dyDescent="0.25">
      <c r="D672" s="8"/>
      <c r="E672" s="8"/>
      <c r="F672" s="3"/>
      <c r="G672" s="9"/>
      <c r="O672" s="3"/>
    </row>
    <row r="673" spans="4:15" x14ac:dyDescent="0.25">
      <c r="D673" s="8"/>
      <c r="E673" s="8"/>
      <c r="F673" s="3"/>
      <c r="G673" s="9"/>
      <c r="O673" s="3"/>
    </row>
    <row r="674" spans="4:15" x14ac:dyDescent="0.25">
      <c r="D674" s="8"/>
      <c r="E674" s="8"/>
      <c r="F674" s="3"/>
      <c r="G674" s="9"/>
      <c r="O674" s="3"/>
    </row>
    <row r="675" spans="4:15" x14ac:dyDescent="0.25">
      <c r="D675" s="8"/>
      <c r="E675" s="8"/>
      <c r="F675" s="3"/>
      <c r="G675" s="9"/>
      <c r="O675" s="3"/>
    </row>
    <row r="676" spans="4:15" x14ac:dyDescent="0.25">
      <c r="D676" s="8"/>
      <c r="E676" s="8"/>
      <c r="F676" s="3"/>
      <c r="G676" s="9"/>
      <c r="O676" s="3"/>
    </row>
    <row r="677" spans="4:15" x14ac:dyDescent="0.25">
      <c r="D677" s="8"/>
      <c r="E677" s="8"/>
      <c r="F677" s="3"/>
      <c r="O677" s="3"/>
    </row>
    <row r="678" spans="4:15" x14ac:dyDescent="0.25">
      <c r="D678" s="8"/>
      <c r="E678" s="8"/>
      <c r="F678" s="3"/>
      <c r="G678" s="9"/>
      <c r="O678" s="3"/>
    </row>
    <row r="679" spans="4:15" x14ac:dyDescent="0.25">
      <c r="D679" s="8"/>
      <c r="E679" s="8"/>
      <c r="F679" s="3"/>
      <c r="G679" s="9"/>
      <c r="O679" s="3"/>
    </row>
    <row r="680" spans="4:15" x14ac:dyDescent="0.25">
      <c r="D680" s="8"/>
      <c r="E680" s="8"/>
      <c r="F680" s="3"/>
      <c r="G680" s="9"/>
      <c r="O680" s="3"/>
    </row>
    <row r="681" spans="4:15" x14ac:dyDescent="0.25">
      <c r="D681" s="8"/>
      <c r="E681" s="8"/>
      <c r="F681" s="3"/>
      <c r="G681" s="9"/>
      <c r="O681" s="3"/>
    </row>
    <row r="682" spans="4:15" x14ac:dyDescent="0.25">
      <c r="D682" s="8"/>
      <c r="E682" s="8"/>
      <c r="F682" s="3"/>
      <c r="G682" s="9"/>
      <c r="O682" s="3"/>
    </row>
    <row r="683" spans="4:15" x14ac:dyDescent="0.25">
      <c r="D683" s="8"/>
      <c r="E683" s="8"/>
      <c r="F683" s="3"/>
      <c r="G683" s="9"/>
      <c r="O683" s="3"/>
    </row>
    <row r="684" spans="4:15" x14ac:dyDescent="0.25">
      <c r="D684" s="8"/>
      <c r="E684" s="8"/>
      <c r="F684" s="3"/>
      <c r="G684" s="9"/>
      <c r="O684" s="3"/>
    </row>
    <row r="685" spans="4:15" x14ac:dyDescent="0.25">
      <c r="D685" s="8"/>
      <c r="E685" s="8"/>
      <c r="F685" s="3"/>
      <c r="G685" s="9"/>
      <c r="O685" s="3"/>
    </row>
    <row r="686" spans="4:15" x14ac:dyDescent="0.25">
      <c r="D686" s="8"/>
      <c r="E686" s="8"/>
      <c r="F686" s="3"/>
      <c r="G686" s="9"/>
      <c r="O686" s="3"/>
    </row>
    <row r="687" spans="4:15" x14ac:dyDescent="0.25">
      <c r="D687" s="8"/>
      <c r="E687" s="8"/>
      <c r="F687" s="3"/>
      <c r="G687" s="9"/>
      <c r="O687" s="3"/>
    </row>
    <row r="688" spans="4:15" x14ac:dyDescent="0.25">
      <c r="D688" s="8"/>
      <c r="E688" s="8"/>
      <c r="F688" s="3"/>
      <c r="G688" s="9"/>
      <c r="O688" s="3"/>
    </row>
    <row r="689" spans="4:15" x14ac:dyDescent="0.25">
      <c r="D689" s="8"/>
      <c r="E689" s="8"/>
      <c r="F689" s="3"/>
      <c r="G689" s="9"/>
      <c r="O689" s="3"/>
    </row>
    <row r="690" spans="4:15" x14ac:dyDescent="0.25">
      <c r="D690" s="8"/>
      <c r="E690" s="8"/>
      <c r="F690" s="3"/>
      <c r="G690" s="9"/>
      <c r="O690" s="3"/>
    </row>
    <row r="691" spans="4:15" x14ac:dyDescent="0.25">
      <c r="D691" s="8"/>
      <c r="E691" s="8"/>
      <c r="F691" s="3"/>
      <c r="G691" s="9"/>
      <c r="O691" s="3"/>
    </row>
    <row r="692" spans="4:15" x14ac:dyDescent="0.25">
      <c r="D692" s="8"/>
      <c r="E692" s="8"/>
      <c r="F692" s="3"/>
      <c r="G692" s="9"/>
      <c r="O692" s="3"/>
    </row>
    <row r="693" spans="4:15" x14ac:dyDescent="0.25">
      <c r="D693" s="8"/>
      <c r="E693" s="8"/>
      <c r="F693" s="3"/>
      <c r="G693" s="9"/>
      <c r="O693" s="3"/>
    </row>
    <row r="694" spans="4:15" x14ac:dyDescent="0.25">
      <c r="D694" s="8"/>
      <c r="E694" s="8"/>
      <c r="F694" s="3"/>
      <c r="G694" s="9"/>
      <c r="O694" s="3"/>
    </row>
    <row r="695" spans="4:15" x14ac:dyDescent="0.25">
      <c r="D695" s="8"/>
      <c r="E695" s="8"/>
      <c r="F695" s="3"/>
      <c r="G695" s="9"/>
      <c r="O695" s="3"/>
    </row>
    <row r="696" spans="4:15" x14ac:dyDescent="0.25">
      <c r="D696" s="8"/>
      <c r="E696" s="8"/>
      <c r="F696" s="3"/>
      <c r="G696" s="9"/>
      <c r="O696" s="3"/>
    </row>
    <row r="697" spans="4:15" x14ac:dyDescent="0.25">
      <c r="D697" s="8"/>
      <c r="E697" s="8"/>
      <c r="F697" s="3"/>
      <c r="G697" s="9"/>
      <c r="O697" s="3"/>
    </row>
    <row r="698" spans="4:15" x14ac:dyDescent="0.25">
      <c r="D698" s="8"/>
      <c r="E698" s="8"/>
      <c r="F698" s="3"/>
      <c r="G698" s="9"/>
      <c r="O698" s="3"/>
    </row>
    <row r="699" spans="4:15" x14ac:dyDescent="0.25">
      <c r="D699" s="8"/>
      <c r="E699" s="8"/>
      <c r="F699" s="3"/>
      <c r="G699" s="9"/>
      <c r="O699" s="3"/>
    </row>
    <row r="700" spans="4:15" x14ac:dyDescent="0.25">
      <c r="D700" s="8"/>
      <c r="E700" s="8"/>
      <c r="F700" s="3"/>
      <c r="G700" s="9"/>
      <c r="O700" s="3"/>
    </row>
    <row r="701" spans="4:15" x14ac:dyDescent="0.25">
      <c r="D701" s="8"/>
      <c r="E701" s="8"/>
      <c r="F701" s="3"/>
      <c r="G701" s="9"/>
      <c r="O701" s="3"/>
    </row>
    <row r="702" spans="4:15" x14ac:dyDescent="0.25">
      <c r="D702" s="8"/>
      <c r="E702" s="8"/>
      <c r="F702" s="3"/>
      <c r="O702" s="3"/>
    </row>
    <row r="703" spans="4:15" x14ac:dyDescent="0.25">
      <c r="D703" s="8"/>
      <c r="E703" s="8"/>
      <c r="F703" s="3"/>
      <c r="G703" s="9"/>
      <c r="O703" s="3"/>
    </row>
    <row r="704" spans="4:15" x14ac:dyDescent="0.25">
      <c r="D704" s="8"/>
      <c r="E704" s="8"/>
      <c r="F704" s="3"/>
      <c r="G704" s="9"/>
      <c r="O704" s="3"/>
    </row>
    <row r="705" spans="4:15" x14ac:dyDescent="0.25">
      <c r="D705" s="8"/>
      <c r="E705" s="8"/>
      <c r="F705" s="3"/>
      <c r="G705" s="9"/>
      <c r="O705" s="3"/>
    </row>
    <row r="706" spans="4:15" x14ac:dyDescent="0.25">
      <c r="D706" s="8"/>
      <c r="E706" s="8"/>
      <c r="F706" s="3"/>
      <c r="G706" s="9"/>
      <c r="O706" s="3"/>
    </row>
    <row r="707" spans="4:15" x14ac:dyDescent="0.25">
      <c r="D707" s="8"/>
      <c r="E707" s="8"/>
      <c r="F707" s="3"/>
      <c r="G707" s="9"/>
      <c r="O707" s="3"/>
    </row>
    <row r="708" spans="4:15" x14ac:dyDescent="0.25">
      <c r="D708" s="8"/>
      <c r="E708" s="8"/>
      <c r="F708" s="3"/>
      <c r="G708" s="9"/>
      <c r="O708" s="3"/>
    </row>
    <row r="709" spans="4:15" x14ac:dyDescent="0.25">
      <c r="D709" s="8"/>
      <c r="E709" s="8"/>
      <c r="F709" s="3"/>
      <c r="G709" s="9"/>
      <c r="O709" s="3"/>
    </row>
    <row r="710" spans="4:15" x14ac:dyDescent="0.25">
      <c r="D710" s="8"/>
      <c r="E710" s="8"/>
      <c r="F710" s="3"/>
      <c r="G710" s="9"/>
      <c r="O710" s="3"/>
    </row>
    <row r="711" spans="4:15" x14ac:dyDescent="0.25">
      <c r="D711" s="8"/>
      <c r="E711" s="8"/>
      <c r="F711" s="3"/>
      <c r="G711" s="9"/>
      <c r="O711" s="3"/>
    </row>
    <row r="712" spans="4:15" x14ac:dyDescent="0.25">
      <c r="D712" s="8"/>
      <c r="E712" s="8"/>
      <c r="F712" s="3"/>
      <c r="G712" s="9"/>
      <c r="O712" s="3"/>
    </row>
    <row r="713" spans="4:15" x14ac:dyDescent="0.25">
      <c r="D713" s="8"/>
      <c r="E713" s="8"/>
      <c r="F713" s="3"/>
      <c r="G713" s="9"/>
      <c r="O713" s="3"/>
    </row>
    <row r="714" spans="4:15" x14ac:dyDescent="0.25">
      <c r="D714" s="8"/>
      <c r="E714" s="8"/>
      <c r="F714" s="3"/>
      <c r="G714" s="9"/>
      <c r="O714" s="3"/>
    </row>
    <row r="715" spans="4:15" x14ac:dyDescent="0.25">
      <c r="D715" s="8"/>
      <c r="E715" s="8"/>
      <c r="F715" s="3"/>
      <c r="G715" s="9"/>
      <c r="O715" s="3"/>
    </row>
    <row r="716" spans="4:15" x14ac:dyDescent="0.25">
      <c r="D716" s="8"/>
      <c r="E716" s="8"/>
      <c r="F716" s="3"/>
      <c r="G716" s="9"/>
      <c r="O716" s="3"/>
    </row>
    <row r="717" spans="4:15" x14ac:dyDescent="0.25">
      <c r="D717" s="8"/>
      <c r="E717" s="8"/>
      <c r="F717" s="3"/>
      <c r="G717" s="9"/>
      <c r="O717" s="3"/>
    </row>
    <row r="718" spans="4:15" x14ac:dyDescent="0.25">
      <c r="D718" s="3"/>
      <c r="F718" s="3"/>
      <c r="G718" s="9"/>
      <c r="O718" s="3"/>
    </row>
    <row r="719" spans="4:15" x14ac:dyDescent="0.25">
      <c r="F719" s="3"/>
      <c r="G719" s="9"/>
      <c r="O719" s="3"/>
    </row>
    <row r="720" spans="4:15" x14ac:dyDescent="0.25">
      <c r="F720" s="3"/>
      <c r="G720" s="9"/>
      <c r="O720" s="3"/>
    </row>
    <row r="721" spans="6:15" x14ac:dyDescent="0.25">
      <c r="F721" s="3"/>
      <c r="G721" s="9"/>
      <c r="O721" s="3"/>
    </row>
    <row r="722" spans="6:15" x14ac:dyDescent="0.25">
      <c r="F722" s="3"/>
      <c r="G722" s="9"/>
      <c r="O722" s="3"/>
    </row>
    <row r="723" spans="6:15" x14ac:dyDescent="0.25">
      <c r="F723" s="3"/>
      <c r="G723" s="9"/>
      <c r="O723" s="3"/>
    </row>
    <row r="724" spans="6:15" x14ac:dyDescent="0.25">
      <c r="F724" s="3"/>
      <c r="G724" s="9"/>
      <c r="O724" s="3"/>
    </row>
    <row r="725" spans="6:15" x14ac:dyDescent="0.25">
      <c r="F725" s="3"/>
      <c r="G725" s="9"/>
      <c r="O725" s="3"/>
    </row>
    <row r="726" spans="6:15" x14ac:dyDescent="0.25">
      <c r="F726" s="3"/>
      <c r="G726" s="9"/>
      <c r="O726" s="3"/>
    </row>
    <row r="727" spans="6:15" x14ac:dyDescent="0.25">
      <c r="F727" s="3"/>
      <c r="O727" s="3"/>
    </row>
    <row r="728" spans="6:15" x14ac:dyDescent="0.25">
      <c r="F728" s="3"/>
      <c r="G728" s="9"/>
      <c r="O728" s="3"/>
    </row>
    <row r="729" spans="6:15" x14ac:dyDescent="0.25">
      <c r="F729" s="3"/>
      <c r="G729" s="9"/>
      <c r="O729" s="3"/>
    </row>
    <row r="730" spans="6:15" x14ac:dyDescent="0.25">
      <c r="F730" s="3"/>
      <c r="G730" s="9"/>
      <c r="O730" s="3"/>
    </row>
    <row r="731" spans="6:15" x14ac:dyDescent="0.25">
      <c r="F731" s="3"/>
      <c r="G731" s="9"/>
      <c r="O731" s="3"/>
    </row>
    <row r="732" spans="6:15" x14ac:dyDescent="0.25">
      <c r="F732" s="3"/>
      <c r="G732" s="9"/>
      <c r="O732" s="3"/>
    </row>
    <row r="733" spans="6:15" x14ac:dyDescent="0.25">
      <c r="F733" s="3"/>
      <c r="G733" s="9"/>
      <c r="O733" s="3"/>
    </row>
    <row r="734" spans="6:15" x14ac:dyDescent="0.25">
      <c r="F734" s="3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4"/>
  <sheetViews>
    <sheetView zoomScale="80" zoomScaleNormal="80" workbookViewId="0">
      <selection activeCell="B1" sqref="B1:C1048576"/>
    </sheetView>
  </sheetViews>
  <sheetFormatPr defaultRowHeight="15" x14ac:dyDescent="0.25"/>
  <cols>
    <col min="1" max="1" width="6.5703125" customWidth="1"/>
    <col min="11" max="11" width="11.85546875" bestFit="1" customWidth="1"/>
    <col min="12" max="12" width="12.42578125" bestFit="1" customWidth="1"/>
    <col min="14" max="14" width="12.28515625" bestFit="1" customWidth="1"/>
    <col min="15" max="15" width="9.5703125" customWidth="1"/>
  </cols>
  <sheetData>
    <row r="1" spans="1:15" x14ac:dyDescent="0.25">
      <c r="A1" s="1"/>
      <c r="B1" s="2">
        <v>45108.944444444445</v>
      </c>
      <c r="C1" s="2">
        <v>45186.181818181816</v>
      </c>
      <c r="I1" s="5"/>
      <c r="K1" t="s">
        <v>17</v>
      </c>
      <c r="L1" s="9">
        <f>C1-B1</f>
        <v>77.237373737370945</v>
      </c>
      <c r="M1" s="9"/>
    </row>
    <row r="2" spans="1:15" x14ac:dyDescent="0.25">
      <c r="A2" t="s">
        <v>0</v>
      </c>
      <c r="B2" t="s">
        <v>1</v>
      </c>
      <c r="C2" t="s">
        <v>1</v>
      </c>
      <c r="D2" s="6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6" t="s">
        <v>10</v>
      </c>
      <c r="J2" s="6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15</v>
      </c>
    </row>
    <row r="3" spans="1:15" x14ac:dyDescent="0.25">
      <c r="A3">
        <v>2</v>
      </c>
      <c r="B3" s="3">
        <v>6.0376666666666665</v>
      </c>
      <c r="C3" s="3">
        <v>11.0749</v>
      </c>
      <c r="D3">
        <f>C3-B3</f>
        <v>5.037233333333333</v>
      </c>
      <c r="E3">
        <f>(D3+D4)/2</f>
        <v>4.9445972222222228</v>
      </c>
      <c r="F3">
        <v>70</v>
      </c>
      <c r="G3">
        <v>7381</v>
      </c>
      <c r="H3">
        <f>E3*F3</f>
        <v>346.12180555555557</v>
      </c>
      <c r="I3">
        <f t="shared" ref="I3:I22" si="0">I4+H3</f>
        <v>909.81856590909092</v>
      </c>
      <c r="J3">
        <f t="shared" ref="J3:J23" si="1">(I3/G3)*1000</f>
        <v>123.26494592996761</v>
      </c>
    </row>
    <row r="4" spans="1:15" x14ac:dyDescent="0.25">
      <c r="A4">
        <v>10</v>
      </c>
      <c r="B4" s="3">
        <v>4.9482388888888886</v>
      </c>
      <c r="C4" s="3">
        <v>9.8002000000000002</v>
      </c>
      <c r="D4">
        <f t="shared" ref="D4:D38" si="2">C4-B4</f>
        <v>4.8519611111111116</v>
      </c>
      <c r="E4">
        <f t="shared" ref="E4:E38" si="3">(D4+D5)/2</f>
        <v>3.7909638888888884</v>
      </c>
      <c r="F4">
        <v>70</v>
      </c>
      <c r="G4">
        <v>7338</v>
      </c>
      <c r="H4">
        <f t="shared" ref="H4:H38" si="4">E4*F4</f>
        <v>265.3674722222222</v>
      </c>
      <c r="I4">
        <f t="shared" si="0"/>
        <v>563.69676035353541</v>
      </c>
      <c r="J4">
        <f t="shared" si="1"/>
        <v>76.818855322095317</v>
      </c>
      <c r="K4">
        <f>(B5-B3)/(A5-A3)</f>
        <v>-8.2501851851851785E-2</v>
      </c>
      <c r="L4">
        <f>(C5-C3)/(A5-A3)</f>
        <v>-0.21068333333333333</v>
      </c>
      <c r="M4">
        <f>(K4+L4)/2</f>
        <v>-0.14659259259259255</v>
      </c>
      <c r="N4">
        <f>-J4/(M4*86400*$L$1)</f>
        <v>7.8526196961359508E-5</v>
      </c>
      <c r="O4" s="3">
        <f>N4*10000</f>
        <v>0.78526196961359507</v>
      </c>
    </row>
    <row r="5" spans="1:15" x14ac:dyDescent="0.25">
      <c r="A5">
        <v>20</v>
      </c>
      <c r="B5" s="3">
        <v>4.5526333333333344</v>
      </c>
      <c r="C5" s="3">
        <v>7.2825999999999995</v>
      </c>
      <c r="D5">
        <f t="shared" si="2"/>
        <v>2.7299666666666651</v>
      </c>
      <c r="E5">
        <f t="shared" si="3"/>
        <v>2.0951143939393924</v>
      </c>
      <c r="F5">
        <v>70</v>
      </c>
      <c r="G5">
        <v>7252</v>
      </c>
      <c r="H5">
        <f t="shared" si="4"/>
        <v>146.65800757575747</v>
      </c>
      <c r="I5">
        <f t="shared" si="0"/>
        <v>298.32928813131321</v>
      </c>
      <c r="J5">
        <f t="shared" si="1"/>
        <v>41.137519047340483</v>
      </c>
      <c r="K5">
        <f t="shared" ref="K5:K38" si="5">(B6-B4)/(A6-A4)</f>
        <v>-2.9067777777777738E-2</v>
      </c>
      <c r="L5">
        <f t="shared" ref="L5:L38" si="6">(C6-C4)/(A6-A4)</f>
        <v>-0.19865272727272734</v>
      </c>
      <c r="M5">
        <f t="shared" ref="M5:M38" si="7">(K5+L5)/2</f>
        <v>-0.11386025252525254</v>
      </c>
      <c r="N5">
        <f t="shared" ref="N5:N38" si="8">-J5/(M5*86400*$L$1)</f>
        <v>5.4140805512954861E-5</v>
      </c>
      <c r="O5" s="3">
        <f t="shared" ref="O5:O38" si="9">N5*10000</f>
        <v>0.54140805512954859</v>
      </c>
    </row>
    <row r="6" spans="1:15" x14ac:dyDescent="0.25">
      <c r="A6">
        <v>30</v>
      </c>
      <c r="B6" s="3">
        <v>4.3668833333333339</v>
      </c>
      <c r="C6" s="3">
        <v>5.8271454545454535</v>
      </c>
      <c r="D6">
        <f t="shared" si="2"/>
        <v>1.4602621212121196</v>
      </c>
      <c r="E6">
        <f t="shared" si="3"/>
        <v>1.1242431818181813</v>
      </c>
      <c r="F6">
        <v>70</v>
      </c>
      <c r="G6">
        <v>7218</v>
      </c>
      <c r="H6">
        <f t="shared" si="4"/>
        <v>78.697022727272696</v>
      </c>
      <c r="I6">
        <f t="shared" si="0"/>
        <v>151.67128055555577</v>
      </c>
      <c r="J6">
        <f t="shared" si="1"/>
        <v>21.012923324405065</v>
      </c>
      <c r="K6">
        <f t="shared" si="5"/>
        <v>-1.490833333333339E-2</v>
      </c>
      <c r="L6">
        <f t="shared" si="6"/>
        <v>-0.1119954545454545</v>
      </c>
      <c r="M6">
        <f t="shared" si="7"/>
        <v>-6.3451893939393947E-2</v>
      </c>
      <c r="N6">
        <f t="shared" si="8"/>
        <v>4.9625014356651711E-5</v>
      </c>
      <c r="O6" s="3">
        <f t="shared" si="9"/>
        <v>0.49625014356651709</v>
      </c>
    </row>
    <row r="7" spans="1:15" x14ac:dyDescent="0.25">
      <c r="A7">
        <v>40</v>
      </c>
      <c r="B7" s="3">
        <v>4.2544666666666666</v>
      </c>
      <c r="C7" s="3">
        <v>5.0426909090909096</v>
      </c>
      <c r="D7">
        <f t="shared" si="2"/>
        <v>0.78822424242424294</v>
      </c>
      <c r="E7">
        <f t="shared" si="3"/>
        <v>0.62792853535353599</v>
      </c>
      <c r="F7">
        <v>70</v>
      </c>
      <c r="G7">
        <v>7128.25</v>
      </c>
      <c r="H7">
        <f t="shared" si="4"/>
        <v>43.954997474747522</v>
      </c>
      <c r="I7">
        <f t="shared" si="0"/>
        <v>72.974257828283072</v>
      </c>
      <c r="J7">
        <f t="shared" si="1"/>
        <v>10.237331438751877</v>
      </c>
      <c r="K7">
        <f t="shared" si="5"/>
        <v>-1.0969444444444499E-2</v>
      </c>
      <c r="L7">
        <f t="shared" si="6"/>
        <v>-6.0600909090909025E-2</v>
      </c>
      <c r="M7">
        <f t="shared" si="7"/>
        <v>-3.5785176767676764E-2</v>
      </c>
      <c r="N7">
        <f t="shared" si="8"/>
        <v>4.2868901640197539E-5</v>
      </c>
      <c r="O7" s="3">
        <f t="shared" si="9"/>
        <v>0.42868901640197538</v>
      </c>
    </row>
    <row r="8" spans="1:15" x14ac:dyDescent="0.25">
      <c r="A8">
        <v>50</v>
      </c>
      <c r="B8" s="3">
        <v>4.1474944444444439</v>
      </c>
      <c r="C8" s="3">
        <v>4.615127272727273</v>
      </c>
      <c r="D8">
        <f t="shared" si="2"/>
        <v>0.46763282828282904</v>
      </c>
      <c r="E8">
        <f t="shared" si="3"/>
        <v>0.30789873737373741</v>
      </c>
      <c r="F8">
        <v>65</v>
      </c>
      <c r="G8">
        <v>6875.5</v>
      </c>
      <c r="H8">
        <f t="shared" si="4"/>
        <v>20.013417929292931</v>
      </c>
      <c r="I8">
        <f t="shared" si="0"/>
        <v>29.019260353535557</v>
      </c>
      <c r="J8">
        <f t="shared" si="1"/>
        <v>4.2206763658694726</v>
      </c>
      <c r="K8">
        <f t="shared" si="5"/>
        <v>-9.1611111111110869E-3</v>
      </c>
      <c r="L8">
        <f t="shared" si="6"/>
        <v>-4.1164090909090942E-2</v>
      </c>
      <c r="M8">
        <f t="shared" si="7"/>
        <v>-2.5162601010101013E-2</v>
      </c>
      <c r="N8">
        <f t="shared" si="8"/>
        <v>2.5135369878441219E-5</v>
      </c>
      <c r="O8" s="3">
        <f t="shared" si="9"/>
        <v>0.25135369878441216</v>
      </c>
    </row>
    <row r="9" spans="1:15" x14ac:dyDescent="0.25">
      <c r="A9">
        <v>60</v>
      </c>
      <c r="B9" s="3">
        <v>4.0712444444444449</v>
      </c>
      <c r="C9" s="3">
        <v>4.2194090909090907</v>
      </c>
      <c r="D9">
        <f t="shared" si="2"/>
        <v>0.14816464646464578</v>
      </c>
      <c r="E9">
        <f t="shared" si="3"/>
        <v>7.1598989898989274E-2</v>
      </c>
      <c r="F9">
        <v>65</v>
      </c>
      <c r="G9">
        <v>6622.75</v>
      </c>
      <c r="H9">
        <f t="shared" si="4"/>
        <v>4.6539343434343028</v>
      </c>
      <c r="I9">
        <f>I10+H9</f>
        <v>9.0058424242426263</v>
      </c>
      <c r="J9">
        <f>(I9/G9)*1000</f>
        <v>1.359834271902552</v>
      </c>
      <c r="K9">
        <f t="shared" si="5"/>
        <v>-7.1263888888888349E-3</v>
      </c>
      <c r="L9">
        <f t="shared" si="6"/>
        <v>-3.0756363636363648E-2</v>
      </c>
      <c r="M9">
        <f t="shared" si="7"/>
        <v>-1.8941376262626243E-2</v>
      </c>
      <c r="N9">
        <f t="shared" si="8"/>
        <v>1.075804138199203E-5</v>
      </c>
      <c r="O9" s="3">
        <f>N9*10000</f>
        <v>0.1075804138199203</v>
      </c>
    </row>
    <row r="10" spans="1:15" x14ac:dyDescent="0.25">
      <c r="A10">
        <v>70</v>
      </c>
      <c r="B10" s="3">
        <v>4.0049666666666672</v>
      </c>
      <c r="C10" s="3">
        <v>4</v>
      </c>
      <c r="D10">
        <f t="shared" si="2"/>
        <v>-4.9666666666672299E-3</v>
      </c>
      <c r="E10">
        <f t="shared" si="3"/>
        <v>-1.041919191919205E-2</v>
      </c>
      <c r="F10">
        <v>65</v>
      </c>
      <c r="G10">
        <v>6370</v>
      </c>
      <c r="H10">
        <f>E10*F10</f>
        <v>-0.67724747474748326</v>
      </c>
      <c r="I10">
        <f t="shared" si="0"/>
        <v>4.3519080808083226</v>
      </c>
      <c r="J10">
        <f t="shared" si="1"/>
        <v>0.68318808175954826</v>
      </c>
      <c r="K10">
        <f t="shared" si="5"/>
        <v>-6.5600000000000328E-3</v>
      </c>
      <c r="L10">
        <f t="shared" si="6"/>
        <v>-1.4761818181818164E-2</v>
      </c>
      <c r="M10">
        <f t="shared" si="7"/>
        <v>-1.0660909090909099E-2</v>
      </c>
      <c r="N10">
        <f t="shared" si="8"/>
        <v>9.6029529432929797E-6</v>
      </c>
      <c r="O10" s="3">
        <f t="shared" si="9"/>
        <v>9.6029529432929792E-2</v>
      </c>
    </row>
    <row r="11" spans="1:15" x14ac:dyDescent="0.25">
      <c r="A11">
        <v>80</v>
      </c>
      <c r="B11" s="3">
        <v>3.9400444444444442</v>
      </c>
      <c r="C11" s="3">
        <v>3.9241727272727274</v>
      </c>
      <c r="D11">
        <f t="shared" si="2"/>
        <v>-1.587171717171687E-2</v>
      </c>
      <c r="E11">
        <f>(D11+D12)/2</f>
        <v>-1.1603787878787797E-2</v>
      </c>
      <c r="F11">
        <v>65</v>
      </c>
      <c r="G11">
        <v>6223</v>
      </c>
      <c r="H11">
        <f t="shared" si="4"/>
        <v>-0.75424621212120679</v>
      </c>
      <c r="I11">
        <f t="shared" si="0"/>
        <v>5.0291555555558061</v>
      </c>
      <c r="J11">
        <f t="shared" si="1"/>
        <v>0.80815612334176534</v>
      </c>
      <c r="K11">
        <f t="shared" si="5"/>
        <v>-5.944722222222221E-3</v>
      </c>
      <c r="L11">
        <f t="shared" si="6"/>
        <v>-6.0631818181817957E-3</v>
      </c>
      <c r="M11">
        <f t="shared" si="7"/>
        <v>-6.0039520202020084E-3</v>
      </c>
      <c r="N11">
        <f t="shared" si="8"/>
        <v>2.0170506977957894E-5</v>
      </c>
      <c r="O11" s="3">
        <f t="shared" si="9"/>
        <v>0.20170506977957894</v>
      </c>
    </row>
    <row r="12" spans="1:15" x14ac:dyDescent="0.25">
      <c r="A12">
        <v>90</v>
      </c>
      <c r="B12" s="3">
        <v>3.8860722222222228</v>
      </c>
      <c r="C12" s="3">
        <v>3.8787363636363641</v>
      </c>
      <c r="D12">
        <f t="shared" si="2"/>
        <v>-7.3358585858587233E-3</v>
      </c>
      <c r="E12">
        <f t="shared" si="3"/>
        <v>-7.60505050505067E-3</v>
      </c>
      <c r="F12">
        <v>65</v>
      </c>
      <c r="G12">
        <v>6076</v>
      </c>
      <c r="H12">
        <f t="shared" si="4"/>
        <v>-0.49432828282829355</v>
      </c>
      <c r="I12">
        <f t="shared" si="0"/>
        <v>5.7834017676770131</v>
      </c>
      <c r="J12">
        <f t="shared" si="1"/>
        <v>0.95184360890010089</v>
      </c>
      <c r="K12">
        <f t="shared" si="5"/>
        <v>-4.6330555555555101E-3</v>
      </c>
      <c r="L12">
        <f t="shared" si="6"/>
        <v>-4.2331818181817974E-3</v>
      </c>
      <c r="M12">
        <f t="shared" si="7"/>
        <v>-4.4331186868686537E-3</v>
      </c>
      <c r="N12">
        <f t="shared" si="8"/>
        <v>3.2174736490267292E-5</v>
      </c>
      <c r="O12" s="3">
        <f t="shared" si="9"/>
        <v>0.32174736490267292</v>
      </c>
    </row>
    <row r="13" spans="1:15" x14ac:dyDescent="0.25">
      <c r="A13">
        <v>100</v>
      </c>
      <c r="B13" s="3">
        <v>3.847383333333334</v>
      </c>
      <c r="C13" s="3">
        <v>3.8395090909090914</v>
      </c>
      <c r="D13">
        <f t="shared" si="2"/>
        <v>-7.8742424242426168E-3</v>
      </c>
      <c r="E13">
        <f t="shared" si="3"/>
        <v>1.3174494949494742E-2</v>
      </c>
      <c r="F13">
        <v>315</v>
      </c>
      <c r="G13">
        <v>5919</v>
      </c>
      <c r="H13">
        <f t="shared" si="4"/>
        <v>4.1499659090908434</v>
      </c>
      <c r="I13">
        <f t="shared" si="0"/>
        <v>6.2777300505053066</v>
      </c>
      <c r="J13">
        <f t="shared" si="1"/>
        <v>1.0606065299045966</v>
      </c>
      <c r="K13">
        <f t="shared" si="5"/>
        <v>-3.3341666666666749E-3</v>
      </c>
      <c r="L13">
        <f t="shared" si="6"/>
        <v>-2.6415151515151612E-3</v>
      </c>
      <c r="M13">
        <f t="shared" si="7"/>
        <v>-2.9878409090909183E-3</v>
      </c>
      <c r="N13">
        <f t="shared" si="8"/>
        <v>5.3193134987254681E-5</v>
      </c>
      <c r="O13" s="3">
        <f t="shared" si="9"/>
        <v>0.53193134987254687</v>
      </c>
    </row>
    <row r="14" spans="1:15" x14ac:dyDescent="0.25">
      <c r="A14">
        <v>150</v>
      </c>
      <c r="B14" s="3">
        <v>3.6860222222222223</v>
      </c>
      <c r="C14" s="3">
        <v>3.7202454545454544</v>
      </c>
      <c r="D14">
        <f t="shared" si="2"/>
        <v>3.42232323232321E-2</v>
      </c>
      <c r="E14">
        <f t="shared" si="3"/>
        <v>2.6046464646464429E-2</v>
      </c>
      <c r="F14">
        <v>311</v>
      </c>
      <c r="G14">
        <v>5762</v>
      </c>
      <c r="H14">
        <f t="shared" si="4"/>
        <v>8.1004505050504374</v>
      </c>
      <c r="I14">
        <f t="shared" si="0"/>
        <v>2.1277641414144632</v>
      </c>
      <c r="J14">
        <f t="shared" si="1"/>
        <v>0.36927527619133343</v>
      </c>
      <c r="K14">
        <f t="shared" si="5"/>
        <v>-2.4741666666666705E-3</v>
      </c>
      <c r="L14">
        <f t="shared" si="6"/>
        <v>-2.2167272727272769E-3</v>
      </c>
      <c r="M14">
        <f t="shared" si="7"/>
        <v>-2.3454469696969739E-3</v>
      </c>
      <c r="N14">
        <f t="shared" si="8"/>
        <v>2.3593011144372184E-5</v>
      </c>
      <c r="O14" s="3">
        <f t="shared" si="9"/>
        <v>0.23593011144372183</v>
      </c>
    </row>
    <row r="15" spans="1:15" x14ac:dyDescent="0.25">
      <c r="A15">
        <v>200</v>
      </c>
      <c r="B15" s="3">
        <v>3.599966666666667</v>
      </c>
      <c r="C15" s="3">
        <v>3.6178363636363637</v>
      </c>
      <c r="D15">
        <f t="shared" si="2"/>
        <v>1.7869696969696758E-2</v>
      </c>
      <c r="E15">
        <f t="shared" si="3"/>
        <v>1.2362373737373478E-2</v>
      </c>
      <c r="F15">
        <v>305</v>
      </c>
      <c r="G15">
        <v>5461</v>
      </c>
      <c r="H15">
        <f t="shared" si="4"/>
        <v>3.7705239898989107</v>
      </c>
      <c r="I15">
        <f t="shared" si="0"/>
        <v>-5.9726863636359742</v>
      </c>
      <c r="J15">
        <f t="shared" si="1"/>
        <v>-1.0936982903563401</v>
      </c>
      <c r="K15">
        <f t="shared" si="5"/>
        <v>-1.1984999999999956E-3</v>
      </c>
      <c r="L15">
        <f t="shared" si="6"/>
        <v>-1.4721818181818148E-3</v>
      </c>
      <c r="M15">
        <f t="shared" si="7"/>
        <v>-1.3353409090909052E-3</v>
      </c>
      <c r="N15">
        <f t="shared" si="8"/>
        <v>-1.2273378802261169E-4</v>
      </c>
      <c r="O15" s="3">
        <f t="shared" si="9"/>
        <v>-1.2273378802261168</v>
      </c>
    </row>
    <row r="16" spans="1:15" x14ac:dyDescent="0.25">
      <c r="A16">
        <v>250</v>
      </c>
      <c r="B16" s="3">
        <v>3.5661722222222227</v>
      </c>
      <c r="C16" s="3">
        <v>3.5730272727272729</v>
      </c>
      <c r="D16">
        <f t="shared" si="2"/>
        <v>6.8550505050501975E-3</v>
      </c>
      <c r="E16">
        <f t="shared" si="3"/>
        <v>5.8434343434341507E-3</v>
      </c>
      <c r="F16">
        <v>298</v>
      </c>
      <c r="G16">
        <v>5186</v>
      </c>
      <c r="H16">
        <f t="shared" si="4"/>
        <v>1.7413434343433769</v>
      </c>
      <c r="I16">
        <f t="shared" si="0"/>
        <v>-9.7432103535348844</v>
      </c>
      <c r="J16">
        <f t="shared" si="1"/>
        <v>-1.8787524785065339</v>
      </c>
      <c r="K16">
        <f t="shared" si="5"/>
        <v>-6.5016666666666727E-4</v>
      </c>
      <c r="L16">
        <f t="shared" si="6"/>
        <v>-7.805454545454538E-4</v>
      </c>
      <c r="M16">
        <f t="shared" si="7"/>
        <v>-7.1535606060606053E-4</v>
      </c>
      <c r="N16">
        <f t="shared" si="8"/>
        <v>-3.9355557137288078E-4</v>
      </c>
      <c r="O16" s="3">
        <f t="shared" si="9"/>
        <v>-3.935555713728808</v>
      </c>
    </row>
    <row r="17" spans="1:15" x14ac:dyDescent="0.25">
      <c r="A17">
        <v>300</v>
      </c>
      <c r="B17" s="3">
        <v>3.5349500000000003</v>
      </c>
      <c r="C17" s="3">
        <v>3.5397818181818184</v>
      </c>
      <c r="D17">
        <f t="shared" si="2"/>
        <v>4.8318181818181039E-3</v>
      </c>
      <c r="E17">
        <f t="shared" si="3"/>
        <v>2.7148989898990727E-3</v>
      </c>
      <c r="F17">
        <v>289</v>
      </c>
      <c r="G17">
        <v>4893</v>
      </c>
      <c r="H17">
        <f t="shared" si="4"/>
        <v>0.78460580808083202</v>
      </c>
      <c r="I17">
        <f t="shared" si="0"/>
        <v>-11.484553787878262</v>
      </c>
      <c r="J17">
        <f t="shared" si="1"/>
        <v>-2.3471395438132561</v>
      </c>
      <c r="K17">
        <f t="shared" si="5"/>
        <v>-5.7961111111112015E-4</v>
      </c>
      <c r="L17">
        <f t="shared" si="6"/>
        <v>-6.4218181818182169E-4</v>
      </c>
      <c r="M17">
        <f t="shared" si="7"/>
        <v>-6.1089646464647092E-4</v>
      </c>
      <c r="N17">
        <f t="shared" si="8"/>
        <v>-5.7574484453610055E-4</v>
      </c>
      <c r="O17" s="3">
        <f t="shared" si="9"/>
        <v>-5.757448445361006</v>
      </c>
    </row>
    <row r="18" spans="1:15" x14ac:dyDescent="0.25">
      <c r="A18">
        <v>350</v>
      </c>
      <c r="B18" s="3">
        <v>3.5082111111111107</v>
      </c>
      <c r="C18" s="3">
        <v>3.5088090909090908</v>
      </c>
      <c r="D18">
        <f t="shared" si="2"/>
        <v>5.9797979798004164E-4</v>
      </c>
      <c r="E18">
        <f t="shared" si="3"/>
        <v>-9.757575757567416E-4</v>
      </c>
      <c r="F18">
        <v>284</v>
      </c>
      <c r="G18">
        <v>4615</v>
      </c>
      <c r="H18">
        <f t="shared" si="4"/>
        <v>-0.27711515151491461</v>
      </c>
      <c r="I18">
        <f t="shared" si="0"/>
        <v>-12.269159595959094</v>
      </c>
      <c r="J18">
        <f t="shared" si="1"/>
        <v>-2.658539457412588</v>
      </c>
      <c r="K18">
        <f t="shared" si="5"/>
        <v>-4.9927777777778457E-4</v>
      </c>
      <c r="L18">
        <f t="shared" si="6"/>
        <v>-5.7309090909090092E-4</v>
      </c>
      <c r="M18">
        <f t="shared" si="7"/>
        <v>-5.3618434343434269E-4</v>
      </c>
      <c r="N18">
        <f t="shared" si="8"/>
        <v>-7.4299816504511281E-4</v>
      </c>
      <c r="O18" s="3">
        <f t="shared" si="9"/>
        <v>-7.4299816504511282</v>
      </c>
    </row>
    <row r="19" spans="1:15" x14ac:dyDescent="0.25">
      <c r="A19">
        <v>400</v>
      </c>
      <c r="B19" s="3">
        <v>3.4850222222222218</v>
      </c>
      <c r="C19" s="3">
        <v>3.4824727272727283</v>
      </c>
      <c r="D19">
        <f t="shared" si="2"/>
        <v>-2.5494949494935248E-3</v>
      </c>
      <c r="E19">
        <f t="shared" si="3"/>
        <v>-5.2085858585850797E-3</v>
      </c>
      <c r="F19">
        <v>279</v>
      </c>
      <c r="G19">
        <v>4306</v>
      </c>
      <c r="H19">
        <f t="shared" si="4"/>
        <v>-1.4531954545452372</v>
      </c>
      <c r="I19">
        <f t="shared" si="0"/>
        <v>-11.992044444444179</v>
      </c>
      <c r="J19">
        <f t="shared" si="1"/>
        <v>-2.7849615523558242</v>
      </c>
      <c r="K19">
        <f t="shared" si="5"/>
        <v>-4.0588888888888787E-4</v>
      </c>
      <c r="L19">
        <f t="shared" si="6"/>
        <v>-4.9054545454545466E-4</v>
      </c>
      <c r="M19">
        <f t="shared" si="7"/>
        <v>-4.4821717171717129E-4</v>
      </c>
      <c r="N19">
        <f t="shared" si="8"/>
        <v>-9.310853048991064E-4</v>
      </c>
      <c r="O19" s="3">
        <f t="shared" si="9"/>
        <v>-9.3108530489910635</v>
      </c>
    </row>
    <row r="20" spans="1:15" x14ac:dyDescent="0.25">
      <c r="A20">
        <v>450</v>
      </c>
      <c r="B20" s="3">
        <v>3.4676222222222219</v>
      </c>
      <c r="C20" s="3">
        <v>3.4597545454545453</v>
      </c>
      <c r="D20">
        <f t="shared" si="2"/>
        <v>-7.8676767676766346E-3</v>
      </c>
      <c r="E20">
        <f t="shared" si="3"/>
        <v>-8.246464646464835E-3</v>
      </c>
      <c r="F20">
        <v>271</v>
      </c>
      <c r="G20">
        <v>3966</v>
      </c>
      <c r="H20">
        <f t="shared" si="4"/>
        <v>-2.2347919191919701</v>
      </c>
      <c r="I20">
        <f t="shared" si="0"/>
        <v>-10.538848989898941</v>
      </c>
      <c r="J20">
        <f t="shared" si="1"/>
        <v>-2.6572992914520777</v>
      </c>
      <c r="K20">
        <f t="shared" si="5"/>
        <v>-3.5033333333332804E-4</v>
      </c>
      <c r="L20">
        <f t="shared" si="6"/>
        <v>-4.1109090909092317E-4</v>
      </c>
      <c r="M20">
        <f t="shared" si="7"/>
        <v>-3.8071212121212558E-4</v>
      </c>
      <c r="N20">
        <f t="shared" si="8"/>
        <v>-1.0459297757573613E-3</v>
      </c>
      <c r="O20" s="3">
        <f t="shared" si="9"/>
        <v>-10.459297757573612</v>
      </c>
    </row>
    <row r="21" spans="1:15" x14ac:dyDescent="0.25">
      <c r="A21">
        <v>500</v>
      </c>
      <c r="B21" s="3">
        <v>3.449988888888889</v>
      </c>
      <c r="C21" s="3">
        <v>3.441363636363636</v>
      </c>
      <c r="D21">
        <f t="shared" si="2"/>
        <v>-8.6252525252530354E-3</v>
      </c>
      <c r="E21">
        <f t="shared" si="3"/>
        <v>-8.390151515151878E-3</v>
      </c>
      <c r="F21">
        <v>262</v>
      </c>
      <c r="G21">
        <v>3571</v>
      </c>
      <c r="H21">
        <f t="shared" si="4"/>
        <v>-2.198219696969792</v>
      </c>
      <c r="I21">
        <f t="shared" si="0"/>
        <v>-8.3040570707069712</v>
      </c>
      <c r="J21">
        <f t="shared" si="1"/>
        <v>-2.3254150296015039</v>
      </c>
      <c r="K21">
        <f t="shared" si="5"/>
        <v>-3.3394444444444281E-4</v>
      </c>
      <c r="L21">
        <f t="shared" si="6"/>
        <v>-3.3681818181818368E-4</v>
      </c>
      <c r="M21">
        <f t="shared" si="7"/>
        <v>-3.3538131313131324E-4</v>
      </c>
      <c r="N21">
        <f t="shared" si="8"/>
        <v>-1.0390115456222003E-3</v>
      </c>
      <c r="O21" s="3">
        <f t="shared" si="9"/>
        <v>-10.390115456222002</v>
      </c>
    </row>
    <row r="22" spans="1:15" x14ac:dyDescent="0.25">
      <c r="A22">
        <v>550</v>
      </c>
      <c r="B22" s="3">
        <v>3.4342277777777777</v>
      </c>
      <c r="C22" s="3">
        <v>3.4260727272727269</v>
      </c>
      <c r="D22">
        <f t="shared" si="2"/>
        <v>-8.1550505050507205E-3</v>
      </c>
      <c r="E22">
        <f t="shared" si="3"/>
        <v>-8.2876262626259134E-3</v>
      </c>
      <c r="F22">
        <v>251</v>
      </c>
      <c r="G22">
        <v>3239</v>
      </c>
      <c r="H22">
        <f t="shared" si="4"/>
        <v>-2.0801941919191043</v>
      </c>
      <c r="I22">
        <f t="shared" si="0"/>
        <v>-6.1058373737371792</v>
      </c>
      <c r="J22">
        <f t="shared" si="1"/>
        <v>-1.8850995287857917</v>
      </c>
      <c r="K22">
        <f t="shared" si="5"/>
        <v>-2.7977777777778547E-4</v>
      </c>
      <c r="L22">
        <f t="shared" si="6"/>
        <v>-2.7772727272726614E-4</v>
      </c>
      <c r="M22">
        <f t="shared" si="7"/>
        <v>-2.7875252525252578E-4</v>
      </c>
      <c r="N22">
        <f t="shared" si="8"/>
        <v>-1.013384444863935E-3</v>
      </c>
      <c r="O22" s="3">
        <f t="shared" si="9"/>
        <v>-10.13384444863935</v>
      </c>
    </row>
    <row r="23" spans="1:15" x14ac:dyDescent="0.25">
      <c r="A23">
        <v>600</v>
      </c>
      <c r="B23" s="3">
        <v>3.4220111111111104</v>
      </c>
      <c r="C23" s="3">
        <v>3.4135909090909093</v>
      </c>
      <c r="D23">
        <f t="shared" si="2"/>
        <v>-8.4202020202011063E-3</v>
      </c>
      <c r="E23">
        <f t="shared" si="3"/>
        <v>-8.6045454545449207E-3</v>
      </c>
      <c r="F23">
        <v>240</v>
      </c>
      <c r="G23">
        <v>2767</v>
      </c>
      <c r="H23">
        <f t="shared" si="4"/>
        <v>-2.065090909090781</v>
      </c>
      <c r="I23">
        <f>I24+H23</f>
        <v>-4.0256431818180749</v>
      </c>
      <c r="J23">
        <f t="shared" si="1"/>
        <v>-1.4548764661431424</v>
      </c>
      <c r="K23">
        <f t="shared" si="5"/>
        <v>-2.2438888888888896E-4</v>
      </c>
      <c r="L23">
        <f t="shared" si="6"/>
        <v>-2.3072727272726911E-4</v>
      </c>
      <c r="M23">
        <f t="shared" si="7"/>
        <v>-2.2755808080807902E-4</v>
      </c>
      <c r="N23">
        <f t="shared" si="8"/>
        <v>-9.5805979589001788E-4</v>
      </c>
      <c r="O23" s="3">
        <f t="shared" si="9"/>
        <v>-9.580597958900178</v>
      </c>
    </row>
    <row r="24" spans="1:15" x14ac:dyDescent="0.25">
      <c r="A24">
        <v>650</v>
      </c>
      <c r="B24" s="3">
        <v>3.4117888888888888</v>
      </c>
      <c r="C24" s="3">
        <v>3.403</v>
      </c>
      <c r="D24">
        <f t="shared" si="2"/>
        <v>-8.7888888888887351E-3</v>
      </c>
      <c r="E24">
        <f t="shared" si="3"/>
        <v>-8.561363636363728E-3</v>
      </c>
      <c r="F24">
        <v>229</v>
      </c>
      <c r="G24">
        <v>2129</v>
      </c>
      <c r="H24">
        <f t="shared" si="4"/>
        <v>-1.9605522727272937</v>
      </c>
      <c r="I24">
        <f>H24</f>
        <v>-1.9605522727272937</v>
      </c>
      <c r="J24">
        <f>(I24/G24)*1000</f>
        <v>-0.92087941415091301</v>
      </c>
      <c r="K24">
        <f t="shared" si="5"/>
        <v>-1.8849999999999146E-4</v>
      </c>
      <c r="L24">
        <f t="shared" si="6"/>
        <v>-1.876363636363676E-4</v>
      </c>
      <c r="M24">
        <f t="shared" si="7"/>
        <v>-1.8806818181817955E-4</v>
      </c>
      <c r="N24">
        <f t="shared" si="8"/>
        <v>-7.337467623015581E-4</v>
      </c>
      <c r="O24" s="3">
        <f t="shared" si="9"/>
        <v>-7.3374676230155806</v>
      </c>
    </row>
    <row r="25" spans="1:15" x14ac:dyDescent="0.25">
      <c r="A25">
        <v>700</v>
      </c>
      <c r="B25" s="3">
        <v>3.4031611111111113</v>
      </c>
      <c r="C25" s="3">
        <v>3.3948272727272726</v>
      </c>
      <c r="D25">
        <f t="shared" si="2"/>
        <v>-8.3338383838387209E-3</v>
      </c>
      <c r="E25">
        <f t="shared" si="3"/>
        <v>-8.0674242424245701E-3</v>
      </c>
      <c r="F25" s="3">
        <v>216</v>
      </c>
      <c r="G25">
        <v>2130</v>
      </c>
      <c r="H25">
        <f t="shared" si="4"/>
        <v>-1.7425636363637071</v>
      </c>
      <c r="I25">
        <f t="shared" ref="I25:I38" si="10">H25</f>
        <v>-1.7425636363637071</v>
      </c>
      <c r="J25">
        <f t="shared" ref="J25:J38" si="11">(I25/G25)*1000</f>
        <v>-0.8181049935979845</v>
      </c>
      <c r="K25">
        <f t="shared" si="5"/>
        <v>-1.5533333333333398E-4</v>
      </c>
      <c r="L25">
        <f t="shared" si="6"/>
        <v>-1.4545454545455082E-4</v>
      </c>
      <c r="M25">
        <f t="shared" si="7"/>
        <v>-1.503939393939424E-4</v>
      </c>
      <c r="N25">
        <f t="shared" si="8"/>
        <v>-8.1514987723182249E-4</v>
      </c>
      <c r="O25" s="3">
        <f t="shared" si="9"/>
        <v>-8.1514987723182255</v>
      </c>
    </row>
    <row r="26" spans="1:15" x14ac:dyDescent="0.25">
      <c r="A26">
        <v>750</v>
      </c>
      <c r="B26" s="3">
        <v>3.3962555555555554</v>
      </c>
      <c r="C26" s="3">
        <v>3.3884545454545449</v>
      </c>
      <c r="D26">
        <f t="shared" si="2"/>
        <v>-7.8010101010104194E-3</v>
      </c>
      <c r="E26">
        <f t="shared" si="3"/>
        <v>-8.2161616161615658E-3</v>
      </c>
      <c r="F26" s="3">
        <v>205</v>
      </c>
      <c r="G26">
        <v>2131</v>
      </c>
      <c r="H26">
        <f t="shared" si="4"/>
        <v>-1.684313131313121</v>
      </c>
      <c r="I26">
        <f t="shared" si="10"/>
        <v>-1.684313131313121</v>
      </c>
      <c r="J26">
        <f t="shared" si="11"/>
        <v>-0.79038626528067624</v>
      </c>
      <c r="K26">
        <f t="shared" si="5"/>
        <v>-1.2538888888889322E-4</v>
      </c>
      <c r="L26">
        <f t="shared" si="6"/>
        <v>-1.2836363636363314E-4</v>
      </c>
      <c r="M26">
        <f t="shared" si="7"/>
        <v>-1.2687626262626318E-4</v>
      </c>
      <c r="N26">
        <f t="shared" si="8"/>
        <v>-9.3350740399010762E-4</v>
      </c>
      <c r="O26" s="3">
        <f t="shared" si="9"/>
        <v>-9.3350740399010768</v>
      </c>
    </row>
    <row r="27" spans="1:15" x14ac:dyDescent="0.25">
      <c r="A27">
        <v>800</v>
      </c>
      <c r="B27" s="3">
        <v>3.390622222222222</v>
      </c>
      <c r="C27" s="3">
        <v>3.3819909090909093</v>
      </c>
      <c r="D27">
        <f t="shared" si="2"/>
        <v>-8.6313131313127123E-3</v>
      </c>
      <c r="E27">
        <f t="shared" si="3"/>
        <v>-7.8194444444439348E-3</v>
      </c>
      <c r="F27" s="3">
        <v>192</v>
      </c>
      <c r="G27">
        <v>2132</v>
      </c>
      <c r="H27">
        <f t="shared" si="4"/>
        <v>-1.5013333333332355</v>
      </c>
      <c r="I27">
        <f t="shared" si="10"/>
        <v>-1.5013333333332355</v>
      </c>
      <c r="J27">
        <f t="shared" si="11"/>
        <v>-0.70419011882421934</v>
      </c>
      <c r="K27">
        <f t="shared" si="5"/>
        <v>-1.1938888888889388E-4</v>
      </c>
      <c r="L27">
        <f t="shared" si="6"/>
        <v>-1.1145454545454126E-4</v>
      </c>
      <c r="M27">
        <f t="shared" si="7"/>
        <v>-1.1542171717171757E-4</v>
      </c>
      <c r="N27">
        <f t="shared" si="8"/>
        <v>-9.1424197068436979E-4</v>
      </c>
      <c r="O27" s="3">
        <f t="shared" si="9"/>
        <v>-9.1424197068436985</v>
      </c>
    </row>
    <row r="28" spans="1:15" x14ac:dyDescent="0.25">
      <c r="A28">
        <v>850</v>
      </c>
      <c r="B28" s="3">
        <v>3.384316666666666</v>
      </c>
      <c r="C28" s="3">
        <v>3.3773090909090908</v>
      </c>
      <c r="D28">
        <f t="shared" si="2"/>
        <v>-7.0075757575751574E-3</v>
      </c>
      <c r="E28">
        <f t="shared" si="3"/>
        <v>-6.3512626262622884E-3</v>
      </c>
      <c r="F28" s="3">
        <v>181</v>
      </c>
      <c r="G28">
        <v>2133</v>
      </c>
      <c r="H28">
        <f t="shared" si="4"/>
        <v>-1.1495785353534742</v>
      </c>
      <c r="I28">
        <f t="shared" si="10"/>
        <v>-1.1495785353534742</v>
      </c>
      <c r="J28">
        <f t="shared" si="11"/>
        <v>-0.53894914925151161</v>
      </c>
      <c r="K28">
        <f t="shared" si="5"/>
        <v>-1.1400000000000077E-4</v>
      </c>
      <c r="L28">
        <f t="shared" si="6"/>
        <v>-8.4636363636367837E-5</v>
      </c>
      <c r="M28">
        <f t="shared" si="7"/>
        <v>-9.9318181818184301E-5</v>
      </c>
      <c r="N28">
        <f t="shared" si="8"/>
        <v>-8.131633371124715E-4</v>
      </c>
      <c r="O28" s="3">
        <f t="shared" si="9"/>
        <v>-8.1316333711247157</v>
      </c>
    </row>
    <row r="29" spans="1:15" x14ac:dyDescent="0.25">
      <c r="A29">
        <v>900</v>
      </c>
      <c r="B29" s="3">
        <v>3.3792222222222219</v>
      </c>
      <c r="C29" s="3">
        <v>3.3735272727272725</v>
      </c>
      <c r="D29">
        <f t="shared" si="2"/>
        <v>-5.6949494949494195E-3</v>
      </c>
      <c r="E29">
        <f t="shared" si="3"/>
        <v>-4.789141414140996E-3</v>
      </c>
      <c r="F29" s="3">
        <v>177</v>
      </c>
      <c r="G29">
        <v>2134</v>
      </c>
      <c r="H29">
        <f t="shared" si="4"/>
        <v>-0.8476780303029563</v>
      </c>
      <c r="I29">
        <f t="shared" si="10"/>
        <v>-0.8476780303029563</v>
      </c>
      <c r="J29">
        <f t="shared" si="11"/>
        <v>-0.397224943909539</v>
      </c>
      <c r="K29">
        <f t="shared" si="5"/>
        <v>-9.2333333333329822E-5</v>
      </c>
      <c r="L29">
        <f t="shared" si="6"/>
        <v>-6.1090909090903982E-5</v>
      </c>
      <c r="M29">
        <f t="shared" si="7"/>
        <v>-7.6712121212116902E-5</v>
      </c>
      <c r="N29">
        <f t="shared" si="8"/>
        <v>-7.7594560891781818E-4</v>
      </c>
      <c r="O29" s="3">
        <f t="shared" si="9"/>
        <v>-7.7594560891781814</v>
      </c>
    </row>
    <row r="30" spans="1:15" x14ac:dyDescent="0.25">
      <c r="A30">
        <v>950</v>
      </c>
      <c r="B30" s="3">
        <v>3.375083333333333</v>
      </c>
      <c r="C30" s="3">
        <v>3.3712000000000004</v>
      </c>
      <c r="D30">
        <f t="shared" si="2"/>
        <v>-3.8833333333325726E-3</v>
      </c>
      <c r="E30">
        <f t="shared" si="3"/>
        <v>-3.3333333333327442E-3</v>
      </c>
      <c r="F30" s="3">
        <v>172</v>
      </c>
      <c r="G30">
        <v>2135</v>
      </c>
      <c r="H30">
        <f t="shared" si="4"/>
        <v>-0.573333333333232</v>
      </c>
      <c r="I30">
        <f t="shared" si="10"/>
        <v>-0.573333333333232</v>
      </c>
      <c r="J30">
        <f t="shared" si="11"/>
        <v>-0.26854020296638503</v>
      </c>
      <c r="K30">
        <f t="shared" si="5"/>
        <v>-6.4388888888888826E-5</v>
      </c>
      <c r="L30">
        <f t="shared" si="6"/>
        <v>-3.5272727272723791E-5</v>
      </c>
      <c r="M30">
        <f t="shared" si="7"/>
        <v>-4.9830808080806305E-5</v>
      </c>
      <c r="N30">
        <f t="shared" si="8"/>
        <v>-8.0755134001720286E-4</v>
      </c>
      <c r="O30" s="3">
        <f t="shared" si="9"/>
        <v>-8.0755134001720279</v>
      </c>
    </row>
    <row r="31" spans="1:15" x14ac:dyDescent="0.25">
      <c r="A31">
        <v>1000</v>
      </c>
      <c r="B31" s="3">
        <v>3.372783333333333</v>
      </c>
      <c r="C31" s="3">
        <v>3.37</v>
      </c>
      <c r="D31">
        <f t="shared" si="2"/>
        <v>-2.7833333333329158E-3</v>
      </c>
      <c r="E31">
        <f t="shared" si="3"/>
        <v>-2.8658730158730439E-3</v>
      </c>
      <c r="F31" s="3">
        <v>167</v>
      </c>
      <c r="G31">
        <v>2136</v>
      </c>
      <c r="H31">
        <f t="shared" si="4"/>
        <v>-0.47860079365079833</v>
      </c>
      <c r="I31">
        <f t="shared" si="10"/>
        <v>-0.47860079365079833</v>
      </c>
      <c r="J31">
        <f t="shared" si="11"/>
        <v>-0.22406404197134755</v>
      </c>
      <c r="K31">
        <f t="shared" si="5"/>
        <v>-3.8777777777774245E-5</v>
      </c>
      <c r="L31">
        <f t="shared" si="6"/>
        <v>-2.9428571428580242E-5</v>
      </c>
      <c r="M31">
        <f t="shared" si="7"/>
        <v>-3.4103174603177242E-5</v>
      </c>
      <c r="N31">
        <f t="shared" si="8"/>
        <v>-9.8454623738857688E-4</v>
      </c>
      <c r="O31" s="3">
        <f t="shared" si="9"/>
        <v>-9.8454623738857681</v>
      </c>
    </row>
    <row r="32" spans="1:15" x14ac:dyDescent="0.25">
      <c r="A32">
        <v>1050</v>
      </c>
      <c r="B32" s="3">
        <v>3.3712055555555556</v>
      </c>
      <c r="C32" s="3">
        <v>3.3682571428571424</v>
      </c>
      <c r="D32">
        <f t="shared" si="2"/>
        <v>-2.948412698413172E-3</v>
      </c>
      <c r="E32">
        <f t="shared" si="3"/>
        <v>-3.2516573295988671E-3</v>
      </c>
      <c r="F32" s="3">
        <v>160</v>
      </c>
      <c r="G32">
        <v>2137</v>
      </c>
      <c r="H32">
        <f t="shared" si="4"/>
        <v>-0.52026517273581874</v>
      </c>
      <c r="I32">
        <f t="shared" si="10"/>
        <v>-0.52026517273581874</v>
      </c>
      <c r="J32">
        <f t="shared" si="11"/>
        <v>-0.24345585996060776</v>
      </c>
      <c r="K32">
        <f t="shared" si="5"/>
        <v>-3.6950980392149723E-5</v>
      </c>
      <c r="L32">
        <f t="shared" si="6"/>
        <v>-4.4666666666666189E-5</v>
      </c>
      <c r="M32">
        <f t="shared" si="7"/>
        <v>-4.0808823529407956E-5</v>
      </c>
      <c r="N32">
        <f t="shared" si="8"/>
        <v>-8.9397405931347315E-4</v>
      </c>
      <c r="O32" s="3">
        <f t="shared" si="9"/>
        <v>-8.9397405931347311</v>
      </c>
    </row>
    <row r="33" spans="1:15" x14ac:dyDescent="0.25">
      <c r="A33">
        <v>1100</v>
      </c>
      <c r="B33" s="3">
        <v>3.369088235294118</v>
      </c>
      <c r="C33" s="3">
        <v>3.3655333333333335</v>
      </c>
      <c r="D33">
        <f t="shared" si="2"/>
        <v>-3.5549019607845622E-3</v>
      </c>
      <c r="E33">
        <f t="shared" si="3"/>
        <v>-3.3049019607844787E-3</v>
      </c>
      <c r="F33" s="3">
        <v>151</v>
      </c>
      <c r="G33">
        <v>2138</v>
      </c>
      <c r="H33">
        <f t="shared" si="4"/>
        <v>-0.49904019607845629</v>
      </c>
      <c r="I33">
        <f t="shared" si="10"/>
        <v>-0.49904019607845629</v>
      </c>
      <c r="J33">
        <f t="shared" si="11"/>
        <v>-0.23341449769806186</v>
      </c>
      <c r="K33">
        <f t="shared" si="5"/>
        <v>-4.3173202614377182E-5</v>
      </c>
      <c r="L33">
        <f t="shared" si="6"/>
        <v>-4.4238095238089414E-5</v>
      </c>
      <c r="M33">
        <f t="shared" si="7"/>
        <v>-4.3705648926233294E-5</v>
      </c>
      <c r="N33">
        <f t="shared" si="8"/>
        <v>-8.0029299140475059E-4</v>
      </c>
      <c r="O33" s="3">
        <f t="shared" si="9"/>
        <v>-8.0029299140475061</v>
      </c>
    </row>
    <row r="34" spans="1:15" x14ac:dyDescent="0.25">
      <c r="A34">
        <v>1150</v>
      </c>
      <c r="B34" s="3">
        <v>3.3668882352941178</v>
      </c>
      <c r="C34" s="3">
        <v>3.3638333333333335</v>
      </c>
      <c r="D34">
        <f t="shared" si="2"/>
        <v>-3.0549019607843952E-3</v>
      </c>
      <c r="E34">
        <f t="shared" si="3"/>
        <v>-3.2083333333332575E-3</v>
      </c>
      <c r="F34" s="3">
        <v>145</v>
      </c>
      <c r="G34">
        <v>2139</v>
      </c>
      <c r="H34">
        <f t="shared" si="4"/>
        <v>-0.46520833333332234</v>
      </c>
      <c r="I34">
        <f t="shared" si="10"/>
        <v>-0.46520833333332234</v>
      </c>
      <c r="J34">
        <f t="shared" si="11"/>
        <v>-0.21748870188561117</v>
      </c>
      <c r="K34">
        <f t="shared" si="5"/>
        <v>-3.276470588235547E-5</v>
      </c>
      <c r="L34">
        <f t="shared" si="6"/>
        <v>-3.0833333333331045E-5</v>
      </c>
      <c r="M34">
        <f t="shared" si="7"/>
        <v>-3.1799019607843261E-5</v>
      </c>
      <c r="N34">
        <f t="shared" si="8"/>
        <v>-1.0249005586940218E-3</v>
      </c>
      <c r="O34" s="3">
        <f t="shared" si="9"/>
        <v>-10.249005586940218</v>
      </c>
    </row>
    <row r="35" spans="1:15" x14ac:dyDescent="0.25">
      <c r="A35">
        <v>1200</v>
      </c>
      <c r="B35" s="3">
        <v>3.3658117647058825</v>
      </c>
      <c r="C35" s="3">
        <v>3.3624500000000004</v>
      </c>
      <c r="D35">
        <f t="shared" si="2"/>
        <v>-3.3617647058821198E-3</v>
      </c>
      <c r="E35">
        <f t="shared" si="3"/>
        <v>-3.8094537815127616E-3</v>
      </c>
      <c r="F35" s="3">
        <v>137</v>
      </c>
      <c r="G35">
        <v>2140</v>
      </c>
      <c r="H35">
        <f t="shared" si="4"/>
        <v>-0.52189516806724834</v>
      </c>
      <c r="I35">
        <f t="shared" si="10"/>
        <v>-0.52189516806724834</v>
      </c>
      <c r="J35">
        <f t="shared" si="11"/>
        <v>-0.24387624676039643</v>
      </c>
      <c r="K35">
        <f t="shared" si="5"/>
        <v>-1.2310924369747234E-5</v>
      </c>
      <c r="L35">
        <f t="shared" si="6"/>
        <v>-2.4333333333337314E-5</v>
      </c>
      <c r="M35">
        <f t="shared" si="7"/>
        <v>-1.8322128851542275E-5</v>
      </c>
      <c r="N35">
        <f t="shared" si="8"/>
        <v>-1.9945839905554409E-3</v>
      </c>
      <c r="O35" s="3">
        <f t="shared" si="9"/>
        <v>-19.945839905554408</v>
      </c>
    </row>
    <row r="36" spans="1:15" x14ac:dyDescent="0.25">
      <c r="A36">
        <v>1250</v>
      </c>
      <c r="B36" s="3">
        <v>3.3656571428571431</v>
      </c>
      <c r="C36" s="3">
        <v>3.3613999999999997</v>
      </c>
      <c r="D36">
        <f t="shared" si="2"/>
        <v>-4.2571428571434033E-3</v>
      </c>
      <c r="E36">
        <f t="shared" si="3"/>
        <v>-2.8385714285716901E-3</v>
      </c>
      <c r="F36" s="3">
        <v>124</v>
      </c>
      <c r="G36">
        <v>2141</v>
      </c>
      <c r="H36">
        <f t="shared" si="4"/>
        <v>-0.35198285714288957</v>
      </c>
      <c r="I36">
        <f t="shared" si="10"/>
        <v>-0.35198285714288957</v>
      </c>
      <c r="J36">
        <f t="shared" si="11"/>
        <v>-0.16440114766132161</v>
      </c>
      <c r="K36">
        <f t="shared" si="5"/>
        <v>-3.7917647058827163E-5</v>
      </c>
      <c r="L36">
        <f t="shared" si="6"/>
        <v>-1.8500000000005735E-5</v>
      </c>
      <c r="M36">
        <f t="shared" si="7"/>
        <v>-2.8208823529416449E-5</v>
      </c>
      <c r="N36">
        <f t="shared" si="8"/>
        <v>-8.7333050531145323E-4</v>
      </c>
      <c r="O36" s="3">
        <f t="shared" si="9"/>
        <v>-8.7333050531145329</v>
      </c>
    </row>
    <row r="37" spans="1:15" x14ac:dyDescent="0.25">
      <c r="A37">
        <v>1300</v>
      </c>
      <c r="B37" s="3">
        <v>3.3620199999999998</v>
      </c>
      <c r="C37" s="3">
        <v>3.3605999999999998</v>
      </c>
      <c r="D37">
        <f t="shared" si="2"/>
        <v>-1.4199999999999768E-3</v>
      </c>
      <c r="E37">
        <f t="shared" si="3"/>
        <v>-2.1433333333333859E-3</v>
      </c>
      <c r="F37" s="3">
        <v>101</v>
      </c>
      <c r="G37">
        <v>2142</v>
      </c>
      <c r="H37">
        <f t="shared" si="4"/>
        <v>-0.21647666666667198</v>
      </c>
      <c r="I37">
        <f t="shared" si="10"/>
        <v>-0.21647666666667198</v>
      </c>
      <c r="J37">
        <f t="shared" si="11"/>
        <v>-0.10106286959228385</v>
      </c>
      <c r="K37">
        <f t="shared" si="5"/>
        <v>-8.1904761904763029E-5</v>
      </c>
      <c r="L37">
        <f t="shared" si="6"/>
        <v>-6.799999999999695E-5</v>
      </c>
      <c r="M37">
        <f t="shared" si="7"/>
        <v>-7.495238095237999E-5</v>
      </c>
      <c r="N37">
        <f t="shared" si="8"/>
        <v>-2.0205283642194631E-4</v>
      </c>
      <c r="O37" s="3">
        <f t="shared" si="9"/>
        <v>-2.0205283642194631</v>
      </c>
    </row>
    <row r="38" spans="1:15" x14ac:dyDescent="0.25">
      <c r="A38">
        <v>1350</v>
      </c>
      <c r="B38" s="3">
        <v>3.3574666666666668</v>
      </c>
      <c r="C38" s="3">
        <v>3.3546</v>
      </c>
      <c r="D38">
        <f t="shared" si="2"/>
        <v>-2.866666666666795E-3</v>
      </c>
      <c r="E38">
        <f t="shared" si="3"/>
        <v>-1.4333333333333975E-3</v>
      </c>
      <c r="F38" s="3">
        <v>67</v>
      </c>
      <c r="G38">
        <v>2143</v>
      </c>
      <c r="H38">
        <f t="shared" si="4"/>
        <v>-9.6033333333337634E-2</v>
      </c>
      <c r="I38">
        <f t="shared" si="10"/>
        <v>-9.6033333333337634E-2</v>
      </c>
      <c r="J38">
        <f t="shared" si="11"/>
        <v>-4.481256805102083E-2</v>
      </c>
      <c r="K38">
        <f t="shared" si="5"/>
        <v>-1.3419999999999987E-4</v>
      </c>
      <c r="L38">
        <f t="shared" si="6"/>
        <v>-1.9299999999999873E-4</v>
      </c>
      <c r="M38">
        <f t="shared" si="7"/>
        <v>-1.6359999999999931E-4</v>
      </c>
      <c r="N38">
        <f t="shared" si="8"/>
        <v>-4.1046420734169489E-5</v>
      </c>
      <c r="O38" s="3">
        <f t="shared" si="9"/>
        <v>-0.41046420734169486</v>
      </c>
    </row>
    <row r="39" spans="1:15" x14ac:dyDescent="0.25">
      <c r="A39">
        <v>1400</v>
      </c>
      <c r="B39" s="3">
        <v>3.3485999999999998</v>
      </c>
      <c r="C39" s="3">
        <v>3.3412999999999999</v>
      </c>
      <c r="F39" s="3">
        <v>25.9</v>
      </c>
      <c r="O39" s="3"/>
    </row>
    <row r="40" spans="1:15" x14ac:dyDescent="0.25">
      <c r="B40" s="3"/>
      <c r="C40" s="3"/>
      <c r="D40" s="8"/>
      <c r="E40" s="8"/>
      <c r="F40" s="3"/>
      <c r="G40" s="9"/>
      <c r="O40" s="3"/>
    </row>
    <row r="41" spans="1:15" x14ac:dyDescent="0.25">
      <c r="B41" s="3"/>
      <c r="C41" s="3"/>
      <c r="D41" s="8"/>
      <c r="E41" s="8"/>
      <c r="F41" s="3"/>
      <c r="G41" s="9"/>
      <c r="O41" s="3"/>
    </row>
    <row r="42" spans="1:15" x14ac:dyDescent="0.25">
      <c r="B42" s="3"/>
      <c r="C42" s="3"/>
      <c r="D42" s="8"/>
      <c r="E42" s="8"/>
      <c r="F42" s="3"/>
      <c r="G42" s="9"/>
      <c r="O42" s="3"/>
    </row>
    <row r="43" spans="1:15" x14ac:dyDescent="0.25">
      <c r="B43" s="3"/>
      <c r="C43" s="3"/>
      <c r="D43" s="8"/>
      <c r="E43" s="8"/>
      <c r="F43" s="3"/>
      <c r="G43" s="9"/>
      <c r="O43" s="3"/>
    </row>
    <row r="44" spans="1:15" x14ac:dyDescent="0.25">
      <c r="B44" s="3"/>
      <c r="C44" s="3"/>
      <c r="D44" s="8"/>
      <c r="E44" s="8"/>
      <c r="F44" s="3"/>
      <c r="G44" s="9"/>
      <c r="O44" s="3"/>
    </row>
    <row r="45" spans="1:15" x14ac:dyDescent="0.25">
      <c r="B45" s="3"/>
      <c r="C45" s="3"/>
      <c r="D45" s="8"/>
      <c r="E45" s="8"/>
      <c r="F45" s="3"/>
      <c r="G45" s="9"/>
      <c r="O45" s="3"/>
    </row>
    <row r="46" spans="1:15" x14ac:dyDescent="0.25">
      <c r="B46" s="3"/>
      <c r="C46" s="3"/>
      <c r="D46" s="8"/>
      <c r="E46" s="8"/>
      <c r="F46" s="3"/>
      <c r="G46" s="9"/>
      <c r="O46" s="3"/>
    </row>
    <row r="47" spans="1:15" x14ac:dyDescent="0.25">
      <c r="B47" s="3"/>
      <c r="C47" s="3"/>
      <c r="D47" s="8"/>
      <c r="E47" s="8"/>
      <c r="F47" s="3"/>
      <c r="G47" s="9"/>
      <c r="O47" s="3"/>
    </row>
    <row r="48" spans="1:15" x14ac:dyDescent="0.25">
      <c r="B48" s="3"/>
      <c r="C48" s="3"/>
      <c r="D48" s="8"/>
      <c r="E48" s="8"/>
      <c r="F48" s="3"/>
      <c r="G48" s="9"/>
      <c r="O48" s="3"/>
    </row>
    <row r="49" spans="2:15" x14ac:dyDescent="0.25">
      <c r="B49" s="3"/>
      <c r="C49" s="3"/>
      <c r="D49" s="8"/>
      <c r="E49" s="8"/>
      <c r="F49" s="3"/>
      <c r="G49" s="9"/>
      <c r="O49" s="3"/>
    </row>
    <row r="50" spans="2:15" x14ac:dyDescent="0.25">
      <c r="B50" s="3"/>
      <c r="C50" s="3"/>
      <c r="D50" s="8"/>
      <c r="E50" s="8"/>
      <c r="F50" s="3"/>
      <c r="G50" s="9"/>
      <c r="O50" s="3"/>
    </row>
    <row r="51" spans="2:15" x14ac:dyDescent="0.25">
      <c r="B51" s="3"/>
      <c r="C51" s="3"/>
      <c r="D51" s="8"/>
      <c r="E51" s="8"/>
      <c r="F51" s="3"/>
      <c r="G51" s="9"/>
      <c r="O51" s="3"/>
    </row>
    <row r="52" spans="2:15" x14ac:dyDescent="0.25">
      <c r="B52" s="3"/>
      <c r="C52" s="3"/>
      <c r="D52" s="8"/>
      <c r="E52" s="8"/>
      <c r="F52" s="3"/>
      <c r="O52" s="3"/>
    </row>
    <row r="53" spans="2:15" x14ac:dyDescent="0.25">
      <c r="B53" s="3"/>
      <c r="C53" s="3"/>
      <c r="D53" s="8"/>
      <c r="E53" s="8"/>
      <c r="F53" s="3"/>
      <c r="G53" s="9"/>
      <c r="O53" s="3"/>
    </row>
    <row r="54" spans="2:15" x14ac:dyDescent="0.25">
      <c r="B54" s="3"/>
      <c r="C54" s="3"/>
      <c r="D54" s="8"/>
      <c r="E54" s="8"/>
      <c r="F54" s="3"/>
      <c r="G54" s="9"/>
      <c r="O54" s="3"/>
    </row>
    <row r="55" spans="2:15" x14ac:dyDescent="0.25">
      <c r="B55" s="3"/>
      <c r="C55" s="3"/>
      <c r="D55" s="8"/>
      <c r="E55" s="8"/>
      <c r="F55" s="3"/>
      <c r="G55" s="9"/>
      <c r="O55" s="3"/>
    </row>
    <row r="56" spans="2:15" x14ac:dyDescent="0.25">
      <c r="B56" s="3"/>
      <c r="C56" s="3"/>
      <c r="D56" s="8"/>
      <c r="E56" s="8"/>
      <c r="F56" s="3"/>
      <c r="G56" s="9"/>
      <c r="O56" s="3"/>
    </row>
    <row r="57" spans="2:15" x14ac:dyDescent="0.25">
      <c r="B57" s="3"/>
      <c r="C57" s="3"/>
      <c r="D57" s="8"/>
      <c r="E57" s="8"/>
      <c r="F57" s="3"/>
      <c r="G57" s="9"/>
      <c r="O57" s="3"/>
    </row>
    <row r="58" spans="2:15" x14ac:dyDescent="0.25">
      <c r="D58" s="8"/>
      <c r="E58" s="8"/>
      <c r="F58" s="3"/>
      <c r="G58" s="9"/>
      <c r="O58" s="3"/>
    </row>
    <row r="59" spans="2:15" x14ac:dyDescent="0.25">
      <c r="D59" s="8"/>
      <c r="E59" s="8"/>
      <c r="F59" s="3"/>
      <c r="G59" s="9"/>
      <c r="O59" s="3"/>
    </row>
    <row r="60" spans="2:15" x14ac:dyDescent="0.25">
      <c r="D60" s="8"/>
      <c r="E60" s="8"/>
      <c r="F60" s="3"/>
      <c r="G60" s="9"/>
      <c r="O60" s="3"/>
    </row>
    <row r="61" spans="2:15" x14ac:dyDescent="0.25">
      <c r="D61" s="8"/>
      <c r="E61" s="8"/>
      <c r="F61" s="3"/>
      <c r="G61" s="9"/>
      <c r="O61" s="3"/>
    </row>
    <row r="62" spans="2:15" x14ac:dyDescent="0.25">
      <c r="D62" s="8"/>
      <c r="E62" s="8"/>
      <c r="F62" s="3"/>
      <c r="G62" s="9"/>
      <c r="O62" s="3"/>
    </row>
    <row r="63" spans="2:15" x14ac:dyDescent="0.25">
      <c r="D63" s="8"/>
      <c r="E63" s="8"/>
      <c r="F63" s="3"/>
      <c r="G63" s="9"/>
      <c r="O63" s="3"/>
    </row>
    <row r="64" spans="2:15" x14ac:dyDescent="0.25">
      <c r="D64" s="8"/>
      <c r="E64" s="8"/>
      <c r="F64" s="3"/>
      <c r="G64" s="9"/>
      <c r="O64" s="3"/>
    </row>
    <row r="65" spans="4:15" x14ac:dyDescent="0.25">
      <c r="D65" s="8"/>
      <c r="E65" s="8"/>
      <c r="F65" s="3"/>
      <c r="G65" s="9"/>
      <c r="O65" s="3"/>
    </row>
    <row r="66" spans="4:15" x14ac:dyDescent="0.25">
      <c r="D66" s="8"/>
      <c r="E66" s="8"/>
      <c r="F66" s="3"/>
      <c r="G66" s="9"/>
      <c r="O66" s="3"/>
    </row>
    <row r="67" spans="4:15" x14ac:dyDescent="0.25">
      <c r="D67" s="8"/>
      <c r="E67" s="8"/>
      <c r="F67" s="3"/>
      <c r="G67" s="9"/>
      <c r="O67" s="3"/>
    </row>
    <row r="68" spans="4:15" x14ac:dyDescent="0.25">
      <c r="D68" s="8"/>
      <c r="E68" s="8"/>
      <c r="F68" s="3"/>
      <c r="G68" s="9"/>
      <c r="O68" s="3"/>
    </row>
    <row r="69" spans="4:15" x14ac:dyDescent="0.25">
      <c r="D69" s="8"/>
      <c r="E69" s="8"/>
      <c r="F69" s="3"/>
      <c r="G69" s="9"/>
      <c r="O69" s="3"/>
    </row>
    <row r="70" spans="4:15" x14ac:dyDescent="0.25">
      <c r="D70" s="8"/>
      <c r="E70" s="8"/>
      <c r="F70" s="3"/>
      <c r="G70" s="9"/>
      <c r="O70" s="3"/>
    </row>
    <row r="71" spans="4:15" x14ac:dyDescent="0.25">
      <c r="D71" s="8"/>
      <c r="E71" s="8"/>
      <c r="F71" s="3"/>
      <c r="G71" s="9"/>
      <c r="O71" s="3"/>
    </row>
    <row r="72" spans="4:15" x14ac:dyDescent="0.25">
      <c r="D72" s="8"/>
      <c r="E72" s="8"/>
      <c r="F72" s="3"/>
      <c r="G72" s="9"/>
      <c r="O72" s="3"/>
    </row>
    <row r="73" spans="4:15" x14ac:dyDescent="0.25">
      <c r="D73" s="8"/>
      <c r="E73" s="8"/>
      <c r="F73" s="3"/>
      <c r="G73" s="9"/>
      <c r="O73" s="3"/>
    </row>
    <row r="74" spans="4:15" x14ac:dyDescent="0.25">
      <c r="D74" s="8"/>
      <c r="E74" s="8"/>
      <c r="F74" s="3"/>
      <c r="G74" s="9"/>
      <c r="O74" s="3"/>
    </row>
    <row r="75" spans="4:15" x14ac:dyDescent="0.25">
      <c r="D75" s="8"/>
      <c r="E75" s="8"/>
      <c r="F75" s="3"/>
      <c r="G75" s="9"/>
      <c r="O75" s="3"/>
    </row>
    <row r="76" spans="4:15" x14ac:dyDescent="0.25">
      <c r="D76" s="8"/>
      <c r="E76" s="8"/>
      <c r="F76" s="3"/>
      <c r="G76" s="9"/>
      <c r="O76" s="3"/>
    </row>
    <row r="77" spans="4:15" x14ac:dyDescent="0.25">
      <c r="D77" s="8"/>
      <c r="E77" s="8"/>
      <c r="F77" s="3"/>
      <c r="O77" s="3"/>
    </row>
    <row r="78" spans="4:15" x14ac:dyDescent="0.25">
      <c r="D78" s="8"/>
      <c r="E78" s="8"/>
      <c r="F78" s="3"/>
      <c r="G78" s="9"/>
      <c r="O78" s="3"/>
    </row>
    <row r="79" spans="4:15" x14ac:dyDescent="0.25">
      <c r="D79" s="8"/>
      <c r="E79" s="8"/>
      <c r="F79" s="3"/>
      <c r="G79" s="9"/>
      <c r="O79" s="3"/>
    </row>
    <row r="80" spans="4:15" x14ac:dyDescent="0.25">
      <c r="D80" s="8"/>
      <c r="E80" s="8"/>
      <c r="F80" s="3"/>
      <c r="G80" s="9"/>
      <c r="O80" s="3"/>
    </row>
    <row r="81" spans="4:15" x14ac:dyDescent="0.25">
      <c r="D81" s="8"/>
      <c r="E81" s="8"/>
      <c r="F81" s="3"/>
      <c r="G81" s="9"/>
      <c r="O81" s="3"/>
    </row>
    <row r="82" spans="4:15" x14ac:dyDescent="0.25">
      <c r="D82" s="8"/>
      <c r="E82" s="8"/>
      <c r="F82" s="3"/>
      <c r="G82" s="9"/>
      <c r="O82" s="3"/>
    </row>
    <row r="83" spans="4:15" x14ac:dyDescent="0.25">
      <c r="D83" s="8"/>
      <c r="E83" s="8"/>
      <c r="F83" s="3"/>
      <c r="G83" s="9"/>
      <c r="O83" s="3"/>
    </row>
    <row r="84" spans="4:15" x14ac:dyDescent="0.25">
      <c r="D84" s="8"/>
      <c r="E84" s="8"/>
      <c r="F84" s="3"/>
      <c r="G84" s="9"/>
      <c r="O84" s="3"/>
    </row>
    <row r="85" spans="4:15" x14ac:dyDescent="0.25">
      <c r="D85" s="8"/>
      <c r="E85" s="8"/>
      <c r="F85" s="3"/>
      <c r="G85" s="9"/>
      <c r="O85" s="3"/>
    </row>
    <row r="86" spans="4:15" x14ac:dyDescent="0.25">
      <c r="D86" s="8"/>
      <c r="E86" s="8"/>
      <c r="F86" s="3"/>
      <c r="G86" s="9"/>
      <c r="O86" s="3"/>
    </row>
    <row r="87" spans="4:15" x14ac:dyDescent="0.25">
      <c r="D87" s="8"/>
      <c r="E87" s="8"/>
      <c r="F87" s="3"/>
      <c r="G87" s="9"/>
      <c r="O87" s="3"/>
    </row>
    <row r="88" spans="4:15" x14ac:dyDescent="0.25">
      <c r="D88" s="8"/>
      <c r="E88" s="8"/>
      <c r="F88" s="3"/>
      <c r="G88" s="9"/>
      <c r="O88" s="3"/>
    </row>
    <row r="89" spans="4:15" x14ac:dyDescent="0.25">
      <c r="D89" s="8"/>
      <c r="E89" s="8"/>
      <c r="F89" s="3"/>
      <c r="G89" s="9"/>
      <c r="O89" s="3"/>
    </row>
    <row r="90" spans="4:15" x14ac:dyDescent="0.25">
      <c r="D90" s="8"/>
      <c r="E90" s="8"/>
      <c r="F90" s="3"/>
      <c r="G90" s="9"/>
      <c r="O90" s="3"/>
    </row>
    <row r="91" spans="4:15" x14ac:dyDescent="0.25">
      <c r="D91" s="8"/>
      <c r="E91" s="8"/>
      <c r="F91" s="3"/>
      <c r="G91" s="9"/>
      <c r="O91" s="3"/>
    </row>
    <row r="92" spans="4:15" x14ac:dyDescent="0.25">
      <c r="D92" s="8"/>
      <c r="E92" s="8"/>
      <c r="F92" s="3"/>
      <c r="G92" s="9"/>
      <c r="O92" s="3"/>
    </row>
    <row r="93" spans="4:15" x14ac:dyDescent="0.25">
      <c r="D93" s="8"/>
      <c r="E93" s="8"/>
      <c r="F93" s="3"/>
      <c r="G93" s="9"/>
      <c r="O93" s="3"/>
    </row>
    <row r="94" spans="4:15" x14ac:dyDescent="0.25">
      <c r="D94" s="8"/>
      <c r="E94" s="8"/>
      <c r="F94" s="3"/>
      <c r="G94" s="9"/>
      <c r="O94" s="3"/>
    </row>
    <row r="95" spans="4:15" x14ac:dyDescent="0.25">
      <c r="D95" s="8"/>
      <c r="E95" s="8"/>
      <c r="F95" s="3"/>
      <c r="G95" s="9"/>
      <c r="O95" s="3"/>
    </row>
    <row r="96" spans="4:15" x14ac:dyDescent="0.25">
      <c r="D96" s="8"/>
      <c r="E96" s="8"/>
      <c r="F96" s="3"/>
      <c r="G96" s="9"/>
      <c r="O96" s="3"/>
    </row>
    <row r="97" spans="4:15" x14ac:dyDescent="0.25">
      <c r="D97" s="8"/>
      <c r="E97" s="8"/>
      <c r="F97" s="3"/>
      <c r="G97" s="9"/>
      <c r="O97" s="3"/>
    </row>
    <row r="98" spans="4:15" x14ac:dyDescent="0.25">
      <c r="D98" s="8"/>
      <c r="E98" s="8"/>
      <c r="F98" s="3"/>
      <c r="G98" s="9"/>
      <c r="O98" s="3"/>
    </row>
    <row r="99" spans="4:15" x14ac:dyDescent="0.25">
      <c r="D99" s="8"/>
      <c r="E99" s="8"/>
      <c r="F99" s="3"/>
      <c r="G99" s="9"/>
      <c r="O99" s="3"/>
    </row>
    <row r="100" spans="4:15" x14ac:dyDescent="0.25">
      <c r="D100" s="8"/>
      <c r="E100" s="8"/>
      <c r="F100" s="3"/>
      <c r="G100" s="9"/>
      <c r="O100" s="3"/>
    </row>
    <row r="101" spans="4:15" x14ac:dyDescent="0.25">
      <c r="D101" s="8"/>
      <c r="E101" s="8"/>
      <c r="F101" s="3"/>
      <c r="G101" s="9"/>
      <c r="O101" s="3"/>
    </row>
    <row r="102" spans="4:15" x14ac:dyDescent="0.25">
      <c r="D102" s="8"/>
      <c r="E102" s="8"/>
      <c r="F102" s="3"/>
      <c r="O102" s="3"/>
    </row>
    <row r="103" spans="4:15" x14ac:dyDescent="0.25">
      <c r="D103" s="8"/>
      <c r="E103" s="8"/>
      <c r="F103" s="3"/>
      <c r="G103" s="9"/>
      <c r="O103" s="3"/>
    </row>
    <row r="104" spans="4:15" x14ac:dyDescent="0.25">
      <c r="D104" s="8"/>
      <c r="E104" s="8"/>
      <c r="F104" s="3"/>
      <c r="G104" s="9"/>
      <c r="O104" s="3"/>
    </row>
    <row r="105" spans="4:15" x14ac:dyDescent="0.25">
      <c r="D105" s="8"/>
      <c r="E105" s="8"/>
      <c r="F105" s="3"/>
      <c r="G105" s="9"/>
      <c r="O105" s="3"/>
    </row>
    <row r="106" spans="4:15" x14ac:dyDescent="0.25">
      <c r="D106" s="8"/>
      <c r="E106" s="8"/>
      <c r="F106" s="3"/>
      <c r="G106" s="9"/>
      <c r="O106" s="3"/>
    </row>
    <row r="107" spans="4:15" x14ac:dyDescent="0.25">
      <c r="D107" s="8"/>
      <c r="E107" s="8"/>
      <c r="F107" s="3"/>
      <c r="G107" s="9"/>
      <c r="O107" s="3"/>
    </row>
    <row r="108" spans="4:15" x14ac:dyDescent="0.25">
      <c r="D108" s="8"/>
      <c r="E108" s="8"/>
      <c r="F108" s="3"/>
      <c r="G108" s="9"/>
      <c r="O108" s="3"/>
    </row>
    <row r="109" spans="4:15" x14ac:dyDescent="0.25">
      <c r="D109" s="8"/>
      <c r="E109" s="8"/>
      <c r="F109" s="3"/>
      <c r="G109" s="9"/>
      <c r="O109" s="3"/>
    </row>
    <row r="110" spans="4:15" x14ac:dyDescent="0.25">
      <c r="D110" s="8"/>
      <c r="E110" s="8"/>
      <c r="F110" s="3"/>
      <c r="G110" s="9"/>
      <c r="O110" s="3"/>
    </row>
    <row r="111" spans="4:15" x14ac:dyDescent="0.25">
      <c r="D111" s="8"/>
      <c r="E111" s="8"/>
      <c r="F111" s="3"/>
      <c r="G111" s="9"/>
      <c r="O111" s="3"/>
    </row>
    <row r="112" spans="4:15" x14ac:dyDescent="0.25">
      <c r="D112" s="8"/>
      <c r="E112" s="8"/>
      <c r="F112" s="3"/>
      <c r="G112" s="9"/>
      <c r="O112" s="3"/>
    </row>
    <row r="113" spans="4:15" x14ac:dyDescent="0.25">
      <c r="D113" s="8"/>
      <c r="E113" s="8"/>
      <c r="F113" s="3"/>
      <c r="G113" s="9"/>
      <c r="O113" s="3"/>
    </row>
    <row r="114" spans="4:15" x14ac:dyDescent="0.25">
      <c r="D114" s="8"/>
      <c r="E114" s="8"/>
      <c r="F114" s="3"/>
      <c r="G114" s="9"/>
      <c r="O114" s="3"/>
    </row>
    <row r="115" spans="4:15" x14ac:dyDescent="0.25">
      <c r="D115" s="8"/>
      <c r="E115" s="8"/>
      <c r="F115" s="3"/>
      <c r="G115" s="9"/>
      <c r="O115" s="3"/>
    </row>
    <row r="116" spans="4:15" x14ac:dyDescent="0.25">
      <c r="D116" s="8"/>
      <c r="E116" s="8"/>
      <c r="F116" s="3"/>
      <c r="G116" s="9"/>
      <c r="O116" s="3"/>
    </row>
    <row r="117" spans="4:15" x14ac:dyDescent="0.25">
      <c r="D117" s="8"/>
      <c r="E117" s="8"/>
      <c r="F117" s="3"/>
      <c r="G117" s="9"/>
      <c r="O117" s="3"/>
    </row>
    <row r="118" spans="4:15" x14ac:dyDescent="0.25">
      <c r="D118" s="8"/>
      <c r="E118" s="8"/>
      <c r="F118" s="3"/>
      <c r="G118" s="9"/>
      <c r="O118" s="3"/>
    </row>
    <row r="119" spans="4:15" x14ac:dyDescent="0.25">
      <c r="D119" s="8"/>
      <c r="E119" s="8"/>
      <c r="F119" s="3"/>
      <c r="G119" s="9"/>
      <c r="O119" s="3"/>
    </row>
    <row r="120" spans="4:15" x14ac:dyDescent="0.25">
      <c r="D120" s="8"/>
      <c r="E120" s="8"/>
      <c r="F120" s="3"/>
      <c r="G120" s="9"/>
      <c r="O120" s="3"/>
    </row>
    <row r="121" spans="4:15" x14ac:dyDescent="0.25">
      <c r="D121" s="8"/>
      <c r="E121" s="8"/>
      <c r="F121" s="3"/>
      <c r="G121" s="9"/>
      <c r="O121" s="3"/>
    </row>
    <row r="122" spans="4:15" x14ac:dyDescent="0.25">
      <c r="D122" s="8"/>
      <c r="E122" s="8"/>
      <c r="F122" s="3"/>
      <c r="G122" s="9"/>
      <c r="O122" s="3"/>
    </row>
    <row r="123" spans="4:15" x14ac:dyDescent="0.25">
      <c r="D123" s="8"/>
      <c r="E123" s="8"/>
      <c r="F123" s="3"/>
      <c r="G123" s="9"/>
      <c r="O123" s="3"/>
    </row>
    <row r="124" spans="4:15" x14ac:dyDescent="0.25">
      <c r="D124" s="8"/>
      <c r="E124" s="8"/>
      <c r="F124" s="3"/>
      <c r="G124" s="9"/>
      <c r="O124" s="3"/>
    </row>
    <row r="125" spans="4:15" x14ac:dyDescent="0.25">
      <c r="D125" s="8"/>
      <c r="E125" s="8"/>
      <c r="F125" s="3"/>
      <c r="G125" s="9"/>
      <c r="O125" s="3"/>
    </row>
    <row r="126" spans="4:15" x14ac:dyDescent="0.25">
      <c r="D126" s="8"/>
      <c r="E126" s="8"/>
      <c r="F126" s="3"/>
      <c r="G126" s="9"/>
      <c r="O126" s="3"/>
    </row>
    <row r="127" spans="4:15" x14ac:dyDescent="0.25">
      <c r="D127" s="8"/>
      <c r="E127" s="8"/>
      <c r="F127" s="3"/>
      <c r="O127" s="3"/>
    </row>
    <row r="128" spans="4:15" x14ac:dyDescent="0.25">
      <c r="D128" s="8"/>
      <c r="E128" s="8"/>
      <c r="F128" s="3"/>
      <c r="G128" s="9"/>
      <c r="O128" s="3"/>
    </row>
    <row r="129" spans="4:15" x14ac:dyDescent="0.25">
      <c r="D129" s="8"/>
      <c r="E129" s="8"/>
      <c r="F129" s="3"/>
      <c r="G129" s="9"/>
      <c r="O129" s="3"/>
    </row>
    <row r="130" spans="4:15" x14ac:dyDescent="0.25">
      <c r="D130" s="8"/>
      <c r="E130" s="8"/>
      <c r="F130" s="3"/>
      <c r="G130" s="9"/>
      <c r="O130" s="3"/>
    </row>
    <row r="131" spans="4:15" x14ac:dyDescent="0.25">
      <c r="D131" s="8"/>
      <c r="E131" s="8"/>
      <c r="F131" s="3"/>
      <c r="G131" s="9"/>
      <c r="O131" s="3"/>
    </row>
    <row r="132" spans="4:15" x14ac:dyDescent="0.25">
      <c r="D132" s="8"/>
      <c r="E132" s="8"/>
      <c r="F132" s="3"/>
      <c r="G132" s="9"/>
      <c r="O132" s="3"/>
    </row>
    <row r="133" spans="4:15" x14ac:dyDescent="0.25">
      <c r="D133" s="8"/>
      <c r="E133" s="8"/>
      <c r="F133" s="3"/>
      <c r="G133" s="9"/>
      <c r="O133" s="3"/>
    </row>
    <row r="134" spans="4:15" x14ac:dyDescent="0.25">
      <c r="D134" s="8"/>
      <c r="E134" s="8"/>
      <c r="F134" s="3"/>
      <c r="G134" s="9"/>
      <c r="O134" s="3"/>
    </row>
    <row r="135" spans="4:15" x14ac:dyDescent="0.25">
      <c r="D135" s="8"/>
      <c r="E135" s="8"/>
      <c r="F135" s="3"/>
      <c r="G135" s="9"/>
      <c r="O135" s="3"/>
    </row>
    <row r="136" spans="4:15" x14ac:dyDescent="0.25">
      <c r="D136" s="8"/>
      <c r="E136" s="8"/>
      <c r="F136" s="3"/>
      <c r="G136" s="9"/>
      <c r="O136" s="3"/>
    </row>
    <row r="137" spans="4:15" x14ac:dyDescent="0.25">
      <c r="D137" s="8"/>
      <c r="E137" s="8"/>
      <c r="F137" s="3"/>
      <c r="G137" s="9"/>
      <c r="O137" s="3"/>
    </row>
    <row r="138" spans="4:15" x14ac:dyDescent="0.25">
      <c r="D138" s="8"/>
      <c r="E138" s="8"/>
      <c r="F138" s="3"/>
      <c r="G138" s="9"/>
      <c r="O138" s="3"/>
    </row>
    <row r="139" spans="4:15" x14ac:dyDescent="0.25">
      <c r="D139" s="8"/>
      <c r="E139" s="8"/>
      <c r="F139" s="3"/>
      <c r="G139" s="9"/>
      <c r="O139" s="3"/>
    </row>
    <row r="140" spans="4:15" x14ac:dyDescent="0.25">
      <c r="D140" s="8"/>
      <c r="E140" s="8"/>
      <c r="F140" s="3"/>
      <c r="G140" s="9"/>
      <c r="O140" s="3"/>
    </row>
    <row r="141" spans="4:15" x14ac:dyDescent="0.25">
      <c r="D141" s="8"/>
      <c r="E141" s="8"/>
      <c r="F141" s="3"/>
      <c r="G141" s="9"/>
      <c r="O141" s="3"/>
    </row>
    <row r="142" spans="4:15" x14ac:dyDescent="0.25">
      <c r="D142" s="8"/>
      <c r="E142" s="8"/>
      <c r="F142" s="3"/>
      <c r="G142" s="9"/>
      <c r="O142" s="3"/>
    </row>
    <row r="143" spans="4:15" x14ac:dyDescent="0.25">
      <c r="D143" s="8"/>
      <c r="E143" s="8"/>
      <c r="F143" s="3"/>
      <c r="G143" s="9"/>
      <c r="O143" s="3"/>
    </row>
    <row r="144" spans="4:15" x14ac:dyDescent="0.25">
      <c r="D144" s="8"/>
      <c r="E144" s="8"/>
      <c r="F144" s="3"/>
      <c r="G144" s="9"/>
      <c r="O144" s="3"/>
    </row>
    <row r="145" spans="4:15" x14ac:dyDescent="0.25">
      <c r="D145" s="8"/>
      <c r="E145" s="8"/>
      <c r="F145" s="3"/>
      <c r="G145" s="9"/>
      <c r="O145" s="3"/>
    </row>
    <row r="146" spans="4:15" x14ac:dyDescent="0.25">
      <c r="D146" s="8"/>
      <c r="E146" s="8"/>
      <c r="F146" s="3"/>
      <c r="G146" s="9"/>
      <c r="O146" s="3"/>
    </row>
    <row r="147" spans="4:15" x14ac:dyDescent="0.25">
      <c r="D147" s="8"/>
      <c r="E147" s="8"/>
      <c r="F147" s="3"/>
      <c r="G147" s="9"/>
      <c r="O147" s="3"/>
    </row>
    <row r="148" spans="4:15" x14ac:dyDescent="0.25">
      <c r="D148" s="8"/>
      <c r="E148" s="8"/>
      <c r="F148" s="3"/>
      <c r="G148" s="9"/>
      <c r="O148" s="3"/>
    </row>
    <row r="149" spans="4:15" x14ac:dyDescent="0.25">
      <c r="D149" s="8"/>
      <c r="E149" s="8"/>
      <c r="F149" s="3"/>
      <c r="G149" s="9"/>
      <c r="O149" s="3"/>
    </row>
    <row r="150" spans="4:15" x14ac:dyDescent="0.25">
      <c r="D150" s="8"/>
      <c r="E150" s="8"/>
      <c r="F150" s="3"/>
      <c r="G150" s="9"/>
      <c r="O150" s="3"/>
    </row>
    <row r="151" spans="4:15" x14ac:dyDescent="0.25">
      <c r="D151" s="8"/>
      <c r="E151" s="8"/>
      <c r="F151" s="3"/>
      <c r="G151" s="9"/>
      <c r="O151" s="3"/>
    </row>
    <row r="152" spans="4:15" x14ac:dyDescent="0.25">
      <c r="D152" s="8"/>
      <c r="E152" s="8"/>
      <c r="F152" s="3"/>
      <c r="O152" s="3"/>
    </row>
    <row r="153" spans="4:15" x14ac:dyDescent="0.25">
      <c r="D153" s="8"/>
      <c r="E153" s="8"/>
      <c r="F153" s="3"/>
      <c r="G153" s="9"/>
      <c r="O153" s="3"/>
    </row>
    <row r="154" spans="4:15" x14ac:dyDescent="0.25">
      <c r="D154" s="8"/>
      <c r="E154" s="8"/>
      <c r="F154" s="3"/>
      <c r="G154" s="9"/>
      <c r="O154" s="3"/>
    </row>
    <row r="155" spans="4:15" x14ac:dyDescent="0.25">
      <c r="D155" s="8"/>
      <c r="E155" s="8"/>
      <c r="F155" s="3"/>
      <c r="G155" s="9"/>
      <c r="O155" s="3"/>
    </row>
    <row r="156" spans="4:15" x14ac:dyDescent="0.25">
      <c r="D156" s="8"/>
      <c r="E156" s="8"/>
      <c r="F156" s="3"/>
      <c r="G156" s="9"/>
      <c r="O156" s="3"/>
    </row>
    <row r="157" spans="4:15" x14ac:dyDescent="0.25">
      <c r="D157" s="8"/>
      <c r="E157" s="8"/>
      <c r="F157" s="3"/>
      <c r="G157" s="9"/>
      <c r="O157" s="3"/>
    </row>
    <row r="158" spans="4:15" x14ac:dyDescent="0.25">
      <c r="D158" s="8"/>
      <c r="E158" s="8"/>
      <c r="F158" s="3"/>
      <c r="G158" s="9"/>
      <c r="O158" s="3"/>
    </row>
    <row r="159" spans="4:15" x14ac:dyDescent="0.25">
      <c r="D159" s="8"/>
      <c r="E159" s="8"/>
      <c r="F159" s="3"/>
      <c r="G159" s="9"/>
      <c r="O159" s="3"/>
    </row>
    <row r="160" spans="4:15" x14ac:dyDescent="0.25">
      <c r="D160" s="8"/>
      <c r="E160" s="8"/>
      <c r="F160" s="3"/>
      <c r="G160" s="9"/>
      <c r="O160" s="3"/>
    </row>
    <row r="161" spans="4:15" x14ac:dyDescent="0.25">
      <c r="D161" s="8"/>
      <c r="E161" s="8"/>
      <c r="F161" s="3"/>
      <c r="G161" s="9"/>
      <c r="O161" s="3"/>
    </row>
    <row r="162" spans="4:15" x14ac:dyDescent="0.25">
      <c r="D162" s="8"/>
      <c r="E162" s="8"/>
      <c r="F162" s="3"/>
      <c r="G162" s="9"/>
      <c r="O162" s="3"/>
    </row>
    <row r="163" spans="4:15" x14ac:dyDescent="0.25">
      <c r="D163" s="8"/>
      <c r="E163" s="8"/>
      <c r="F163" s="3"/>
      <c r="G163" s="9"/>
      <c r="O163" s="3"/>
    </row>
    <row r="164" spans="4:15" x14ac:dyDescent="0.25">
      <c r="D164" s="8"/>
      <c r="E164" s="8"/>
      <c r="F164" s="3"/>
      <c r="G164" s="9"/>
      <c r="O164" s="3"/>
    </row>
    <row r="165" spans="4:15" x14ac:dyDescent="0.25">
      <c r="D165" s="8"/>
      <c r="E165" s="8"/>
      <c r="F165" s="3"/>
      <c r="G165" s="9"/>
      <c r="O165" s="3"/>
    </row>
    <row r="166" spans="4:15" x14ac:dyDescent="0.25">
      <c r="D166" s="8"/>
      <c r="E166" s="8"/>
      <c r="F166" s="3"/>
      <c r="G166" s="9"/>
      <c r="O166" s="3"/>
    </row>
    <row r="167" spans="4:15" x14ac:dyDescent="0.25">
      <c r="D167" s="8"/>
      <c r="E167" s="8"/>
      <c r="F167" s="3"/>
      <c r="G167" s="9"/>
      <c r="O167" s="3"/>
    </row>
    <row r="168" spans="4:15" x14ac:dyDescent="0.25">
      <c r="D168" s="8"/>
      <c r="E168" s="8"/>
      <c r="F168" s="3"/>
      <c r="G168" s="9"/>
      <c r="O168" s="3"/>
    </row>
    <row r="169" spans="4:15" x14ac:dyDescent="0.25">
      <c r="D169" s="8"/>
      <c r="E169" s="8"/>
      <c r="F169" s="3"/>
      <c r="G169" s="9"/>
      <c r="O169" s="3"/>
    </row>
    <row r="170" spans="4:15" x14ac:dyDescent="0.25">
      <c r="D170" s="8"/>
      <c r="E170" s="8"/>
      <c r="F170" s="3"/>
      <c r="G170" s="9"/>
      <c r="O170" s="3"/>
    </row>
    <row r="171" spans="4:15" x14ac:dyDescent="0.25">
      <c r="D171" s="8"/>
      <c r="E171" s="8"/>
      <c r="F171" s="3"/>
      <c r="G171" s="9"/>
      <c r="O171" s="3"/>
    </row>
    <row r="172" spans="4:15" x14ac:dyDescent="0.25">
      <c r="D172" s="8"/>
      <c r="E172" s="8"/>
      <c r="F172" s="3"/>
      <c r="G172" s="9"/>
      <c r="O172" s="3"/>
    </row>
    <row r="173" spans="4:15" x14ac:dyDescent="0.25">
      <c r="D173" s="8"/>
      <c r="E173" s="8"/>
      <c r="F173" s="3"/>
      <c r="G173" s="9"/>
      <c r="O173" s="3"/>
    </row>
    <row r="174" spans="4:15" x14ac:dyDescent="0.25">
      <c r="D174" s="8"/>
      <c r="E174" s="8"/>
      <c r="F174" s="3"/>
      <c r="G174" s="9"/>
      <c r="O174" s="3"/>
    </row>
    <row r="175" spans="4:15" x14ac:dyDescent="0.25">
      <c r="D175" s="8"/>
      <c r="E175" s="8"/>
      <c r="F175" s="3"/>
      <c r="G175" s="9"/>
      <c r="O175" s="3"/>
    </row>
    <row r="176" spans="4:15" x14ac:dyDescent="0.25">
      <c r="D176" s="8"/>
      <c r="E176" s="8"/>
      <c r="F176" s="3"/>
      <c r="G176" s="9"/>
      <c r="O176" s="3"/>
    </row>
    <row r="177" spans="4:15" x14ac:dyDescent="0.25">
      <c r="D177" s="8"/>
      <c r="E177" s="8"/>
      <c r="F177" s="3"/>
      <c r="O177" s="3"/>
    </row>
    <row r="178" spans="4:15" x14ac:dyDescent="0.25">
      <c r="D178" s="8"/>
      <c r="E178" s="8"/>
      <c r="F178" s="3"/>
      <c r="G178" s="9"/>
      <c r="O178" s="3"/>
    </row>
    <row r="179" spans="4:15" x14ac:dyDescent="0.25">
      <c r="D179" s="8"/>
      <c r="E179" s="8"/>
      <c r="F179" s="3"/>
      <c r="G179" s="9"/>
      <c r="O179" s="3"/>
    </row>
    <row r="180" spans="4:15" x14ac:dyDescent="0.25">
      <c r="D180" s="8"/>
      <c r="E180" s="8"/>
      <c r="F180" s="3"/>
      <c r="G180" s="9"/>
      <c r="O180" s="3"/>
    </row>
    <row r="181" spans="4:15" x14ac:dyDescent="0.25">
      <c r="D181" s="8"/>
      <c r="E181" s="8"/>
      <c r="F181" s="3"/>
      <c r="G181" s="9"/>
      <c r="O181" s="3"/>
    </row>
    <row r="182" spans="4:15" x14ac:dyDescent="0.25">
      <c r="D182" s="8"/>
      <c r="E182" s="8"/>
      <c r="F182" s="3"/>
      <c r="G182" s="9"/>
      <c r="O182" s="3"/>
    </row>
    <row r="183" spans="4:15" x14ac:dyDescent="0.25">
      <c r="D183" s="8"/>
      <c r="E183" s="8"/>
      <c r="F183" s="3"/>
      <c r="G183" s="9"/>
      <c r="O183" s="3"/>
    </row>
    <row r="184" spans="4:15" x14ac:dyDescent="0.25">
      <c r="D184" s="8"/>
      <c r="E184" s="8"/>
      <c r="F184" s="3"/>
      <c r="G184" s="9"/>
      <c r="O184" s="3"/>
    </row>
    <row r="185" spans="4:15" x14ac:dyDescent="0.25">
      <c r="D185" s="8"/>
      <c r="E185" s="8"/>
      <c r="F185" s="3"/>
      <c r="G185" s="9"/>
      <c r="O185" s="3"/>
    </row>
    <row r="186" spans="4:15" x14ac:dyDescent="0.25">
      <c r="D186" s="8"/>
      <c r="E186" s="8"/>
      <c r="F186" s="3"/>
      <c r="G186" s="9"/>
      <c r="O186" s="3"/>
    </row>
    <row r="187" spans="4:15" x14ac:dyDescent="0.25">
      <c r="D187" s="8"/>
      <c r="E187" s="8"/>
      <c r="F187" s="3"/>
      <c r="G187" s="9"/>
      <c r="O187" s="3"/>
    </row>
    <row r="188" spans="4:15" x14ac:dyDescent="0.25">
      <c r="D188" s="8"/>
      <c r="E188" s="8"/>
      <c r="F188" s="3"/>
      <c r="G188" s="9"/>
      <c r="O188" s="3"/>
    </row>
    <row r="189" spans="4:15" x14ac:dyDescent="0.25">
      <c r="D189" s="8"/>
      <c r="E189" s="8"/>
      <c r="F189" s="3"/>
      <c r="G189" s="9"/>
      <c r="O189" s="3"/>
    </row>
    <row r="190" spans="4:15" x14ac:dyDescent="0.25">
      <c r="D190" s="8"/>
      <c r="E190" s="8"/>
      <c r="F190" s="3"/>
      <c r="G190" s="9"/>
      <c r="O190" s="3"/>
    </row>
    <row r="191" spans="4:15" x14ac:dyDescent="0.25">
      <c r="D191" s="8"/>
      <c r="E191" s="8"/>
      <c r="F191" s="3"/>
      <c r="G191" s="9"/>
      <c r="O191" s="3"/>
    </row>
    <row r="192" spans="4:15" x14ac:dyDescent="0.25">
      <c r="D192" s="8"/>
      <c r="E192" s="8"/>
      <c r="F192" s="3"/>
      <c r="G192" s="9"/>
      <c r="O192" s="3"/>
    </row>
    <row r="193" spans="4:15" x14ac:dyDescent="0.25">
      <c r="D193" s="8"/>
      <c r="E193" s="8"/>
      <c r="F193" s="3"/>
      <c r="G193" s="9"/>
      <c r="O193" s="3"/>
    </row>
    <row r="194" spans="4:15" x14ac:dyDescent="0.25">
      <c r="D194" s="8"/>
      <c r="E194" s="8"/>
      <c r="F194" s="3"/>
      <c r="G194" s="9"/>
      <c r="O194" s="3"/>
    </row>
    <row r="195" spans="4:15" x14ac:dyDescent="0.25">
      <c r="D195" s="8"/>
      <c r="E195" s="8"/>
      <c r="F195" s="3"/>
      <c r="G195" s="9"/>
      <c r="O195" s="3"/>
    </row>
    <row r="196" spans="4:15" x14ac:dyDescent="0.25">
      <c r="D196" s="8"/>
      <c r="E196" s="8"/>
      <c r="F196" s="3"/>
      <c r="G196" s="9"/>
      <c r="O196" s="3"/>
    </row>
    <row r="197" spans="4:15" x14ac:dyDescent="0.25">
      <c r="D197" s="8"/>
      <c r="E197" s="8"/>
      <c r="F197" s="3"/>
      <c r="G197" s="9"/>
      <c r="O197" s="3"/>
    </row>
    <row r="198" spans="4:15" x14ac:dyDescent="0.25">
      <c r="D198" s="8"/>
      <c r="E198" s="8"/>
      <c r="F198" s="3"/>
      <c r="G198" s="9"/>
      <c r="O198" s="3"/>
    </row>
    <row r="199" spans="4:15" x14ac:dyDescent="0.25">
      <c r="D199" s="8"/>
      <c r="E199" s="8"/>
      <c r="F199" s="3"/>
      <c r="G199" s="9"/>
      <c r="O199" s="3"/>
    </row>
    <row r="200" spans="4:15" x14ac:dyDescent="0.25">
      <c r="D200" s="8"/>
      <c r="E200" s="8"/>
      <c r="F200" s="3"/>
      <c r="G200" s="9"/>
      <c r="O200" s="3"/>
    </row>
    <row r="201" spans="4:15" x14ac:dyDescent="0.25">
      <c r="D201" s="8"/>
      <c r="E201" s="8"/>
      <c r="F201" s="3"/>
      <c r="G201" s="9"/>
      <c r="O201" s="3"/>
    </row>
    <row r="202" spans="4:15" x14ac:dyDescent="0.25">
      <c r="D202" s="8"/>
      <c r="E202" s="8"/>
      <c r="F202" s="3"/>
      <c r="O202" s="3"/>
    </row>
    <row r="203" spans="4:15" x14ac:dyDescent="0.25">
      <c r="D203" s="8"/>
      <c r="E203" s="8"/>
      <c r="F203" s="3"/>
      <c r="G203" s="9"/>
      <c r="O203" s="3"/>
    </row>
    <row r="204" spans="4:15" x14ac:dyDescent="0.25">
      <c r="D204" s="8"/>
      <c r="E204" s="8"/>
      <c r="F204" s="3"/>
      <c r="G204" s="9"/>
      <c r="O204" s="3"/>
    </row>
    <row r="205" spans="4:15" x14ac:dyDescent="0.25">
      <c r="D205" s="8"/>
      <c r="E205" s="8"/>
      <c r="F205" s="3"/>
      <c r="G205" s="9"/>
      <c r="O205" s="3"/>
    </row>
    <row r="206" spans="4:15" x14ac:dyDescent="0.25">
      <c r="D206" s="8"/>
      <c r="E206" s="8"/>
      <c r="F206" s="3"/>
      <c r="G206" s="9"/>
      <c r="O206" s="3"/>
    </row>
    <row r="207" spans="4:15" x14ac:dyDescent="0.25">
      <c r="D207" s="8"/>
      <c r="E207" s="8"/>
      <c r="F207" s="3"/>
      <c r="G207" s="9"/>
      <c r="O207" s="3"/>
    </row>
    <row r="208" spans="4:15" x14ac:dyDescent="0.25">
      <c r="D208" s="8"/>
      <c r="E208" s="8"/>
      <c r="F208" s="3"/>
      <c r="G208" s="9"/>
      <c r="O208" s="3"/>
    </row>
    <row r="209" spans="4:15" x14ac:dyDescent="0.25">
      <c r="D209" s="8"/>
      <c r="E209" s="8"/>
      <c r="F209" s="3"/>
      <c r="G209" s="9"/>
      <c r="O209" s="3"/>
    </row>
    <row r="210" spans="4:15" x14ac:dyDescent="0.25">
      <c r="D210" s="8"/>
      <c r="E210" s="8"/>
      <c r="F210" s="3"/>
      <c r="G210" s="9"/>
      <c r="O210" s="3"/>
    </row>
    <row r="211" spans="4:15" x14ac:dyDescent="0.25">
      <c r="D211" s="8"/>
      <c r="E211" s="8"/>
      <c r="F211" s="3"/>
      <c r="G211" s="9"/>
      <c r="O211" s="3"/>
    </row>
    <row r="212" spans="4:15" x14ac:dyDescent="0.25">
      <c r="D212" s="8"/>
      <c r="E212" s="8"/>
      <c r="F212" s="3"/>
      <c r="G212" s="9"/>
      <c r="O212" s="3"/>
    </row>
    <row r="213" spans="4:15" x14ac:dyDescent="0.25">
      <c r="D213" s="8"/>
      <c r="E213" s="8"/>
      <c r="F213" s="3"/>
      <c r="G213" s="9"/>
      <c r="O213" s="3"/>
    </row>
    <row r="214" spans="4:15" x14ac:dyDescent="0.25">
      <c r="D214" s="8"/>
      <c r="E214" s="8"/>
      <c r="F214" s="3"/>
      <c r="G214" s="9"/>
      <c r="O214" s="3"/>
    </row>
    <row r="215" spans="4:15" x14ac:dyDescent="0.25">
      <c r="D215" s="8"/>
      <c r="E215" s="8"/>
      <c r="F215" s="3"/>
      <c r="G215" s="9"/>
      <c r="O215" s="3"/>
    </row>
    <row r="216" spans="4:15" x14ac:dyDescent="0.25">
      <c r="D216" s="8"/>
      <c r="E216" s="8"/>
      <c r="F216" s="3"/>
      <c r="G216" s="9"/>
      <c r="O216" s="3"/>
    </row>
    <row r="217" spans="4:15" x14ac:dyDescent="0.25">
      <c r="D217" s="8"/>
      <c r="E217" s="8"/>
      <c r="F217" s="3"/>
      <c r="G217" s="9"/>
      <c r="O217" s="3"/>
    </row>
    <row r="218" spans="4:15" x14ac:dyDescent="0.25">
      <c r="D218" s="8"/>
      <c r="E218" s="8"/>
      <c r="F218" s="3"/>
      <c r="G218" s="9"/>
      <c r="O218" s="3"/>
    </row>
    <row r="219" spans="4:15" x14ac:dyDescent="0.25">
      <c r="D219" s="8"/>
      <c r="E219" s="8"/>
      <c r="F219" s="3"/>
      <c r="G219" s="9"/>
      <c r="O219" s="3"/>
    </row>
    <row r="220" spans="4:15" x14ac:dyDescent="0.25">
      <c r="D220" s="8"/>
      <c r="E220" s="8"/>
      <c r="F220" s="3"/>
      <c r="G220" s="9"/>
      <c r="O220" s="3"/>
    </row>
    <row r="221" spans="4:15" x14ac:dyDescent="0.25">
      <c r="D221" s="8"/>
      <c r="E221" s="8"/>
      <c r="F221" s="3"/>
      <c r="G221" s="9"/>
      <c r="O221" s="3"/>
    </row>
    <row r="222" spans="4:15" x14ac:dyDescent="0.25">
      <c r="D222" s="8"/>
      <c r="E222" s="8"/>
      <c r="F222" s="3"/>
      <c r="G222" s="9"/>
      <c r="O222" s="3"/>
    </row>
    <row r="223" spans="4:15" x14ac:dyDescent="0.25">
      <c r="D223" s="8"/>
      <c r="E223" s="8"/>
      <c r="F223" s="3"/>
      <c r="G223" s="9"/>
      <c r="O223" s="3"/>
    </row>
    <row r="224" spans="4:15" x14ac:dyDescent="0.25">
      <c r="D224" s="8"/>
      <c r="E224" s="8"/>
      <c r="F224" s="3"/>
      <c r="G224" s="9"/>
      <c r="O224" s="3"/>
    </row>
    <row r="225" spans="4:15" x14ac:dyDescent="0.25">
      <c r="D225" s="8"/>
      <c r="E225" s="8"/>
      <c r="F225" s="3"/>
      <c r="G225" s="9"/>
      <c r="O225" s="3"/>
    </row>
    <row r="226" spans="4:15" x14ac:dyDescent="0.25">
      <c r="D226" s="8"/>
      <c r="E226" s="8"/>
      <c r="F226" s="3"/>
      <c r="G226" s="9"/>
      <c r="O226" s="3"/>
    </row>
    <row r="227" spans="4:15" x14ac:dyDescent="0.25">
      <c r="D227" s="8"/>
      <c r="E227" s="8"/>
      <c r="F227" s="3"/>
      <c r="O227" s="3"/>
    </row>
    <row r="228" spans="4:15" x14ac:dyDescent="0.25">
      <c r="D228" s="8"/>
      <c r="E228" s="8"/>
      <c r="F228" s="3"/>
      <c r="G228" s="9"/>
      <c r="O228" s="3"/>
    </row>
    <row r="229" spans="4:15" x14ac:dyDescent="0.25">
      <c r="D229" s="8"/>
      <c r="E229" s="8"/>
      <c r="F229" s="3"/>
      <c r="G229" s="9"/>
      <c r="O229" s="3"/>
    </row>
    <row r="230" spans="4:15" x14ac:dyDescent="0.25">
      <c r="D230" s="8"/>
      <c r="E230" s="8"/>
      <c r="F230" s="3"/>
      <c r="G230" s="9"/>
      <c r="O230" s="3"/>
    </row>
    <row r="231" spans="4:15" x14ac:dyDescent="0.25">
      <c r="D231" s="8"/>
      <c r="E231" s="8"/>
      <c r="F231" s="3"/>
      <c r="G231" s="9"/>
      <c r="O231" s="3"/>
    </row>
    <row r="232" spans="4:15" x14ac:dyDescent="0.25">
      <c r="D232" s="8"/>
      <c r="E232" s="8"/>
      <c r="F232" s="3"/>
      <c r="G232" s="9"/>
      <c r="O232" s="3"/>
    </row>
    <row r="233" spans="4:15" x14ac:dyDescent="0.25">
      <c r="D233" s="8"/>
      <c r="E233" s="8"/>
      <c r="F233" s="3"/>
      <c r="G233" s="9"/>
      <c r="O233" s="3"/>
    </row>
    <row r="234" spans="4:15" x14ac:dyDescent="0.25">
      <c r="D234" s="8"/>
      <c r="E234" s="8"/>
      <c r="F234" s="3"/>
      <c r="G234" s="9"/>
      <c r="O234" s="3"/>
    </row>
    <row r="235" spans="4:15" x14ac:dyDescent="0.25">
      <c r="D235" s="8"/>
      <c r="E235" s="8"/>
      <c r="F235" s="3"/>
      <c r="G235" s="9"/>
      <c r="O235" s="3"/>
    </row>
    <row r="236" spans="4:15" x14ac:dyDescent="0.25">
      <c r="D236" s="8"/>
      <c r="E236" s="8"/>
      <c r="F236" s="3"/>
      <c r="G236" s="9"/>
      <c r="O236" s="3"/>
    </row>
    <row r="237" spans="4:15" x14ac:dyDescent="0.25">
      <c r="D237" s="8"/>
      <c r="E237" s="8"/>
      <c r="F237" s="3"/>
      <c r="G237" s="9"/>
      <c r="O237" s="3"/>
    </row>
    <row r="238" spans="4:15" x14ac:dyDescent="0.25">
      <c r="D238" s="8"/>
      <c r="E238" s="8"/>
      <c r="F238" s="3"/>
      <c r="G238" s="9"/>
      <c r="O238" s="3"/>
    </row>
    <row r="239" spans="4:15" x14ac:dyDescent="0.25">
      <c r="D239" s="8"/>
      <c r="E239" s="8"/>
      <c r="F239" s="3"/>
      <c r="G239" s="9"/>
      <c r="O239" s="3"/>
    </row>
    <row r="240" spans="4:15" x14ac:dyDescent="0.25">
      <c r="D240" s="8"/>
      <c r="E240" s="8"/>
      <c r="F240" s="3"/>
      <c r="G240" s="9"/>
      <c r="O240" s="3"/>
    </row>
    <row r="241" spans="4:15" x14ac:dyDescent="0.25">
      <c r="D241" s="8"/>
      <c r="E241" s="8"/>
      <c r="F241" s="3"/>
      <c r="G241" s="9"/>
      <c r="O241" s="3"/>
    </row>
    <row r="242" spans="4:15" x14ac:dyDescent="0.25">
      <c r="D242" s="8"/>
      <c r="E242" s="8"/>
      <c r="F242" s="3"/>
      <c r="G242" s="9"/>
      <c r="O242" s="3"/>
    </row>
    <row r="243" spans="4:15" x14ac:dyDescent="0.25">
      <c r="D243" s="8"/>
      <c r="E243" s="8"/>
      <c r="F243" s="3"/>
      <c r="G243" s="9"/>
      <c r="O243" s="3"/>
    </row>
    <row r="244" spans="4:15" x14ac:dyDescent="0.25">
      <c r="D244" s="8"/>
      <c r="E244" s="8"/>
      <c r="F244" s="3"/>
      <c r="G244" s="9"/>
      <c r="O244" s="3"/>
    </row>
    <row r="245" spans="4:15" x14ac:dyDescent="0.25">
      <c r="D245" s="8"/>
      <c r="E245" s="8"/>
      <c r="F245" s="3"/>
      <c r="G245" s="9"/>
      <c r="O245" s="3"/>
    </row>
    <row r="246" spans="4:15" x14ac:dyDescent="0.25">
      <c r="D246" s="8"/>
      <c r="E246" s="8"/>
      <c r="F246" s="3"/>
      <c r="G246" s="9"/>
      <c r="O246" s="3"/>
    </row>
    <row r="247" spans="4:15" x14ac:dyDescent="0.25">
      <c r="D247" s="8"/>
      <c r="E247" s="8"/>
      <c r="F247" s="3"/>
      <c r="G247" s="9"/>
      <c r="O247" s="3"/>
    </row>
    <row r="248" spans="4:15" x14ac:dyDescent="0.25">
      <c r="D248" s="8"/>
      <c r="E248" s="8"/>
      <c r="F248" s="3"/>
      <c r="G248" s="9"/>
      <c r="O248" s="3"/>
    </row>
    <row r="249" spans="4:15" x14ac:dyDescent="0.25">
      <c r="D249" s="8"/>
      <c r="E249" s="8"/>
      <c r="F249" s="3"/>
      <c r="G249" s="9"/>
      <c r="O249" s="3"/>
    </row>
    <row r="250" spans="4:15" x14ac:dyDescent="0.25">
      <c r="D250" s="8"/>
      <c r="E250" s="8"/>
      <c r="F250" s="3"/>
      <c r="G250" s="9"/>
      <c r="O250" s="3"/>
    </row>
    <row r="251" spans="4:15" x14ac:dyDescent="0.25">
      <c r="D251" s="8"/>
      <c r="E251" s="8"/>
      <c r="F251" s="3"/>
      <c r="G251" s="9"/>
      <c r="O251" s="3"/>
    </row>
    <row r="252" spans="4:15" x14ac:dyDescent="0.25">
      <c r="D252" s="8"/>
      <c r="E252" s="8"/>
      <c r="F252" s="3"/>
      <c r="O252" s="3"/>
    </row>
    <row r="253" spans="4:15" x14ac:dyDescent="0.25">
      <c r="D253" s="8"/>
      <c r="E253" s="8"/>
      <c r="F253" s="3"/>
      <c r="G253" s="9"/>
      <c r="O253" s="3"/>
    </row>
    <row r="254" spans="4:15" x14ac:dyDescent="0.25">
      <c r="D254" s="8"/>
      <c r="E254" s="8"/>
      <c r="F254" s="3"/>
      <c r="G254" s="9"/>
      <c r="O254" s="3"/>
    </row>
    <row r="255" spans="4:15" x14ac:dyDescent="0.25">
      <c r="D255" s="8"/>
      <c r="E255" s="8"/>
      <c r="F255" s="3"/>
      <c r="G255" s="9"/>
      <c r="O255" s="3"/>
    </row>
    <row r="256" spans="4:15" x14ac:dyDescent="0.25">
      <c r="D256" s="8"/>
      <c r="E256" s="8"/>
      <c r="F256" s="3"/>
      <c r="G256" s="9"/>
      <c r="O256" s="3"/>
    </row>
    <row r="257" spans="4:15" x14ac:dyDescent="0.25">
      <c r="D257" s="8"/>
      <c r="E257" s="8"/>
      <c r="F257" s="3"/>
      <c r="G257" s="9"/>
      <c r="O257" s="3"/>
    </row>
    <row r="258" spans="4:15" x14ac:dyDescent="0.25">
      <c r="D258" s="8"/>
      <c r="E258" s="8"/>
      <c r="F258" s="3"/>
      <c r="G258" s="9"/>
      <c r="O258" s="3"/>
    </row>
    <row r="259" spans="4:15" x14ac:dyDescent="0.25">
      <c r="D259" s="8"/>
      <c r="E259" s="8"/>
      <c r="F259" s="3"/>
      <c r="G259" s="9"/>
      <c r="O259" s="3"/>
    </row>
    <row r="260" spans="4:15" x14ac:dyDescent="0.25">
      <c r="D260" s="8"/>
      <c r="E260" s="8"/>
      <c r="F260" s="3"/>
      <c r="G260" s="9"/>
      <c r="O260" s="3"/>
    </row>
    <row r="261" spans="4:15" x14ac:dyDescent="0.25">
      <c r="D261" s="8"/>
      <c r="E261" s="8"/>
      <c r="F261" s="3"/>
      <c r="G261" s="9"/>
      <c r="O261" s="3"/>
    </row>
    <row r="262" spans="4:15" x14ac:dyDescent="0.25">
      <c r="D262" s="8"/>
      <c r="E262" s="8"/>
      <c r="F262" s="3"/>
      <c r="G262" s="9"/>
      <c r="O262" s="3"/>
    </row>
    <row r="263" spans="4:15" x14ac:dyDescent="0.25">
      <c r="D263" s="8"/>
      <c r="E263" s="8"/>
      <c r="F263" s="3"/>
      <c r="G263" s="9"/>
      <c r="O263" s="3"/>
    </row>
    <row r="264" spans="4:15" x14ac:dyDescent="0.25">
      <c r="D264" s="8"/>
      <c r="E264" s="8"/>
      <c r="F264" s="3"/>
      <c r="G264" s="9"/>
      <c r="O264" s="3"/>
    </row>
    <row r="265" spans="4:15" x14ac:dyDescent="0.25">
      <c r="D265" s="8"/>
      <c r="E265" s="8"/>
      <c r="F265" s="3"/>
      <c r="G265" s="9"/>
      <c r="O265" s="3"/>
    </row>
    <row r="266" spans="4:15" x14ac:dyDescent="0.25">
      <c r="D266" s="8"/>
      <c r="E266" s="8"/>
      <c r="F266" s="3"/>
      <c r="G266" s="9"/>
      <c r="O266" s="3"/>
    </row>
    <row r="267" spans="4:15" x14ac:dyDescent="0.25">
      <c r="D267" s="8"/>
      <c r="E267" s="8"/>
      <c r="F267" s="3"/>
      <c r="G267" s="9"/>
      <c r="O267" s="3"/>
    </row>
    <row r="268" spans="4:15" x14ac:dyDescent="0.25">
      <c r="D268" s="8"/>
      <c r="E268" s="8"/>
      <c r="F268" s="3"/>
      <c r="G268" s="9"/>
      <c r="O268" s="3"/>
    </row>
    <row r="269" spans="4:15" x14ac:dyDescent="0.25">
      <c r="D269" s="8"/>
      <c r="E269" s="8"/>
      <c r="F269" s="3"/>
      <c r="G269" s="9"/>
      <c r="O269" s="3"/>
    </row>
    <row r="270" spans="4:15" x14ac:dyDescent="0.25">
      <c r="D270" s="8"/>
      <c r="E270" s="8"/>
      <c r="F270" s="3"/>
      <c r="G270" s="9"/>
      <c r="O270" s="3"/>
    </row>
    <row r="271" spans="4:15" x14ac:dyDescent="0.25">
      <c r="D271" s="8"/>
      <c r="E271" s="8"/>
      <c r="F271" s="3"/>
      <c r="G271" s="9"/>
      <c r="O271" s="3"/>
    </row>
    <row r="272" spans="4:15" x14ac:dyDescent="0.25">
      <c r="D272" s="8"/>
      <c r="E272" s="8"/>
      <c r="F272" s="3"/>
      <c r="G272" s="9"/>
      <c r="O272" s="3"/>
    </row>
    <row r="273" spans="4:15" x14ac:dyDescent="0.25">
      <c r="D273" s="8"/>
      <c r="E273" s="8"/>
      <c r="F273" s="3"/>
      <c r="G273" s="9"/>
      <c r="O273" s="3"/>
    </row>
    <row r="274" spans="4:15" x14ac:dyDescent="0.25">
      <c r="D274" s="8"/>
      <c r="E274" s="8"/>
      <c r="F274" s="3"/>
      <c r="G274" s="9"/>
      <c r="O274" s="3"/>
    </row>
    <row r="275" spans="4:15" x14ac:dyDescent="0.25">
      <c r="D275" s="8"/>
      <c r="E275" s="8"/>
      <c r="F275" s="3"/>
      <c r="G275" s="9"/>
      <c r="O275" s="3"/>
    </row>
    <row r="276" spans="4:15" x14ac:dyDescent="0.25">
      <c r="D276" s="8"/>
      <c r="E276" s="8"/>
      <c r="F276" s="3"/>
      <c r="G276" s="9"/>
      <c r="O276" s="3"/>
    </row>
    <row r="277" spans="4:15" x14ac:dyDescent="0.25">
      <c r="D277" s="8"/>
      <c r="E277" s="8"/>
      <c r="F277" s="3"/>
      <c r="O277" s="3"/>
    </row>
    <row r="278" spans="4:15" x14ac:dyDescent="0.25">
      <c r="D278" s="8"/>
      <c r="E278" s="8"/>
      <c r="F278" s="3"/>
      <c r="G278" s="9"/>
      <c r="O278" s="3"/>
    </row>
    <row r="279" spans="4:15" x14ac:dyDescent="0.25">
      <c r="D279" s="8"/>
      <c r="E279" s="8"/>
      <c r="F279" s="3"/>
      <c r="G279" s="9"/>
      <c r="O279" s="3"/>
    </row>
    <row r="280" spans="4:15" x14ac:dyDescent="0.25">
      <c r="D280" s="8"/>
      <c r="E280" s="8"/>
      <c r="F280" s="3"/>
      <c r="G280" s="9"/>
      <c r="O280" s="3"/>
    </row>
    <row r="281" spans="4:15" x14ac:dyDescent="0.25">
      <c r="D281" s="8"/>
      <c r="E281" s="8"/>
      <c r="F281" s="3"/>
      <c r="G281" s="9"/>
      <c r="O281" s="3"/>
    </row>
    <row r="282" spans="4:15" x14ac:dyDescent="0.25">
      <c r="D282" s="8"/>
      <c r="E282" s="8"/>
      <c r="F282" s="3"/>
      <c r="G282" s="9"/>
      <c r="O282" s="3"/>
    </row>
    <row r="283" spans="4:15" x14ac:dyDescent="0.25">
      <c r="D283" s="8"/>
      <c r="E283" s="8"/>
      <c r="F283" s="3"/>
      <c r="G283" s="9"/>
      <c r="O283" s="3"/>
    </row>
    <row r="284" spans="4:15" x14ac:dyDescent="0.25">
      <c r="D284" s="8"/>
      <c r="E284" s="8"/>
      <c r="F284" s="3"/>
      <c r="G284" s="9"/>
      <c r="O284" s="3"/>
    </row>
    <row r="285" spans="4:15" x14ac:dyDescent="0.25">
      <c r="D285" s="8"/>
      <c r="E285" s="8"/>
      <c r="F285" s="3"/>
      <c r="G285" s="9"/>
      <c r="O285" s="3"/>
    </row>
    <row r="286" spans="4:15" x14ac:dyDescent="0.25">
      <c r="D286" s="8"/>
      <c r="E286" s="8"/>
      <c r="F286" s="3"/>
      <c r="G286" s="9"/>
      <c r="O286" s="3"/>
    </row>
    <row r="287" spans="4:15" x14ac:dyDescent="0.25">
      <c r="D287" s="8"/>
      <c r="E287" s="8"/>
      <c r="F287" s="3"/>
      <c r="G287" s="9"/>
      <c r="O287" s="3"/>
    </row>
    <row r="288" spans="4:15" x14ac:dyDescent="0.25">
      <c r="D288" s="8"/>
      <c r="E288" s="8"/>
      <c r="F288" s="3"/>
      <c r="G288" s="9"/>
      <c r="O288" s="3"/>
    </row>
    <row r="289" spans="4:15" x14ac:dyDescent="0.25">
      <c r="D289" s="8"/>
      <c r="E289" s="8"/>
      <c r="F289" s="3"/>
      <c r="G289" s="9"/>
      <c r="O289" s="3"/>
    </row>
    <row r="290" spans="4:15" x14ac:dyDescent="0.25">
      <c r="D290" s="8"/>
      <c r="E290" s="8"/>
      <c r="F290" s="3"/>
      <c r="G290" s="9"/>
      <c r="O290" s="3"/>
    </row>
    <row r="291" spans="4:15" x14ac:dyDescent="0.25">
      <c r="D291" s="8"/>
      <c r="E291" s="8"/>
      <c r="F291" s="3"/>
      <c r="G291" s="9"/>
      <c r="O291" s="3"/>
    </row>
    <row r="292" spans="4:15" x14ac:dyDescent="0.25">
      <c r="D292" s="8"/>
      <c r="E292" s="8"/>
      <c r="F292" s="3"/>
      <c r="G292" s="9"/>
      <c r="O292" s="3"/>
    </row>
    <row r="293" spans="4:15" x14ac:dyDescent="0.25">
      <c r="D293" s="8"/>
      <c r="E293" s="8"/>
      <c r="F293" s="3"/>
      <c r="G293" s="9"/>
      <c r="O293" s="3"/>
    </row>
    <row r="294" spans="4:15" x14ac:dyDescent="0.25">
      <c r="D294" s="8"/>
      <c r="E294" s="8"/>
      <c r="F294" s="3"/>
      <c r="G294" s="9"/>
      <c r="O294" s="3"/>
    </row>
    <row r="295" spans="4:15" x14ac:dyDescent="0.25">
      <c r="D295" s="8"/>
      <c r="E295" s="8"/>
      <c r="F295" s="3"/>
      <c r="G295" s="9"/>
      <c r="O295" s="3"/>
    </row>
    <row r="296" spans="4:15" x14ac:dyDescent="0.25">
      <c r="D296" s="8"/>
      <c r="E296" s="8"/>
      <c r="F296" s="3"/>
      <c r="G296" s="9"/>
      <c r="O296" s="3"/>
    </row>
    <row r="297" spans="4:15" x14ac:dyDescent="0.25">
      <c r="D297" s="8"/>
      <c r="E297" s="8"/>
      <c r="F297" s="3"/>
      <c r="G297" s="9"/>
      <c r="O297" s="3"/>
    </row>
    <row r="298" spans="4:15" x14ac:dyDescent="0.25">
      <c r="D298" s="8"/>
      <c r="E298" s="8"/>
      <c r="F298" s="3"/>
      <c r="G298" s="9"/>
      <c r="O298" s="3"/>
    </row>
    <row r="299" spans="4:15" x14ac:dyDescent="0.25">
      <c r="D299" s="8"/>
      <c r="E299" s="8"/>
      <c r="F299" s="3"/>
      <c r="G299" s="9"/>
      <c r="O299" s="3"/>
    </row>
    <row r="300" spans="4:15" x14ac:dyDescent="0.25">
      <c r="D300" s="8"/>
      <c r="E300" s="8"/>
      <c r="F300" s="3"/>
      <c r="G300" s="9"/>
      <c r="O300" s="3"/>
    </row>
    <row r="301" spans="4:15" x14ac:dyDescent="0.25">
      <c r="D301" s="8"/>
      <c r="E301" s="8"/>
      <c r="F301" s="3"/>
      <c r="G301" s="9"/>
      <c r="O301" s="3"/>
    </row>
    <row r="302" spans="4:15" x14ac:dyDescent="0.25">
      <c r="D302" s="8"/>
      <c r="E302" s="8"/>
      <c r="F302" s="3"/>
      <c r="O302" s="3"/>
    </row>
    <row r="303" spans="4:15" x14ac:dyDescent="0.25">
      <c r="D303" s="8"/>
      <c r="E303" s="8"/>
      <c r="F303" s="3"/>
      <c r="G303" s="9"/>
      <c r="O303" s="3"/>
    </row>
    <row r="304" spans="4:15" x14ac:dyDescent="0.25">
      <c r="D304" s="8"/>
      <c r="E304" s="8"/>
      <c r="F304" s="3"/>
      <c r="G304" s="9"/>
      <c r="O304" s="3"/>
    </row>
    <row r="305" spans="4:15" x14ac:dyDescent="0.25">
      <c r="D305" s="8"/>
      <c r="E305" s="8"/>
      <c r="F305" s="3"/>
      <c r="G305" s="9"/>
      <c r="O305" s="3"/>
    </row>
    <row r="306" spans="4:15" x14ac:dyDescent="0.25">
      <c r="D306" s="8"/>
      <c r="E306" s="8"/>
      <c r="F306" s="3"/>
      <c r="G306" s="9"/>
      <c r="O306" s="3"/>
    </row>
    <row r="307" spans="4:15" x14ac:dyDescent="0.25">
      <c r="D307" s="8"/>
      <c r="E307" s="8"/>
      <c r="F307" s="3"/>
      <c r="G307" s="9"/>
      <c r="O307" s="3"/>
    </row>
    <row r="308" spans="4:15" x14ac:dyDescent="0.25">
      <c r="D308" s="8"/>
      <c r="E308" s="8"/>
      <c r="F308" s="3"/>
      <c r="G308" s="9"/>
      <c r="O308" s="3"/>
    </row>
    <row r="309" spans="4:15" x14ac:dyDescent="0.25">
      <c r="D309" s="8"/>
      <c r="E309" s="8"/>
      <c r="F309" s="3"/>
      <c r="G309" s="9"/>
      <c r="O309" s="3"/>
    </row>
    <row r="310" spans="4:15" x14ac:dyDescent="0.25">
      <c r="D310" s="8"/>
      <c r="E310" s="8"/>
      <c r="F310" s="3"/>
      <c r="G310" s="9"/>
      <c r="O310" s="3"/>
    </row>
    <row r="311" spans="4:15" x14ac:dyDescent="0.25">
      <c r="D311" s="8"/>
      <c r="E311" s="8"/>
      <c r="F311" s="3"/>
      <c r="G311" s="9"/>
      <c r="O311" s="3"/>
    </row>
    <row r="312" spans="4:15" x14ac:dyDescent="0.25">
      <c r="D312" s="8"/>
      <c r="E312" s="8"/>
      <c r="F312" s="3"/>
      <c r="G312" s="9"/>
      <c r="O312" s="3"/>
    </row>
    <row r="313" spans="4:15" x14ac:dyDescent="0.25">
      <c r="D313" s="8"/>
      <c r="E313" s="8"/>
      <c r="F313" s="3"/>
      <c r="G313" s="9"/>
      <c r="O313" s="3"/>
    </row>
    <row r="314" spans="4:15" x14ac:dyDescent="0.25">
      <c r="D314" s="8"/>
      <c r="E314" s="8"/>
      <c r="F314" s="3"/>
      <c r="G314" s="9"/>
      <c r="O314" s="3"/>
    </row>
    <row r="315" spans="4:15" x14ac:dyDescent="0.25">
      <c r="D315" s="8"/>
      <c r="E315" s="8"/>
      <c r="F315" s="3"/>
      <c r="G315" s="9"/>
      <c r="O315" s="3"/>
    </row>
    <row r="316" spans="4:15" x14ac:dyDescent="0.25">
      <c r="D316" s="8"/>
      <c r="E316" s="8"/>
      <c r="F316" s="3"/>
      <c r="G316" s="9"/>
      <c r="O316" s="3"/>
    </row>
    <row r="317" spans="4:15" x14ac:dyDescent="0.25">
      <c r="D317" s="8"/>
      <c r="E317" s="8"/>
      <c r="F317" s="3"/>
      <c r="G317" s="9"/>
      <c r="O317" s="3"/>
    </row>
    <row r="318" spans="4:15" x14ac:dyDescent="0.25">
      <c r="D318" s="8"/>
      <c r="E318" s="8"/>
      <c r="F318" s="3"/>
      <c r="G318" s="9"/>
      <c r="O318" s="3"/>
    </row>
    <row r="319" spans="4:15" x14ac:dyDescent="0.25">
      <c r="D319" s="8"/>
      <c r="E319" s="8"/>
      <c r="F319" s="3"/>
      <c r="G319" s="9"/>
      <c r="O319" s="3"/>
    </row>
    <row r="320" spans="4:15" x14ac:dyDescent="0.25">
      <c r="D320" s="8"/>
      <c r="E320" s="8"/>
      <c r="F320" s="3"/>
      <c r="G320" s="9"/>
      <c r="O320" s="3"/>
    </row>
    <row r="321" spans="4:15" x14ac:dyDescent="0.25">
      <c r="D321" s="8"/>
      <c r="E321" s="8"/>
      <c r="F321" s="3"/>
      <c r="G321" s="9"/>
      <c r="O321" s="3"/>
    </row>
    <row r="322" spans="4:15" x14ac:dyDescent="0.25">
      <c r="D322" s="8"/>
      <c r="E322" s="8"/>
      <c r="F322" s="3"/>
      <c r="G322" s="9"/>
      <c r="O322" s="3"/>
    </row>
    <row r="323" spans="4:15" x14ac:dyDescent="0.25">
      <c r="D323" s="8"/>
      <c r="E323" s="8"/>
      <c r="F323" s="3"/>
      <c r="G323" s="9"/>
      <c r="O323" s="3"/>
    </row>
    <row r="324" spans="4:15" x14ac:dyDescent="0.25">
      <c r="D324" s="8"/>
      <c r="E324" s="8"/>
      <c r="F324" s="3"/>
      <c r="G324" s="9"/>
      <c r="O324" s="3"/>
    </row>
    <row r="325" spans="4:15" x14ac:dyDescent="0.25">
      <c r="D325" s="8"/>
      <c r="E325" s="8"/>
      <c r="F325" s="3"/>
      <c r="G325" s="9"/>
      <c r="O325" s="3"/>
    </row>
    <row r="326" spans="4:15" x14ac:dyDescent="0.25">
      <c r="D326" s="8"/>
      <c r="E326" s="8"/>
      <c r="F326" s="3"/>
      <c r="G326" s="9"/>
      <c r="O326" s="3"/>
    </row>
    <row r="327" spans="4:15" x14ac:dyDescent="0.25">
      <c r="D327" s="8"/>
      <c r="E327" s="8"/>
      <c r="F327" s="3"/>
      <c r="O327" s="3"/>
    </row>
    <row r="328" spans="4:15" x14ac:dyDescent="0.25">
      <c r="D328" s="8"/>
      <c r="E328" s="8"/>
      <c r="F328" s="3"/>
      <c r="G328" s="9"/>
      <c r="O328" s="3"/>
    </row>
    <row r="329" spans="4:15" x14ac:dyDescent="0.25">
      <c r="D329" s="8"/>
      <c r="E329" s="8"/>
      <c r="F329" s="3"/>
      <c r="G329" s="9"/>
      <c r="O329" s="3"/>
    </row>
    <row r="330" spans="4:15" x14ac:dyDescent="0.25">
      <c r="D330" s="8"/>
      <c r="E330" s="8"/>
      <c r="F330" s="3"/>
      <c r="G330" s="9"/>
      <c r="O330" s="3"/>
    </row>
    <row r="331" spans="4:15" x14ac:dyDescent="0.25">
      <c r="D331" s="8"/>
      <c r="E331" s="8"/>
      <c r="F331" s="3"/>
      <c r="G331" s="9"/>
      <c r="O331" s="3"/>
    </row>
    <row r="332" spans="4:15" x14ac:dyDescent="0.25">
      <c r="D332" s="8"/>
      <c r="E332" s="8"/>
      <c r="F332" s="3"/>
      <c r="G332" s="9"/>
      <c r="O332" s="3"/>
    </row>
    <row r="333" spans="4:15" x14ac:dyDescent="0.25">
      <c r="D333" s="8"/>
      <c r="E333" s="8"/>
      <c r="F333" s="3"/>
      <c r="G333" s="9"/>
      <c r="O333" s="3"/>
    </row>
    <row r="334" spans="4:15" x14ac:dyDescent="0.25">
      <c r="D334" s="8"/>
      <c r="E334" s="8"/>
      <c r="F334" s="3"/>
      <c r="G334" s="9"/>
      <c r="O334" s="3"/>
    </row>
    <row r="335" spans="4:15" x14ac:dyDescent="0.25">
      <c r="D335" s="8"/>
      <c r="E335" s="8"/>
      <c r="F335" s="3"/>
      <c r="G335" s="9"/>
      <c r="O335" s="3"/>
    </row>
    <row r="336" spans="4:15" x14ac:dyDescent="0.25">
      <c r="D336" s="8"/>
      <c r="E336" s="8"/>
      <c r="F336" s="3"/>
      <c r="G336" s="9"/>
      <c r="O336" s="3"/>
    </row>
    <row r="337" spans="4:15" x14ac:dyDescent="0.25">
      <c r="D337" s="8"/>
      <c r="E337" s="8"/>
      <c r="F337" s="3"/>
      <c r="G337" s="9"/>
      <c r="O337" s="3"/>
    </row>
    <row r="338" spans="4:15" x14ac:dyDescent="0.25">
      <c r="D338" s="8"/>
      <c r="E338" s="8"/>
      <c r="F338" s="3"/>
      <c r="G338" s="9"/>
      <c r="O338" s="3"/>
    </row>
    <row r="339" spans="4:15" x14ac:dyDescent="0.25">
      <c r="D339" s="8"/>
      <c r="E339" s="8"/>
      <c r="F339" s="3"/>
      <c r="G339" s="9"/>
      <c r="O339" s="3"/>
    </row>
    <row r="340" spans="4:15" x14ac:dyDescent="0.25">
      <c r="D340" s="8"/>
      <c r="E340" s="8"/>
      <c r="F340" s="3"/>
      <c r="G340" s="9"/>
      <c r="O340" s="3"/>
    </row>
    <row r="341" spans="4:15" x14ac:dyDescent="0.25">
      <c r="D341" s="8"/>
      <c r="E341" s="8"/>
      <c r="F341" s="3"/>
      <c r="G341" s="9"/>
      <c r="O341" s="3"/>
    </row>
    <row r="342" spans="4:15" x14ac:dyDescent="0.25">
      <c r="D342" s="8"/>
      <c r="E342" s="8"/>
      <c r="F342" s="3"/>
      <c r="G342" s="9"/>
      <c r="O342" s="3"/>
    </row>
    <row r="343" spans="4:15" x14ac:dyDescent="0.25">
      <c r="D343" s="8"/>
      <c r="E343" s="8"/>
      <c r="F343" s="3"/>
      <c r="G343" s="9"/>
      <c r="O343" s="3"/>
    </row>
    <row r="344" spans="4:15" x14ac:dyDescent="0.25">
      <c r="D344" s="8"/>
      <c r="E344" s="8"/>
      <c r="F344" s="3"/>
      <c r="G344" s="9"/>
      <c r="O344" s="3"/>
    </row>
    <row r="345" spans="4:15" x14ac:dyDescent="0.25">
      <c r="D345" s="8"/>
      <c r="E345" s="8"/>
      <c r="F345" s="3"/>
      <c r="G345" s="9"/>
      <c r="O345" s="3"/>
    </row>
    <row r="346" spans="4:15" x14ac:dyDescent="0.25">
      <c r="D346" s="8"/>
      <c r="E346" s="8"/>
      <c r="F346" s="3"/>
      <c r="G346" s="9"/>
      <c r="O346" s="3"/>
    </row>
    <row r="347" spans="4:15" x14ac:dyDescent="0.25">
      <c r="D347" s="8"/>
      <c r="E347" s="8"/>
      <c r="F347" s="3"/>
      <c r="G347" s="9"/>
      <c r="O347" s="3"/>
    </row>
    <row r="348" spans="4:15" x14ac:dyDescent="0.25">
      <c r="D348" s="8"/>
      <c r="E348" s="8"/>
      <c r="F348" s="3"/>
      <c r="G348" s="9"/>
      <c r="O348" s="3"/>
    </row>
    <row r="349" spans="4:15" x14ac:dyDescent="0.25">
      <c r="D349" s="8"/>
      <c r="E349" s="8"/>
      <c r="F349" s="3"/>
      <c r="G349" s="9"/>
      <c r="O349" s="3"/>
    </row>
    <row r="350" spans="4:15" x14ac:dyDescent="0.25">
      <c r="D350" s="8"/>
      <c r="E350" s="8"/>
      <c r="F350" s="3"/>
      <c r="G350" s="9"/>
      <c r="O350" s="3"/>
    </row>
    <row r="351" spans="4:15" x14ac:dyDescent="0.25">
      <c r="D351" s="8"/>
      <c r="E351" s="8"/>
      <c r="F351" s="3"/>
      <c r="G351" s="9"/>
      <c r="O351" s="3"/>
    </row>
    <row r="352" spans="4:15" x14ac:dyDescent="0.25">
      <c r="D352" s="8"/>
      <c r="E352" s="8"/>
      <c r="F352" s="3"/>
      <c r="O352" s="3"/>
    </row>
    <row r="353" spans="4:15" x14ac:dyDescent="0.25">
      <c r="D353" s="8"/>
      <c r="E353" s="8"/>
      <c r="F353" s="3"/>
      <c r="G353" s="9"/>
      <c r="O353" s="3"/>
    </row>
    <row r="354" spans="4:15" x14ac:dyDescent="0.25">
      <c r="D354" s="8"/>
      <c r="E354" s="8"/>
      <c r="F354" s="3"/>
      <c r="G354" s="9"/>
      <c r="O354" s="3"/>
    </row>
    <row r="355" spans="4:15" x14ac:dyDescent="0.25">
      <c r="D355" s="8"/>
      <c r="E355" s="8"/>
      <c r="F355" s="3"/>
      <c r="G355" s="9"/>
      <c r="O355" s="3"/>
    </row>
    <row r="356" spans="4:15" x14ac:dyDescent="0.25">
      <c r="D356" s="8"/>
      <c r="E356" s="8"/>
      <c r="F356" s="3"/>
      <c r="G356" s="9"/>
      <c r="O356" s="3"/>
    </row>
    <row r="357" spans="4:15" x14ac:dyDescent="0.25">
      <c r="D357" s="8"/>
      <c r="E357" s="8"/>
      <c r="F357" s="3"/>
      <c r="G357" s="9"/>
      <c r="O357" s="3"/>
    </row>
    <row r="358" spans="4:15" x14ac:dyDescent="0.25">
      <c r="D358" s="8"/>
      <c r="E358" s="8"/>
      <c r="F358" s="3"/>
      <c r="G358" s="9"/>
      <c r="O358" s="3"/>
    </row>
    <row r="359" spans="4:15" x14ac:dyDescent="0.25">
      <c r="D359" s="8"/>
      <c r="E359" s="8"/>
      <c r="F359" s="3"/>
      <c r="G359" s="9"/>
      <c r="O359" s="3"/>
    </row>
    <row r="360" spans="4:15" x14ac:dyDescent="0.25">
      <c r="D360" s="8"/>
      <c r="E360" s="8"/>
      <c r="F360" s="3"/>
      <c r="G360" s="9"/>
      <c r="O360" s="3"/>
    </row>
    <row r="361" spans="4:15" x14ac:dyDescent="0.25">
      <c r="D361" s="8"/>
      <c r="E361" s="8"/>
      <c r="F361" s="3"/>
      <c r="G361" s="9"/>
      <c r="O361" s="3"/>
    </row>
    <row r="362" spans="4:15" x14ac:dyDescent="0.25">
      <c r="D362" s="8"/>
      <c r="E362" s="8"/>
      <c r="F362" s="3"/>
      <c r="G362" s="9"/>
      <c r="O362" s="3"/>
    </row>
    <row r="363" spans="4:15" x14ac:dyDescent="0.25">
      <c r="D363" s="8"/>
      <c r="E363" s="8"/>
      <c r="F363" s="3"/>
      <c r="G363" s="9"/>
      <c r="O363" s="3"/>
    </row>
    <row r="364" spans="4:15" x14ac:dyDescent="0.25">
      <c r="D364" s="8"/>
      <c r="E364" s="8"/>
      <c r="F364" s="3"/>
      <c r="G364" s="9"/>
      <c r="O364" s="3"/>
    </row>
    <row r="365" spans="4:15" x14ac:dyDescent="0.25">
      <c r="D365" s="8"/>
      <c r="E365" s="8"/>
      <c r="F365" s="3"/>
      <c r="G365" s="9"/>
      <c r="O365" s="3"/>
    </row>
    <row r="366" spans="4:15" x14ac:dyDescent="0.25">
      <c r="D366" s="8"/>
      <c r="E366" s="8"/>
      <c r="F366" s="3"/>
      <c r="G366" s="9"/>
      <c r="O366" s="3"/>
    </row>
    <row r="367" spans="4:15" x14ac:dyDescent="0.25">
      <c r="D367" s="8"/>
      <c r="E367" s="8"/>
      <c r="F367" s="3"/>
      <c r="G367" s="9"/>
      <c r="O367" s="3"/>
    </row>
    <row r="368" spans="4:15" x14ac:dyDescent="0.25">
      <c r="D368" s="8"/>
      <c r="E368" s="8"/>
      <c r="F368" s="3"/>
      <c r="G368" s="9"/>
      <c r="O368" s="3"/>
    </row>
    <row r="369" spans="4:15" x14ac:dyDescent="0.25">
      <c r="D369" s="8"/>
      <c r="E369" s="8"/>
      <c r="F369" s="3"/>
      <c r="G369" s="9"/>
      <c r="O369" s="3"/>
    </row>
    <row r="370" spans="4:15" x14ac:dyDescent="0.25">
      <c r="D370" s="8"/>
      <c r="E370" s="8"/>
      <c r="F370" s="3"/>
      <c r="G370" s="9"/>
      <c r="O370" s="3"/>
    </row>
    <row r="371" spans="4:15" x14ac:dyDescent="0.25">
      <c r="D371" s="8"/>
      <c r="E371" s="8"/>
      <c r="F371" s="3"/>
      <c r="G371" s="9"/>
      <c r="O371" s="3"/>
    </row>
    <row r="372" spans="4:15" x14ac:dyDescent="0.25">
      <c r="D372" s="8"/>
      <c r="E372" s="8"/>
      <c r="F372" s="3"/>
      <c r="G372" s="9"/>
      <c r="O372" s="3"/>
    </row>
    <row r="373" spans="4:15" x14ac:dyDescent="0.25">
      <c r="D373" s="8"/>
      <c r="E373" s="8"/>
      <c r="F373" s="3"/>
      <c r="G373" s="9"/>
      <c r="O373" s="3"/>
    </row>
    <row r="374" spans="4:15" x14ac:dyDescent="0.25">
      <c r="D374" s="8"/>
      <c r="E374" s="8"/>
      <c r="F374" s="3"/>
      <c r="G374" s="9"/>
      <c r="O374" s="3"/>
    </row>
    <row r="375" spans="4:15" x14ac:dyDescent="0.25">
      <c r="D375" s="8"/>
      <c r="E375" s="8"/>
      <c r="F375" s="3"/>
      <c r="G375" s="9"/>
      <c r="O375" s="3"/>
    </row>
    <row r="376" spans="4:15" x14ac:dyDescent="0.25">
      <c r="D376" s="8"/>
      <c r="E376" s="8"/>
      <c r="F376" s="3"/>
      <c r="G376" s="9"/>
      <c r="O376" s="3"/>
    </row>
    <row r="377" spans="4:15" x14ac:dyDescent="0.25">
      <c r="D377" s="8"/>
      <c r="E377" s="8"/>
      <c r="F377" s="3"/>
      <c r="O377" s="3"/>
    </row>
    <row r="378" spans="4:15" x14ac:dyDescent="0.25">
      <c r="D378" s="8"/>
      <c r="E378" s="8"/>
      <c r="F378" s="3"/>
      <c r="G378" s="9"/>
      <c r="O378" s="3"/>
    </row>
    <row r="379" spans="4:15" x14ac:dyDescent="0.25">
      <c r="D379" s="8"/>
      <c r="E379" s="8"/>
      <c r="F379" s="3"/>
      <c r="G379" s="9"/>
      <c r="O379" s="3"/>
    </row>
    <row r="380" spans="4:15" x14ac:dyDescent="0.25">
      <c r="D380" s="8"/>
      <c r="E380" s="8"/>
      <c r="F380" s="3"/>
      <c r="G380" s="9"/>
      <c r="O380" s="3"/>
    </row>
    <row r="381" spans="4:15" x14ac:dyDescent="0.25">
      <c r="D381" s="8"/>
      <c r="E381" s="8"/>
      <c r="F381" s="3"/>
      <c r="G381" s="9"/>
      <c r="O381" s="3"/>
    </row>
    <row r="382" spans="4:15" x14ac:dyDescent="0.25">
      <c r="D382" s="8"/>
      <c r="E382" s="8"/>
      <c r="F382" s="3"/>
      <c r="G382" s="9"/>
      <c r="O382" s="3"/>
    </row>
    <row r="383" spans="4:15" x14ac:dyDescent="0.25">
      <c r="D383" s="8"/>
      <c r="E383" s="8"/>
      <c r="F383" s="3"/>
      <c r="G383" s="9"/>
      <c r="O383" s="3"/>
    </row>
    <row r="384" spans="4:15" x14ac:dyDescent="0.25">
      <c r="D384" s="8"/>
      <c r="E384" s="8"/>
      <c r="F384" s="3"/>
      <c r="G384" s="9"/>
      <c r="O384" s="3"/>
    </row>
    <row r="385" spans="4:15" x14ac:dyDescent="0.25">
      <c r="D385" s="8"/>
      <c r="E385" s="8"/>
      <c r="F385" s="3"/>
      <c r="G385" s="9"/>
      <c r="O385" s="3"/>
    </row>
    <row r="386" spans="4:15" x14ac:dyDescent="0.25">
      <c r="D386" s="8"/>
      <c r="E386" s="8"/>
      <c r="F386" s="3"/>
      <c r="G386" s="9"/>
      <c r="O386" s="3"/>
    </row>
    <row r="387" spans="4:15" x14ac:dyDescent="0.25">
      <c r="D387" s="8"/>
      <c r="E387" s="8"/>
      <c r="F387" s="3"/>
      <c r="G387" s="9"/>
      <c r="O387" s="3"/>
    </row>
    <row r="388" spans="4:15" x14ac:dyDescent="0.25">
      <c r="D388" s="8"/>
      <c r="E388" s="8"/>
      <c r="F388" s="3"/>
      <c r="G388" s="9"/>
      <c r="O388" s="3"/>
    </row>
    <row r="389" spans="4:15" x14ac:dyDescent="0.25">
      <c r="D389" s="8"/>
      <c r="E389" s="8"/>
      <c r="F389" s="3"/>
      <c r="G389" s="9"/>
      <c r="O389" s="3"/>
    </row>
    <row r="390" spans="4:15" x14ac:dyDescent="0.25">
      <c r="D390" s="8"/>
      <c r="E390" s="8"/>
      <c r="F390" s="3"/>
      <c r="G390" s="9"/>
      <c r="O390" s="3"/>
    </row>
    <row r="391" spans="4:15" x14ac:dyDescent="0.25">
      <c r="D391" s="8"/>
      <c r="E391" s="8"/>
      <c r="F391" s="3"/>
      <c r="G391" s="9"/>
      <c r="O391" s="3"/>
    </row>
    <row r="392" spans="4:15" x14ac:dyDescent="0.25">
      <c r="D392" s="8"/>
      <c r="E392" s="8"/>
      <c r="F392" s="3"/>
      <c r="G392" s="9"/>
      <c r="O392" s="3"/>
    </row>
    <row r="393" spans="4:15" x14ac:dyDescent="0.25">
      <c r="D393" s="8"/>
      <c r="E393" s="8"/>
      <c r="F393" s="3"/>
      <c r="G393" s="9"/>
      <c r="O393" s="3"/>
    </row>
    <row r="394" spans="4:15" x14ac:dyDescent="0.25">
      <c r="D394" s="8"/>
      <c r="E394" s="8"/>
      <c r="F394" s="3"/>
      <c r="G394" s="9"/>
      <c r="O394" s="3"/>
    </row>
    <row r="395" spans="4:15" x14ac:dyDescent="0.25">
      <c r="D395" s="8"/>
      <c r="E395" s="8"/>
      <c r="F395" s="3"/>
      <c r="G395" s="9"/>
      <c r="O395" s="3"/>
    </row>
    <row r="396" spans="4:15" x14ac:dyDescent="0.25">
      <c r="D396" s="8"/>
      <c r="E396" s="8"/>
      <c r="F396" s="3"/>
      <c r="G396" s="9"/>
      <c r="O396" s="3"/>
    </row>
    <row r="397" spans="4:15" x14ac:dyDescent="0.25">
      <c r="D397" s="8"/>
      <c r="E397" s="8"/>
      <c r="F397" s="3"/>
      <c r="G397" s="9"/>
      <c r="O397" s="3"/>
    </row>
    <row r="398" spans="4:15" x14ac:dyDescent="0.25">
      <c r="D398" s="8"/>
      <c r="E398" s="8"/>
      <c r="F398" s="3"/>
      <c r="G398" s="9"/>
      <c r="O398" s="3"/>
    </row>
    <row r="399" spans="4:15" x14ac:dyDescent="0.25">
      <c r="D399" s="8"/>
      <c r="E399" s="8"/>
      <c r="F399" s="3"/>
      <c r="G399" s="9"/>
      <c r="O399" s="3"/>
    </row>
    <row r="400" spans="4:15" x14ac:dyDescent="0.25">
      <c r="D400" s="8"/>
      <c r="E400" s="8"/>
      <c r="F400" s="3"/>
      <c r="G400" s="9"/>
      <c r="O400" s="3"/>
    </row>
    <row r="401" spans="4:15" x14ac:dyDescent="0.25">
      <c r="D401" s="8"/>
      <c r="E401" s="8"/>
      <c r="F401" s="3"/>
      <c r="G401" s="9"/>
      <c r="O401" s="3"/>
    </row>
    <row r="402" spans="4:15" x14ac:dyDescent="0.25">
      <c r="D402" s="8"/>
      <c r="E402" s="8"/>
      <c r="F402" s="3"/>
      <c r="O402" s="3"/>
    </row>
    <row r="403" spans="4:15" x14ac:dyDescent="0.25">
      <c r="D403" s="8"/>
      <c r="E403" s="8"/>
      <c r="F403" s="3"/>
      <c r="G403" s="9"/>
      <c r="O403" s="3"/>
    </row>
    <row r="404" spans="4:15" x14ac:dyDescent="0.25">
      <c r="D404" s="8"/>
      <c r="E404" s="8"/>
      <c r="F404" s="3"/>
      <c r="G404" s="9"/>
      <c r="O404" s="3"/>
    </row>
    <row r="405" spans="4:15" x14ac:dyDescent="0.25">
      <c r="D405" s="8"/>
      <c r="E405" s="8"/>
      <c r="F405" s="3"/>
      <c r="G405" s="9"/>
      <c r="O405" s="3"/>
    </row>
    <row r="406" spans="4:15" x14ac:dyDescent="0.25">
      <c r="D406" s="8"/>
      <c r="E406" s="8"/>
      <c r="F406" s="3"/>
      <c r="G406" s="9"/>
      <c r="O406" s="3"/>
    </row>
    <row r="407" spans="4:15" x14ac:dyDescent="0.25">
      <c r="D407" s="8"/>
      <c r="E407" s="8"/>
      <c r="F407" s="3"/>
      <c r="G407" s="9"/>
      <c r="O407" s="3"/>
    </row>
    <row r="408" spans="4:15" x14ac:dyDescent="0.25">
      <c r="D408" s="8"/>
      <c r="E408" s="8"/>
      <c r="F408" s="3"/>
      <c r="G408" s="9"/>
      <c r="O408" s="3"/>
    </row>
    <row r="409" spans="4:15" x14ac:dyDescent="0.25">
      <c r="D409" s="8"/>
      <c r="E409" s="8"/>
      <c r="F409" s="3"/>
      <c r="G409" s="9"/>
      <c r="O409" s="3"/>
    </row>
    <row r="410" spans="4:15" x14ac:dyDescent="0.25">
      <c r="D410" s="8"/>
      <c r="E410" s="8"/>
      <c r="F410" s="3"/>
      <c r="G410" s="9"/>
      <c r="O410" s="3"/>
    </row>
    <row r="411" spans="4:15" x14ac:dyDescent="0.25">
      <c r="D411" s="8"/>
      <c r="E411" s="8"/>
      <c r="F411" s="3"/>
      <c r="G411" s="9"/>
      <c r="O411" s="3"/>
    </row>
    <row r="412" spans="4:15" x14ac:dyDescent="0.25">
      <c r="D412" s="8"/>
      <c r="E412" s="8"/>
      <c r="F412" s="3"/>
      <c r="G412" s="9"/>
      <c r="O412" s="3"/>
    </row>
    <row r="413" spans="4:15" x14ac:dyDescent="0.25">
      <c r="D413" s="8"/>
      <c r="E413" s="8"/>
      <c r="F413" s="3"/>
      <c r="G413" s="9"/>
      <c r="O413" s="3"/>
    </row>
    <row r="414" spans="4:15" x14ac:dyDescent="0.25">
      <c r="D414" s="8"/>
      <c r="E414" s="8"/>
      <c r="F414" s="3"/>
      <c r="G414" s="9"/>
      <c r="O414" s="3"/>
    </row>
    <row r="415" spans="4:15" x14ac:dyDescent="0.25">
      <c r="D415" s="8"/>
      <c r="E415" s="8"/>
      <c r="F415" s="3"/>
      <c r="G415" s="9"/>
      <c r="O415" s="3"/>
    </row>
    <row r="416" spans="4:15" x14ac:dyDescent="0.25">
      <c r="D416" s="8"/>
      <c r="E416" s="8"/>
      <c r="F416" s="3"/>
      <c r="G416" s="9"/>
      <c r="O416" s="3"/>
    </row>
    <row r="417" spans="4:15" x14ac:dyDescent="0.25">
      <c r="D417" s="8"/>
      <c r="E417" s="8"/>
      <c r="F417" s="3"/>
      <c r="G417" s="9"/>
      <c r="O417" s="3"/>
    </row>
    <row r="418" spans="4:15" x14ac:dyDescent="0.25">
      <c r="D418" s="8"/>
      <c r="E418" s="8"/>
      <c r="F418" s="3"/>
      <c r="G418" s="9"/>
      <c r="O418" s="3"/>
    </row>
    <row r="419" spans="4:15" x14ac:dyDescent="0.25">
      <c r="D419" s="8"/>
      <c r="E419" s="8"/>
      <c r="F419" s="3"/>
      <c r="G419" s="9"/>
      <c r="O419" s="3"/>
    </row>
    <row r="420" spans="4:15" x14ac:dyDescent="0.25">
      <c r="D420" s="8"/>
      <c r="E420" s="8"/>
      <c r="F420" s="3"/>
      <c r="G420" s="9"/>
      <c r="O420" s="3"/>
    </row>
    <row r="421" spans="4:15" x14ac:dyDescent="0.25">
      <c r="D421" s="8"/>
      <c r="E421" s="8"/>
      <c r="F421" s="3"/>
      <c r="G421" s="9"/>
      <c r="O421" s="3"/>
    </row>
    <row r="422" spans="4:15" x14ac:dyDescent="0.25">
      <c r="D422" s="8"/>
      <c r="E422" s="8"/>
      <c r="F422" s="3"/>
      <c r="G422" s="9"/>
      <c r="O422" s="3"/>
    </row>
    <row r="423" spans="4:15" x14ac:dyDescent="0.25">
      <c r="D423" s="8"/>
      <c r="E423" s="8"/>
      <c r="F423" s="3"/>
      <c r="G423" s="9"/>
      <c r="O423" s="3"/>
    </row>
    <row r="424" spans="4:15" x14ac:dyDescent="0.25">
      <c r="D424" s="8"/>
      <c r="E424" s="8"/>
      <c r="F424" s="3"/>
      <c r="G424" s="9"/>
      <c r="O424" s="3"/>
    </row>
    <row r="425" spans="4:15" x14ac:dyDescent="0.25">
      <c r="D425" s="8"/>
      <c r="E425" s="8"/>
      <c r="F425" s="3"/>
      <c r="G425" s="9"/>
      <c r="O425" s="3"/>
    </row>
    <row r="426" spans="4:15" x14ac:dyDescent="0.25">
      <c r="D426" s="8"/>
      <c r="E426" s="8"/>
      <c r="F426" s="3"/>
      <c r="G426" s="9"/>
      <c r="O426" s="3"/>
    </row>
    <row r="427" spans="4:15" x14ac:dyDescent="0.25">
      <c r="D427" s="8"/>
      <c r="E427" s="8"/>
      <c r="F427" s="3"/>
      <c r="O427" s="3"/>
    </row>
    <row r="428" spans="4:15" x14ac:dyDescent="0.25">
      <c r="D428" s="8"/>
      <c r="E428" s="8"/>
      <c r="F428" s="3"/>
      <c r="G428" s="9"/>
      <c r="O428" s="3"/>
    </row>
    <row r="429" spans="4:15" x14ac:dyDescent="0.25">
      <c r="D429" s="8"/>
      <c r="E429" s="8"/>
      <c r="F429" s="3"/>
      <c r="G429" s="9"/>
      <c r="O429" s="3"/>
    </row>
    <row r="430" spans="4:15" x14ac:dyDescent="0.25">
      <c r="D430" s="8"/>
      <c r="E430" s="8"/>
      <c r="F430" s="3"/>
      <c r="G430" s="9"/>
      <c r="O430" s="3"/>
    </row>
    <row r="431" spans="4:15" x14ac:dyDescent="0.25">
      <c r="D431" s="8"/>
      <c r="E431" s="8"/>
      <c r="F431" s="3"/>
      <c r="G431" s="9"/>
      <c r="O431" s="3"/>
    </row>
    <row r="432" spans="4:15" x14ac:dyDescent="0.25">
      <c r="D432" s="8"/>
      <c r="E432" s="8"/>
      <c r="F432" s="3"/>
      <c r="G432" s="9"/>
      <c r="O432" s="3"/>
    </row>
    <row r="433" spans="4:15" x14ac:dyDescent="0.25">
      <c r="D433" s="8"/>
      <c r="E433" s="8"/>
      <c r="F433" s="3"/>
      <c r="G433" s="9"/>
      <c r="O433" s="3"/>
    </row>
    <row r="434" spans="4:15" x14ac:dyDescent="0.25">
      <c r="D434" s="8"/>
      <c r="E434" s="8"/>
      <c r="F434" s="3"/>
      <c r="G434" s="9"/>
      <c r="O434" s="3"/>
    </row>
    <row r="435" spans="4:15" x14ac:dyDescent="0.25">
      <c r="D435" s="8"/>
      <c r="E435" s="8"/>
      <c r="F435" s="3"/>
      <c r="G435" s="9"/>
      <c r="O435" s="3"/>
    </row>
    <row r="436" spans="4:15" x14ac:dyDescent="0.25">
      <c r="D436" s="8"/>
      <c r="E436" s="8"/>
      <c r="F436" s="3"/>
      <c r="G436" s="9"/>
      <c r="O436" s="3"/>
    </row>
    <row r="437" spans="4:15" x14ac:dyDescent="0.25">
      <c r="D437" s="8"/>
      <c r="E437" s="8"/>
      <c r="F437" s="3"/>
      <c r="G437" s="9"/>
      <c r="O437" s="3"/>
    </row>
    <row r="438" spans="4:15" x14ac:dyDescent="0.25">
      <c r="D438" s="8"/>
      <c r="E438" s="8"/>
      <c r="F438" s="3"/>
      <c r="G438" s="9"/>
      <c r="O438" s="3"/>
    </row>
    <row r="439" spans="4:15" x14ac:dyDescent="0.25">
      <c r="D439" s="8"/>
      <c r="E439" s="8"/>
      <c r="F439" s="3"/>
      <c r="G439" s="9"/>
      <c r="O439" s="3"/>
    </row>
    <row r="440" spans="4:15" x14ac:dyDescent="0.25">
      <c r="D440" s="8"/>
      <c r="E440" s="8"/>
      <c r="F440" s="3"/>
      <c r="G440" s="9"/>
      <c r="O440" s="3"/>
    </row>
    <row r="441" spans="4:15" x14ac:dyDescent="0.25">
      <c r="D441" s="8"/>
      <c r="E441" s="8"/>
      <c r="F441" s="3"/>
      <c r="G441" s="9"/>
      <c r="O441" s="3"/>
    </row>
    <row r="442" spans="4:15" x14ac:dyDescent="0.25">
      <c r="D442" s="8"/>
      <c r="E442" s="8"/>
      <c r="F442" s="3"/>
      <c r="G442" s="9"/>
      <c r="O442" s="3"/>
    </row>
    <row r="443" spans="4:15" x14ac:dyDescent="0.25">
      <c r="D443" s="8"/>
      <c r="E443" s="8"/>
      <c r="F443" s="3"/>
      <c r="G443" s="9"/>
      <c r="O443" s="3"/>
    </row>
    <row r="444" spans="4:15" x14ac:dyDescent="0.25">
      <c r="D444" s="8"/>
      <c r="E444" s="8"/>
      <c r="F444" s="3"/>
      <c r="G444" s="9"/>
      <c r="O444" s="3"/>
    </row>
    <row r="445" spans="4:15" x14ac:dyDescent="0.25">
      <c r="D445" s="8"/>
      <c r="E445" s="8"/>
      <c r="F445" s="3"/>
      <c r="G445" s="9"/>
      <c r="O445" s="3"/>
    </row>
    <row r="446" spans="4:15" x14ac:dyDescent="0.25">
      <c r="D446" s="8"/>
      <c r="E446" s="8"/>
      <c r="F446" s="3"/>
      <c r="G446" s="9"/>
      <c r="O446" s="3"/>
    </row>
    <row r="447" spans="4:15" x14ac:dyDescent="0.25">
      <c r="D447" s="8"/>
      <c r="E447" s="8"/>
      <c r="F447" s="3"/>
      <c r="G447" s="9"/>
      <c r="O447" s="3"/>
    </row>
    <row r="448" spans="4:15" x14ac:dyDescent="0.25">
      <c r="D448" s="8"/>
      <c r="E448" s="8"/>
      <c r="F448" s="3"/>
      <c r="G448" s="9"/>
      <c r="O448" s="3"/>
    </row>
    <row r="449" spans="4:15" x14ac:dyDescent="0.25">
      <c r="D449" s="8"/>
      <c r="E449" s="8"/>
      <c r="F449" s="3"/>
      <c r="G449" s="9"/>
      <c r="O449" s="3"/>
    </row>
    <row r="450" spans="4:15" x14ac:dyDescent="0.25">
      <c r="D450" s="8"/>
      <c r="E450" s="8"/>
      <c r="F450" s="3"/>
      <c r="G450" s="9"/>
      <c r="O450" s="3"/>
    </row>
    <row r="451" spans="4:15" x14ac:dyDescent="0.25">
      <c r="D451" s="8"/>
      <c r="E451" s="8"/>
      <c r="F451" s="3"/>
      <c r="G451" s="9"/>
      <c r="O451" s="3"/>
    </row>
    <row r="452" spans="4:15" x14ac:dyDescent="0.25">
      <c r="D452" s="8"/>
      <c r="E452" s="8"/>
      <c r="F452" s="3"/>
      <c r="O452" s="3"/>
    </row>
    <row r="453" spans="4:15" x14ac:dyDescent="0.25">
      <c r="D453" s="8"/>
      <c r="E453" s="8"/>
      <c r="F453" s="3"/>
      <c r="G453" s="9"/>
      <c r="O453" s="3"/>
    </row>
    <row r="454" spans="4:15" x14ac:dyDescent="0.25">
      <c r="D454" s="8"/>
      <c r="E454" s="8"/>
      <c r="F454" s="3"/>
      <c r="G454" s="9"/>
      <c r="O454" s="3"/>
    </row>
    <row r="455" spans="4:15" x14ac:dyDescent="0.25">
      <c r="D455" s="8"/>
      <c r="E455" s="8"/>
      <c r="F455" s="3"/>
      <c r="G455" s="9"/>
      <c r="O455" s="3"/>
    </row>
    <row r="456" spans="4:15" x14ac:dyDescent="0.25">
      <c r="D456" s="8"/>
      <c r="E456" s="8"/>
      <c r="F456" s="3"/>
      <c r="G456" s="9"/>
      <c r="O456" s="3"/>
    </row>
    <row r="457" spans="4:15" x14ac:dyDescent="0.25">
      <c r="D457" s="8"/>
      <c r="E457" s="8"/>
      <c r="F457" s="3"/>
      <c r="G457" s="9"/>
      <c r="O457" s="3"/>
    </row>
    <row r="458" spans="4:15" x14ac:dyDescent="0.25">
      <c r="D458" s="8"/>
      <c r="E458" s="8"/>
      <c r="F458" s="3"/>
      <c r="G458" s="9"/>
      <c r="O458" s="3"/>
    </row>
    <row r="459" spans="4:15" x14ac:dyDescent="0.25">
      <c r="D459" s="8"/>
      <c r="E459" s="8"/>
      <c r="F459" s="3"/>
      <c r="G459" s="9"/>
      <c r="O459" s="3"/>
    </row>
    <row r="460" spans="4:15" x14ac:dyDescent="0.25">
      <c r="D460" s="8"/>
      <c r="E460" s="8"/>
      <c r="F460" s="3"/>
      <c r="G460" s="9"/>
      <c r="O460" s="3"/>
    </row>
    <row r="461" spans="4:15" x14ac:dyDescent="0.25">
      <c r="D461" s="8"/>
      <c r="E461" s="8"/>
      <c r="F461" s="3"/>
      <c r="G461" s="9"/>
      <c r="O461" s="3"/>
    </row>
    <row r="462" spans="4:15" x14ac:dyDescent="0.25">
      <c r="D462" s="8"/>
      <c r="E462" s="8"/>
      <c r="F462" s="3"/>
      <c r="G462" s="9"/>
      <c r="O462" s="3"/>
    </row>
    <row r="463" spans="4:15" x14ac:dyDescent="0.25">
      <c r="D463" s="8"/>
      <c r="E463" s="8"/>
      <c r="F463" s="3"/>
      <c r="G463" s="9"/>
      <c r="O463" s="3"/>
    </row>
    <row r="464" spans="4:15" x14ac:dyDescent="0.25">
      <c r="D464" s="8"/>
      <c r="E464" s="8"/>
      <c r="F464" s="3"/>
      <c r="G464" s="9"/>
      <c r="O464" s="3"/>
    </row>
    <row r="465" spans="4:15" x14ac:dyDescent="0.25">
      <c r="D465" s="8"/>
      <c r="E465" s="8"/>
      <c r="F465" s="3"/>
      <c r="G465" s="9"/>
      <c r="O465" s="3"/>
    </row>
    <row r="466" spans="4:15" x14ac:dyDescent="0.25">
      <c r="D466" s="8"/>
      <c r="E466" s="8"/>
      <c r="F466" s="3"/>
      <c r="G466" s="9"/>
      <c r="O466" s="3"/>
    </row>
    <row r="467" spans="4:15" x14ac:dyDescent="0.25">
      <c r="D467" s="8"/>
      <c r="E467" s="8"/>
      <c r="F467" s="3"/>
      <c r="G467" s="9"/>
      <c r="O467" s="3"/>
    </row>
    <row r="468" spans="4:15" x14ac:dyDescent="0.25">
      <c r="D468" s="8"/>
      <c r="E468" s="8"/>
      <c r="F468" s="3"/>
      <c r="G468" s="9"/>
      <c r="O468" s="3"/>
    </row>
    <row r="469" spans="4:15" x14ac:dyDescent="0.25">
      <c r="D469" s="8"/>
      <c r="E469" s="8"/>
      <c r="F469" s="3"/>
      <c r="G469" s="9"/>
      <c r="O469" s="3"/>
    </row>
    <row r="470" spans="4:15" x14ac:dyDescent="0.25">
      <c r="D470" s="8"/>
      <c r="E470" s="8"/>
      <c r="F470" s="3"/>
      <c r="G470" s="9"/>
      <c r="O470" s="3"/>
    </row>
    <row r="471" spans="4:15" x14ac:dyDescent="0.25">
      <c r="D471" s="8"/>
      <c r="E471" s="8"/>
      <c r="F471" s="3"/>
      <c r="G471" s="9"/>
      <c r="O471" s="3"/>
    </row>
    <row r="472" spans="4:15" x14ac:dyDescent="0.25">
      <c r="D472" s="8"/>
      <c r="E472" s="8"/>
      <c r="F472" s="3"/>
      <c r="G472" s="9"/>
      <c r="O472" s="3"/>
    </row>
    <row r="473" spans="4:15" x14ac:dyDescent="0.25">
      <c r="D473" s="8"/>
      <c r="E473" s="8"/>
      <c r="F473" s="3"/>
      <c r="G473" s="9"/>
      <c r="O473" s="3"/>
    </row>
    <row r="474" spans="4:15" x14ac:dyDescent="0.25">
      <c r="D474" s="8"/>
      <c r="E474" s="8"/>
      <c r="F474" s="3"/>
      <c r="G474" s="9"/>
      <c r="O474" s="3"/>
    </row>
    <row r="475" spans="4:15" x14ac:dyDescent="0.25">
      <c r="D475" s="8"/>
      <c r="E475" s="8"/>
      <c r="F475" s="3"/>
      <c r="G475" s="9"/>
      <c r="O475" s="3"/>
    </row>
    <row r="476" spans="4:15" x14ac:dyDescent="0.25">
      <c r="D476" s="8"/>
      <c r="E476" s="8"/>
      <c r="F476" s="3"/>
      <c r="G476" s="9"/>
      <c r="O476" s="3"/>
    </row>
    <row r="477" spans="4:15" x14ac:dyDescent="0.25">
      <c r="D477" s="8"/>
      <c r="E477" s="8"/>
      <c r="F477" s="3"/>
      <c r="O477" s="3"/>
    </row>
    <row r="478" spans="4:15" x14ac:dyDescent="0.25">
      <c r="D478" s="8"/>
      <c r="E478" s="8"/>
      <c r="F478" s="3"/>
      <c r="G478" s="9"/>
      <c r="O478" s="3"/>
    </row>
    <row r="479" spans="4:15" x14ac:dyDescent="0.25">
      <c r="D479" s="8"/>
      <c r="E479" s="8"/>
      <c r="F479" s="3"/>
      <c r="G479" s="9"/>
      <c r="O479" s="3"/>
    </row>
    <row r="480" spans="4:15" x14ac:dyDescent="0.25">
      <c r="D480" s="8"/>
      <c r="E480" s="8"/>
      <c r="F480" s="3"/>
      <c r="G480" s="9"/>
      <c r="O480" s="3"/>
    </row>
    <row r="481" spans="4:15" x14ac:dyDescent="0.25">
      <c r="D481" s="8"/>
      <c r="E481" s="8"/>
      <c r="F481" s="3"/>
      <c r="G481" s="9"/>
      <c r="O481" s="3"/>
    </row>
    <row r="482" spans="4:15" x14ac:dyDescent="0.25">
      <c r="D482" s="8"/>
      <c r="E482" s="8"/>
      <c r="F482" s="3"/>
      <c r="G482" s="9"/>
      <c r="O482" s="3"/>
    </row>
    <row r="483" spans="4:15" x14ac:dyDescent="0.25">
      <c r="D483" s="8"/>
      <c r="E483" s="8"/>
      <c r="F483" s="3"/>
      <c r="G483" s="9"/>
      <c r="O483" s="3"/>
    </row>
    <row r="484" spans="4:15" x14ac:dyDescent="0.25">
      <c r="D484" s="8"/>
      <c r="E484" s="8"/>
      <c r="F484" s="3"/>
      <c r="G484" s="9"/>
      <c r="O484" s="3"/>
    </row>
    <row r="485" spans="4:15" x14ac:dyDescent="0.25">
      <c r="D485" s="8"/>
      <c r="E485" s="8"/>
      <c r="F485" s="3"/>
      <c r="G485" s="9"/>
      <c r="O485" s="3"/>
    </row>
    <row r="486" spans="4:15" x14ac:dyDescent="0.25">
      <c r="D486" s="8"/>
      <c r="E486" s="8"/>
      <c r="F486" s="3"/>
      <c r="G486" s="9"/>
      <c r="O486" s="3"/>
    </row>
    <row r="487" spans="4:15" x14ac:dyDescent="0.25">
      <c r="D487" s="8"/>
      <c r="E487" s="8"/>
      <c r="F487" s="3"/>
      <c r="G487" s="9"/>
      <c r="O487" s="3"/>
    </row>
    <row r="488" spans="4:15" x14ac:dyDescent="0.25">
      <c r="D488" s="8"/>
      <c r="E488" s="8"/>
      <c r="F488" s="3"/>
      <c r="G488" s="9"/>
      <c r="O488" s="3"/>
    </row>
    <row r="489" spans="4:15" x14ac:dyDescent="0.25">
      <c r="D489" s="8"/>
      <c r="E489" s="8"/>
      <c r="F489" s="3"/>
      <c r="G489" s="9"/>
      <c r="O489" s="3"/>
    </row>
    <row r="490" spans="4:15" x14ac:dyDescent="0.25">
      <c r="D490" s="8"/>
      <c r="E490" s="8"/>
      <c r="F490" s="3"/>
      <c r="G490" s="9"/>
      <c r="O490" s="3"/>
    </row>
    <row r="491" spans="4:15" x14ac:dyDescent="0.25">
      <c r="D491" s="8"/>
      <c r="E491" s="8"/>
      <c r="F491" s="3"/>
      <c r="G491" s="9"/>
      <c r="O491" s="3"/>
    </row>
    <row r="492" spans="4:15" x14ac:dyDescent="0.25">
      <c r="D492" s="8"/>
      <c r="E492" s="8"/>
      <c r="F492" s="3"/>
      <c r="G492" s="9"/>
      <c r="O492" s="3"/>
    </row>
    <row r="493" spans="4:15" x14ac:dyDescent="0.25">
      <c r="D493" s="8"/>
      <c r="E493" s="8"/>
      <c r="F493" s="3"/>
      <c r="G493" s="9"/>
      <c r="O493" s="3"/>
    </row>
    <row r="494" spans="4:15" x14ac:dyDescent="0.25">
      <c r="D494" s="8"/>
      <c r="E494" s="8"/>
      <c r="F494" s="3"/>
      <c r="G494" s="9"/>
      <c r="O494" s="3"/>
    </row>
    <row r="495" spans="4:15" x14ac:dyDescent="0.25">
      <c r="D495" s="8"/>
      <c r="E495" s="8"/>
      <c r="F495" s="3"/>
      <c r="G495" s="9"/>
      <c r="O495" s="3"/>
    </row>
    <row r="496" spans="4:15" x14ac:dyDescent="0.25">
      <c r="D496" s="8"/>
      <c r="E496" s="8"/>
      <c r="F496" s="3"/>
      <c r="G496" s="9"/>
      <c r="O496" s="3"/>
    </row>
    <row r="497" spans="4:15" x14ac:dyDescent="0.25">
      <c r="D497" s="8"/>
      <c r="E497" s="8"/>
      <c r="F497" s="3"/>
      <c r="G497" s="9"/>
      <c r="O497" s="3"/>
    </row>
    <row r="498" spans="4:15" x14ac:dyDescent="0.25">
      <c r="D498" s="8"/>
      <c r="E498" s="8"/>
      <c r="F498" s="3"/>
      <c r="G498" s="9"/>
      <c r="O498" s="3"/>
    </row>
    <row r="499" spans="4:15" x14ac:dyDescent="0.25">
      <c r="D499" s="8"/>
      <c r="E499" s="8"/>
      <c r="F499" s="3"/>
      <c r="G499" s="9"/>
      <c r="O499" s="3"/>
    </row>
    <row r="500" spans="4:15" x14ac:dyDescent="0.25">
      <c r="D500" s="8"/>
      <c r="E500" s="8"/>
      <c r="F500" s="3"/>
      <c r="G500" s="9"/>
      <c r="O500" s="3"/>
    </row>
    <row r="501" spans="4:15" x14ac:dyDescent="0.25">
      <c r="D501" s="8"/>
      <c r="E501" s="8"/>
      <c r="F501" s="3"/>
      <c r="G501" s="9"/>
      <c r="O501" s="3"/>
    </row>
    <row r="502" spans="4:15" x14ac:dyDescent="0.25">
      <c r="D502" s="8"/>
      <c r="E502" s="8"/>
      <c r="F502" s="3"/>
      <c r="O502" s="3"/>
    </row>
    <row r="503" spans="4:15" x14ac:dyDescent="0.25">
      <c r="D503" s="8"/>
      <c r="E503" s="8"/>
      <c r="F503" s="3"/>
      <c r="G503" s="9"/>
      <c r="O503" s="3"/>
    </row>
    <row r="504" spans="4:15" x14ac:dyDescent="0.25">
      <c r="D504" s="8"/>
      <c r="E504" s="8"/>
      <c r="F504" s="3"/>
      <c r="G504" s="9"/>
      <c r="O504" s="3"/>
    </row>
    <row r="505" spans="4:15" x14ac:dyDescent="0.25">
      <c r="D505" s="8"/>
      <c r="E505" s="8"/>
      <c r="F505" s="3"/>
      <c r="G505" s="9"/>
      <c r="O505" s="3"/>
    </row>
    <row r="506" spans="4:15" x14ac:dyDescent="0.25">
      <c r="D506" s="8"/>
      <c r="E506" s="8"/>
      <c r="F506" s="3"/>
      <c r="G506" s="9"/>
      <c r="O506" s="3"/>
    </row>
    <row r="507" spans="4:15" x14ac:dyDescent="0.25">
      <c r="D507" s="8"/>
      <c r="E507" s="8"/>
      <c r="F507" s="3"/>
      <c r="G507" s="9"/>
      <c r="O507" s="3"/>
    </row>
    <row r="508" spans="4:15" x14ac:dyDescent="0.25">
      <c r="D508" s="8"/>
      <c r="E508" s="8"/>
      <c r="F508" s="3"/>
      <c r="G508" s="9"/>
      <c r="O508" s="3"/>
    </row>
    <row r="509" spans="4:15" x14ac:dyDescent="0.25">
      <c r="D509" s="8"/>
      <c r="E509" s="8"/>
      <c r="F509" s="3"/>
      <c r="G509" s="9"/>
      <c r="O509" s="3"/>
    </row>
    <row r="510" spans="4:15" x14ac:dyDescent="0.25">
      <c r="D510" s="8"/>
      <c r="E510" s="8"/>
      <c r="F510" s="3"/>
      <c r="G510" s="9"/>
      <c r="O510" s="3"/>
    </row>
    <row r="511" spans="4:15" x14ac:dyDescent="0.25">
      <c r="D511" s="8"/>
      <c r="E511" s="8"/>
      <c r="F511" s="3"/>
      <c r="G511" s="9"/>
      <c r="O511" s="3"/>
    </row>
    <row r="512" spans="4:15" x14ac:dyDescent="0.25">
      <c r="D512" s="8"/>
      <c r="E512" s="8"/>
      <c r="F512" s="3"/>
      <c r="G512" s="9"/>
      <c r="O512" s="3"/>
    </row>
    <row r="513" spans="4:15" x14ac:dyDescent="0.25">
      <c r="D513" s="8"/>
      <c r="E513" s="8"/>
      <c r="F513" s="3"/>
      <c r="G513" s="9"/>
      <c r="O513" s="3"/>
    </row>
    <row r="514" spans="4:15" x14ac:dyDescent="0.25">
      <c r="D514" s="8"/>
      <c r="E514" s="8"/>
      <c r="F514" s="3"/>
      <c r="G514" s="9"/>
      <c r="O514" s="3"/>
    </row>
    <row r="515" spans="4:15" x14ac:dyDescent="0.25">
      <c r="D515" s="8"/>
      <c r="E515" s="8"/>
      <c r="F515" s="3"/>
      <c r="G515" s="9"/>
      <c r="O515" s="3"/>
    </row>
    <row r="516" spans="4:15" x14ac:dyDescent="0.25">
      <c r="D516" s="8"/>
      <c r="E516" s="8"/>
      <c r="F516" s="3"/>
      <c r="G516" s="9"/>
      <c r="O516" s="3"/>
    </row>
    <row r="517" spans="4:15" x14ac:dyDescent="0.25">
      <c r="D517" s="8"/>
      <c r="E517" s="8"/>
      <c r="F517" s="3"/>
      <c r="G517" s="9"/>
      <c r="O517" s="3"/>
    </row>
    <row r="518" spans="4:15" x14ac:dyDescent="0.25">
      <c r="D518" s="8"/>
      <c r="E518" s="8"/>
      <c r="F518" s="3"/>
      <c r="G518" s="9"/>
      <c r="O518" s="3"/>
    </row>
    <row r="519" spans="4:15" x14ac:dyDescent="0.25">
      <c r="D519" s="8"/>
      <c r="E519" s="8"/>
      <c r="F519" s="3"/>
      <c r="G519" s="9"/>
      <c r="O519" s="3"/>
    </row>
    <row r="520" spans="4:15" x14ac:dyDescent="0.25">
      <c r="D520" s="8"/>
      <c r="E520" s="8"/>
      <c r="F520" s="3"/>
      <c r="G520" s="9"/>
      <c r="O520" s="3"/>
    </row>
    <row r="521" spans="4:15" x14ac:dyDescent="0.25">
      <c r="D521" s="8"/>
      <c r="E521" s="8"/>
      <c r="F521" s="3"/>
      <c r="G521" s="9"/>
      <c r="O521" s="3"/>
    </row>
    <row r="522" spans="4:15" x14ac:dyDescent="0.25">
      <c r="D522" s="8"/>
      <c r="E522" s="8"/>
      <c r="F522" s="3"/>
      <c r="G522" s="9"/>
      <c r="O522" s="3"/>
    </row>
    <row r="523" spans="4:15" x14ac:dyDescent="0.25">
      <c r="D523" s="8"/>
      <c r="E523" s="8"/>
      <c r="F523" s="3"/>
      <c r="G523" s="9"/>
      <c r="O523" s="3"/>
    </row>
    <row r="524" spans="4:15" x14ac:dyDescent="0.25">
      <c r="D524" s="8"/>
      <c r="E524" s="8"/>
      <c r="F524" s="3"/>
      <c r="G524" s="9"/>
      <c r="O524" s="3"/>
    </row>
    <row r="525" spans="4:15" x14ac:dyDescent="0.25">
      <c r="D525" s="8"/>
      <c r="E525" s="8"/>
      <c r="F525" s="3"/>
      <c r="G525" s="9"/>
      <c r="O525" s="3"/>
    </row>
    <row r="526" spans="4:15" x14ac:dyDescent="0.25">
      <c r="D526" s="8"/>
      <c r="E526" s="8"/>
      <c r="F526" s="3"/>
      <c r="G526" s="9"/>
      <c r="O526" s="3"/>
    </row>
    <row r="527" spans="4:15" x14ac:dyDescent="0.25">
      <c r="D527" s="8"/>
      <c r="E527" s="8"/>
      <c r="F527" s="3"/>
      <c r="O527" s="3"/>
    </row>
    <row r="528" spans="4:15" x14ac:dyDescent="0.25">
      <c r="D528" s="8"/>
      <c r="E528" s="8"/>
      <c r="F528" s="3"/>
      <c r="G528" s="9"/>
      <c r="O528" s="3"/>
    </row>
    <row r="529" spans="4:15" x14ac:dyDescent="0.25">
      <c r="D529" s="8"/>
      <c r="E529" s="8"/>
      <c r="F529" s="3"/>
      <c r="G529" s="9"/>
      <c r="O529" s="3"/>
    </row>
    <row r="530" spans="4:15" x14ac:dyDescent="0.25">
      <c r="D530" s="8"/>
      <c r="E530" s="8"/>
      <c r="F530" s="3"/>
      <c r="G530" s="9"/>
      <c r="O530" s="3"/>
    </row>
    <row r="531" spans="4:15" x14ac:dyDescent="0.25">
      <c r="D531" s="8"/>
      <c r="E531" s="8"/>
      <c r="F531" s="3"/>
      <c r="G531" s="9"/>
      <c r="O531" s="3"/>
    </row>
    <row r="532" spans="4:15" x14ac:dyDescent="0.25">
      <c r="D532" s="8"/>
      <c r="E532" s="8"/>
      <c r="F532" s="3"/>
      <c r="G532" s="9"/>
      <c r="O532" s="3"/>
    </row>
    <row r="533" spans="4:15" x14ac:dyDescent="0.25">
      <c r="D533" s="8"/>
      <c r="E533" s="8"/>
      <c r="F533" s="3"/>
      <c r="G533" s="9"/>
      <c r="O533" s="3"/>
    </row>
    <row r="534" spans="4:15" x14ac:dyDescent="0.25">
      <c r="D534" s="8"/>
      <c r="E534" s="8"/>
      <c r="F534" s="3"/>
      <c r="G534" s="9"/>
      <c r="O534" s="3"/>
    </row>
    <row r="535" spans="4:15" x14ac:dyDescent="0.25">
      <c r="D535" s="8"/>
      <c r="E535" s="8"/>
      <c r="F535" s="3"/>
      <c r="G535" s="9"/>
      <c r="O535" s="3"/>
    </row>
    <row r="536" spans="4:15" x14ac:dyDescent="0.25">
      <c r="D536" s="8"/>
      <c r="E536" s="8"/>
      <c r="F536" s="3"/>
      <c r="G536" s="9"/>
      <c r="O536" s="3"/>
    </row>
    <row r="537" spans="4:15" x14ac:dyDescent="0.25">
      <c r="D537" s="8"/>
      <c r="E537" s="8"/>
      <c r="F537" s="3"/>
      <c r="G537" s="9"/>
      <c r="O537" s="3"/>
    </row>
    <row r="538" spans="4:15" x14ac:dyDescent="0.25">
      <c r="D538" s="8"/>
      <c r="E538" s="8"/>
      <c r="F538" s="3"/>
      <c r="G538" s="9"/>
      <c r="O538" s="3"/>
    </row>
    <row r="539" spans="4:15" x14ac:dyDescent="0.25">
      <c r="D539" s="8"/>
      <c r="E539" s="8"/>
      <c r="F539" s="3"/>
      <c r="G539" s="9"/>
      <c r="O539" s="3"/>
    </row>
    <row r="540" spans="4:15" x14ac:dyDescent="0.25">
      <c r="D540" s="8"/>
      <c r="E540" s="8"/>
      <c r="F540" s="3"/>
      <c r="G540" s="9"/>
      <c r="O540" s="3"/>
    </row>
    <row r="541" spans="4:15" x14ac:dyDescent="0.25">
      <c r="D541" s="8"/>
      <c r="E541" s="8"/>
      <c r="F541" s="3"/>
      <c r="G541" s="9"/>
      <c r="O541" s="3"/>
    </row>
    <row r="542" spans="4:15" x14ac:dyDescent="0.25">
      <c r="D542" s="8"/>
      <c r="E542" s="8"/>
      <c r="F542" s="3"/>
      <c r="G542" s="9"/>
      <c r="O542" s="3"/>
    </row>
    <row r="543" spans="4:15" x14ac:dyDescent="0.25">
      <c r="D543" s="8"/>
      <c r="E543" s="8"/>
      <c r="F543" s="3"/>
      <c r="G543" s="9"/>
      <c r="O543" s="3"/>
    </row>
    <row r="544" spans="4:15" x14ac:dyDescent="0.25">
      <c r="D544" s="8"/>
      <c r="E544" s="8"/>
      <c r="F544" s="3"/>
      <c r="G544" s="9"/>
      <c r="O544" s="3"/>
    </row>
    <row r="545" spans="4:15" x14ac:dyDescent="0.25">
      <c r="D545" s="8"/>
      <c r="E545" s="8"/>
      <c r="F545" s="3"/>
      <c r="G545" s="9"/>
      <c r="O545" s="3"/>
    </row>
    <row r="546" spans="4:15" x14ac:dyDescent="0.25">
      <c r="D546" s="8"/>
      <c r="E546" s="8"/>
      <c r="F546" s="3"/>
      <c r="G546" s="9"/>
      <c r="O546" s="3"/>
    </row>
    <row r="547" spans="4:15" x14ac:dyDescent="0.25">
      <c r="D547" s="8"/>
      <c r="E547" s="8"/>
      <c r="F547" s="3"/>
      <c r="G547" s="9"/>
      <c r="O547" s="3"/>
    </row>
    <row r="548" spans="4:15" x14ac:dyDescent="0.25">
      <c r="D548" s="8"/>
      <c r="E548" s="8"/>
      <c r="F548" s="3"/>
      <c r="G548" s="9"/>
      <c r="O548" s="3"/>
    </row>
    <row r="549" spans="4:15" x14ac:dyDescent="0.25">
      <c r="D549" s="8"/>
      <c r="E549" s="8"/>
      <c r="F549" s="3"/>
      <c r="G549" s="9"/>
      <c r="O549" s="3"/>
    </row>
    <row r="550" spans="4:15" x14ac:dyDescent="0.25">
      <c r="D550" s="8"/>
      <c r="E550" s="8"/>
      <c r="F550" s="3"/>
      <c r="G550" s="9"/>
      <c r="O550" s="3"/>
    </row>
    <row r="551" spans="4:15" x14ac:dyDescent="0.25">
      <c r="D551" s="8"/>
      <c r="E551" s="8"/>
      <c r="F551" s="3"/>
      <c r="G551" s="9"/>
      <c r="O551" s="3"/>
    </row>
    <row r="552" spans="4:15" x14ac:dyDescent="0.25">
      <c r="D552" s="8"/>
      <c r="E552" s="8"/>
      <c r="F552" s="3"/>
      <c r="O552" s="3"/>
    </row>
    <row r="553" spans="4:15" x14ac:dyDescent="0.25">
      <c r="D553" s="8"/>
      <c r="E553" s="8"/>
      <c r="F553" s="3"/>
      <c r="G553" s="9"/>
      <c r="O553" s="3"/>
    </row>
    <row r="554" spans="4:15" x14ac:dyDescent="0.25">
      <c r="D554" s="8"/>
      <c r="E554" s="8"/>
      <c r="F554" s="3"/>
      <c r="G554" s="9"/>
      <c r="O554" s="3"/>
    </row>
    <row r="555" spans="4:15" x14ac:dyDescent="0.25">
      <c r="D555" s="8"/>
      <c r="E555" s="8"/>
      <c r="F555" s="3"/>
      <c r="G555" s="9"/>
      <c r="O555" s="3"/>
    </row>
    <row r="556" spans="4:15" x14ac:dyDescent="0.25">
      <c r="D556" s="8"/>
      <c r="E556" s="8"/>
      <c r="F556" s="3"/>
      <c r="G556" s="9"/>
      <c r="O556" s="3"/>
    </row>
    <row r="557" spans="4:15" x14ac:dyDescent="0.25">
      <c r="D557" s="8"/>
      <c r="E557" s="8"/>
      <c r="F557" s="3"/>
      <c r="G557" s="9"/>
      <c r="O557" s="3"/>
    </row>
    <row r="558" spans="4:15" x14ac:dyDescent="0.25">
      <c r="D558" s="8"/>
      <c r="E558" s="8"/>
      <c r="F558" s="3"/>
      <c r="G558" s="9"/>
      <c r="O558" s="3"/>
    </row>
    <row r="559" spans="4:15" x14ac:dyDescent="0.25">
      <c r="D559" s="8"/>
      <c r="E559" s="8"/>
      <c r="F559" s="3"/>
      <c r="G559" s="9"/>
      <c r="O559" s="3"/>
    </row>
    <row r="560" spans="4:15" x14ac:dyDescent="0.25">
      <c r="D560" s="8"/>
      <c r="E560" s="8"/>
      <c r="F560" s="3"/>
      <c r="G560" s="9"/>
      <c r="O560" s="3"/>
    </row>
    <row r="561" spans="4:15" x14ac:dyDescent="0.25">
      <c r="D561" s="8"/>
      <c r="E561" s="8"/>
      <c r="F561" s="3"/>
      <c r="G561" s="9"/>
      <c r="O561" s="3"/>
    </row>
    <row r="562" spans="4:15" x14ac:dyDescent="0.25">
      <c r="D562" s="8"/>
      <c r="E562" s="8"/>
      <c r="F562" s="3"/>
      <c r="G562" s="9"/>
      <c r="O562" s="3"/>
    </row>
    <row r="563" spans="4:15" x14ac:dyDescent="0.25">
      <c r="D563" s="8"/>
      <c r="E563" s="8"/>
      <c r="F563" s="3"/>
      <c r="G563" s="9"/>
      <c r="O563" s="3"/>
    </row>
    <row r="564" spans="4:15" x14ac:dyDescent="0.25">
      <c r="D564" s="8"/>
      <c r="E564" s="8"/>
      <c r="F564" s="3"/>
      <c r="G564" s="9"/>
      <c r="O564" s="3"/>
    </row>
    <row r="565" spans="4:15" x14ac:dyDescent="0.25">
      <c r="D565" s="8"/>
      <c r="E565" s="8"/>
      <c r="F565" s="3"/>
      <c r="G565" s="9"/>
      <c r="O565" s="3"/>
    </row>
    <row r="566" spans="4:15" x14ac:dyDescent="0.25">
      <c r="D566" s="8"/>
      <c r="E566" s="8"/>
      <c r="F566" s="3"/>
      <c r="G566" s="9"/>
      <c r="O566" s="3"/>
    </row>
    <row r="567" spans="4:15" x14ac:dyDescent="0.25">
      <c r="D567" s="8"/>
      <c r="E567" s="8"/>
      <c r="F567" s="3"/>
      <c r="G567" s="9"/>
      <c r="O567" s="3"/>
    </row>
    <row r="568" spans="4:15" x14ac:dyDescent="0.25">
      <c r="D568" s="8"/>
      <c r="E568" s="8"/>
      <c r="F568" s="3"/>
      <c r="G568" s="9"/>
      <c r="O568" s="3"/>
    </row>
    <row r="569" spans="4:15" x14ac:dyDescent="0.25">
      <c r="D569" s="8"/>
      <c r="E569" s="8"/>
      <c r="F569" s="3"/>
      <c r="G569" s="9"/>
      <c r="O569" s="3"/>
    </row>
    <row r="570" spans="4:15" x14ac:dyDescent="0.25">
      <c r="D570" s="8"/>
      <c r="E570" s="8"/>
      <c r="F570" s="3"/>
      <c r="G570" s="9"/>
      <c r="O570" s="3"/>
    </row>
    <row r="571" spans="4:15" x14ac:dyDescent="0.25">
      <c r="D571" s="8"/>
      <c r="E571" s="8"/>
      <c r="F571" s="3"/>
      <c r="G571" s="9"/>
      <c r="O571" s="3"/>
    </row>
    <row r="572" spans="4:15" x14ac:dyDescent="0.25">
      <c r="D572" s="8"/>
      <c r="E572" s="8"/>
      <c r="F572" s="3"/>
      <c r="G572" s="9"/>
      <c r="O572" s="3"/>
    </row>
    <row r="573" spans="4:15" x14ac:dyDescent="0.25">
      <c r="D573" s="8"/>
      <c r="E573" s="8"/>
      <c r="F573" s="3"/>
      <c r="G573" s="9"/>
      <c r="O573" s="3"/>
    </row>
    <row r="574" spans="4:15" x14ac:dyDescent="0.25">
      <c r="D574" s="8"/>
      <c r="E574" s="8"/>
      <c r="F574" s="3"/>
      <c r="G574" s="9"/>
      <c r="O574" s="3"/>
    </row>
    <row r="575" spans="4:15" x14ac:dyDescent="0.25">
      <c r="D575" s="8"/>
      <c r="E575" s="8"/>
      <c r="F575" s="3"/>
      <c r="G575" s="9"/>
      <c r="O575" s="3"/>
    </row>
    <row r="576" spans="4:15" x14ac:dyDescent="0.25">
      <c r="D576" s="8"/>
      <c r="E576" s="8"/>
      <c r="F576" s="3"/>
      <c r="G576" s="9"/>
      <c r="O576" s="3"/>
    </row>
    <row r="577" spans="4:15" x14ac:dyDescent="0.25">
      <c r="D577" s="8"/>
      <c r="E577" s="8"/>
      <c r="F577" s="3"/>
      <c r="O577" s="3"/>
    </row>
    <row r="578" spans="4:15" x14ac:dyDescent="0.25">
      <c r="D578" s="8"/>
      <c r="E578" s="8"/>
      <c r="F578" s="3"/>
      <c r="G578" s="9"/>
      <c r="O578" s="3"/>
    </row>
    <row r="579" spans="4:15" x14ac:dyDescent="0.25">
      <c r="D579" s="8"/>
      <c r="E579" s="8"/>
      <c r="F579" s="3"/>
      <c r="G579" s="9"/>
      <c r="O579" s="3"/>
    </row>
    <row r="580" spans="4:15" x14ac:dyDescent="0.25">
      <c r="D580" s="8"/>
      <c r="E580" s="8"/>
      <c r="F580" s="3"/>
      <c r="G580" s="9"/>
      <c r="O580" s="3"/>
    </row>
    <row r="581" spans="4:15" x14ac:dyDescent="0.25">
      <c r="D581" s="8"/>
      <c r="E581" s="8"/>
      <c r="F581" s="3"/>
      <c r="G581" s="9"/>
      <c r="O581" s="3"/>
    </row>
    <row r="582" spans="4:15" x14ac:dyDescent="0.25">
      <c r="D582" s="8"/>
      <c r="E582" s="8"/>
      <c r="F582" s="3"/>
      <c r="G582" s="9"/>
      <c r="O582" s="3"/>
    </row>
    <row r="583" spans="4:15" x14ac:dyDescent="0.25">
      <c r="D583" s="8"/>
      <c r="E583" s="8"/>
      <c r="F583" s="3"/>
      <c r="G583" s="9"/>
      <c r="O583" s="3"/>
    </row>
    <row r="584" spans="4:15" x14ac:dyDescent="0.25">
      <c r="D584" s="8"/>
      <c r="E584" s="8"/>
      <c r="F584" s="3"/>
      <c r="G584" s="9"/>
      <c r="O584" s="3"/>
    </row>
    <row r="585" spans="4:15" x14ac:dyDescent="0.25">
      <c r="D585" s="8"/>
      <c r="E585" s="8"/>
      <c r="F585" s="3"/>
      <c r="G585" s="9"/>
      <c r="O585" s="3"/>
    </row>
    <row r="586" spans="4:15" x14ac:dyDescent="0.25">
      <c r="D586" s="8"/>
      <c r="E586" s="8"/>
      <c r="F586" s="3"/>
      <c r="G586" s="9"/>
      <c r="O586" s="3"/>
    </row>
    <row r="587" spans="4:15" x14ac:dyDescent="0.25">
      <c r="D587" s="8"/>
      <c r="E587" s="8"/>
      <c r="F587" s="3"/>
      <c r="G587" s="9"/>
      <c r="O587" s="3"/>
    </row>
    <row r="588" spans="4:15" x14ac:dyDescent="0.25">
      <c r="D588" s="8"/>
      <c r="E588" s="8"/>
      <c r="F588" s="3"/>
      <c r="G588" s="9"/>
      <c r="O588" s="3"/>
    </row>
    <row r="589" spans="4:15" x14ac:dyDescent="0.25">
      <c r="D589" s="8"/>
      <c r="E589" s="8"/>
      <c r="F589" s="3"/>
      <c r="G589" s="9"/>
      <c r="O589" s="3"/>
    </row>
    <row r="590" spans="4:15" x14ac:dyDescent="0.25">
      <c r="D590" s="8"/>
      <c r="E590" s="8"/>
      <c r="F590" s="3"/>
      <c r="G590" s="9"/>
      <c r="O590" s="3"/>
    </row>
    <row r="591" spans="4:15" x14ac:dyDescent="0.25">
      <c r="D591" s="8"/>
      <c r="E591" s="8"/>
      <c r="F591" s="3"/>
      <c r="G591" s="9"/>
      <c r="O591" s="3"/>
    </row>
    <row r="592" spans="4:15" x14ac:dyDescent="0.25">
      <c r="D592" s="8"/>
      <c r="E592" s="8"/>
      <c r="F592" s="3"/>
      <c r="G592" s="9"/>
      <c r="O592" s="3"/>
    </row>
    <row r="593" spans="4:15" x14ac:dyDescent="0.25">
      <c r="D593" s="8"/>
      <c r="E593" s="8"/>
      <c r="F593" s="3"/>
      <c r="G593" s="9"/>
      <c r="O593" s="3"/>
    </row>
    <row r="594" spans="4:15" x14ac:dyDescent="0.25">
      <c r="D594" s="8"/>
      <c r="E594" s="8"/>
      <c r="F594" s="3"/>
      <c r="G594" s="9"/>
      <c r="O594" s="3"/>
    </row>
    <row r="595" spans="4:15" x14ac:dyDescent="0.25">
      <c r="D595" s="8"/>
      <c r="E595" s="8"/>
      <c r="F595" s="3"/>
      <c r="G595" s="9"/>
      <c r="O595" s="3"/>
    </row>
    <row r="596" spans="4:15" x14ac:dyDescent="0.25">
      <c r="D596" s="8"/>
      <c r="E596" s="8"/>
      <c r="F596" s="3"/>
      <c r="G596" s="9"/>
      <c r="O596" s="3"/>
    </row>
    <row r="597" spans="4:15" x14ac:dyDescent="0.25">
      <c r="D597" s="8"/>
      <c r="E597" s="8"/>
      <c r="F597" s="3"/>
      <c r="G597" s="9"/>
      <c r="O597" s="3"/>
    </row>
    <row r="598" spans="4:15" x14ac:dyDescent="0.25">
      <c r="D598" s="8"/>
      <c r="E598" s="8"/>
      <c r="F598" s="3"/>
      <c r="G598" s="9"/>
      <c r="O598" s="3"/>
    </row>
    <row r="599" spans="4:15" x14ac:dyDescent="0.25">
      <c r="D599" s="8"/>
      <c r="E599" s="8"/>
      <c r="F599" s="3"/>
      <c r="G599" s="9"/>
      <c r="O599" s="3"/>
    </row>
    <row r="600" spans="4:15" x14ac:dyDescent="0.25">
      <c r="D600" s="8"/>
      <c r="E600" s="8"/>
      <c r="F600" s="3"/>
      <c r="G600" s="9"/>
      <c r="O600" s="3"/>
    </row>
    <row r="601" spans="4:15" x14ac:dyDescent="0.25">
      <c r="D601" s="8"/>
      <c r="E601" s="8"/>
      <c r="F601" s="3"/>
      <c r="G601" s="9"/>
      <c r="O601" s="3"/>
    </row>
    <row r="602" spans="4:15" x14ac:dyDescent="0.25">
      <c r="D602" s="8"/>
      <c r="E602" s="8"/>
      <c r="F602" s="3"/>
      <c r="O602" s="3"/>
    </row>
    <row r="603" spans="4:15" x14ac:dyDescent="0.25">
      <c r="D603" s="8"/>
      <c r="E603" s="8"/>
      <c r="F603" s="3"/>
      <c r="G603" s="9"/>
      <c r="O603" s="3"/>
    </row>
    <row r="604" spans="4:15" x14ac:dyDescent="0.25">
      <c r="D604" s="8"/>
      <c r="E604" s="8"/>
      <c r="F604" s="3"/>
      <c r="G604" s="9"/>
      <c r="O604" s="3"/>
    </row>
    <row r="605" spans="4:15" x14ac:dyDescent="0.25">
      <c r="D605" s="8"/>
      <c r="E605" s="8"/>
      <c r="F605" s="3"/>
      <c r="G605" s="9"/>
      <c r="O605" s="3"/>
    </row>
    <row r="606" spans="4:15" x14ac:dyDescent="0.25">
      <c r="D606" s="8"/>
      <c r="E606" s="8"/>
      <c r="F606" s="3"/>
      <c r="G606" s="9"/>
      <c r="O606" s="3"/>
    </row>
    <row r="607" spans="4:15" x14ac:dyDescent="0.25">
      <c r="D607" s="8"/>
      <c r="E607" s="8"/>
      <c r="F607" s="3"/>
      <c r="G607" s="9"/>
      <c r="O607" s="3"/>
    </row>
    <row r="608" spans="4:15" x14ac:dyDescent="0.25">
      <c r="D608" s="8"/>
      <c r="E608" s="8"/>
      <c r="F608" s="3"/>
      <c r="G608" s="9"/>
      <c r="O608" s="3"/>
    </row>
    <row r="609" spans="4:15" x14ac:dyDescent="0.25">
      <c r="D609" s="8"/>
      <c r="E609" s="8"/>
      <c r="F609" s="3"/>
      <c r="G609" s="9"/>
      <c r="O609" s="3"/>
    </row>
    <row r="610" spans="4:15" x14ac:dyDescent="0.25">
      <c r="D610" s="8"/>
      <c r="E610" s="8"/>
      <c r="F610" s="3"/>
      <c r="G610" s="9"/>
      <c r="O610" s="3"/>
    </row>
    <row r="611" spans="4:15" x14ac:dyDescent="0.25">
      <c r="D611" s="8"/>
      <c r="E611" s="8"/>
      <c r="F611" s="3"/>
      <c r="G611" s="9"/>
      <c r="O611" s="3"/>
    </row>
    <row r="612" spans="4:15" x14ac:dyDescent="0.25">
      <c r="D612" s="8"/>
      <c r="E612" s="8"/>
      <c r="F612" s="3"/>
      <c r="G612" s="9"/>
      <c r="O612" s="3"/>
    </row>
    <row r="613" spans="4:15" x14ac:dyDescent="0.25">
      <c r="D613" s="8"/>
      <c r="E613" s="8"/>
      <c r="F613" s="3"/>
      <c r="G613" s="9"/>
      <c r="O613" s="3"/>
    </row>
    <row r="614" spans="4:15" x14ac:dyDescent="0.25">
      <c r="D614" s="8"/>
      <c r="E614" s="8"/>
      <c r="F614" s="3"/>
      <c r="G614" s="9"/>
      <c r="O614" s="3"/>
    </row>
    <row r="615" spans="4:15" x14ac:dyDescent="0.25">
      <c r="D615" s="8"/>
      <c r="E615" s="8"/>
      <c r="F615" s="3"/>
      <c r="G615" s="9"/>
      <c r="O615" s="3"/>
    </row>
    <row r="616" spans="4:15" x14ac:dyDescent="0.25">
      <c r="D616" s="8"/>
      <c r="E616" s="8"/>
      <c r="F616" s="3"/>
      <c r="G616" s="9"/>
      <c r="O616" s="3"/>
    </row>
    <row r="617" spans="4:15" x14ac:dyDescent="0.25">
      <c r="D617" s="8"/>
      <c r="E617" s="8"/>
      <c r="F617" s="3"/>
      <c r="G617" s="9"/>
      <c r="O617" s="3"/>
    </row>
    <row r="618" spans="4:15" x14ac:dyDescent="0.25">
      <c r="D618" s="8"/>
      <c r="E618" s="8"/>
      <c r="F618" s="3"/>
      <c r="G618" s="9"/>
      <c r="O618" s="3"/>
    </row>
    <row r="619" spans="4:15" x14ac:dyDescent="0.25">
      <c r="D619" s="8"/>
      <c r="E619" s="8"/>
      <c r="F619" s="3"/>
      <c r="G619" s="9"/>
      <c r="O619" s="3"/>
    </row>
    <row r="620" spans="4:15" x14ac:dyDescent="0.25">
      <c r="D620" s="8"/>
      <c r="E620" s="8"/>
      <c r="F620" s="3"/>
      <c r="G620" s="9"/>
      <c r="O620" s="3"/>
    </row>
    <row r="621" spans="4:15" x14ac:dyDescent="0.25">
      <c r="D621" s="8"/>
      <c r="E621" s="8"/>
      <c r="F621" s="3"/>
      <c r="G621" s="9"/>
      <c r="O621" s="3"/>
    </row>
    <row r="622" spans="4:15" x14ac:dyDescent="0.25">
      <c r="D622" s="8"/>
      <c r="E622" s="8"/>
      <c r="F622" s="3"/>
      <c r="G622" s="9"/>
      <c r="O622" s="3"/>
    </row>
    <row r="623" spans="4:15" x14ac:dyDescent="0.25">
      <c r="D623" s="8"/>
      <c r="E623" s="8"/>
      <c r="F623" s="3"/>
      <c r="G623" s="9"/>
      <c r="O623" s="3"/>
    </row>
    <row r="624" spans="4:15" x14ac:dyDescent="0.25">
      <c r="D624" s="8"/>
      <c r="E624" s="8"/>
      <c r="F624" s="3"/>
      <c r="G624" s="9"/>
      <c r="O624" s="3"/>
    </row>
    <row r="625" spans="4:15" x14ac:dyDescent="0.25">
      <c r="D625" s="8"/>
      <c r="E625" s="8"/>
      <c r="F625" s="3"/>
      <c r="G625" s="9"/>
      <c r="O625" s="3"/>
    </row>
    <row r="626" spans="4:15" x14ac:dyDescent="0.25">
      <c r="D626" s="8"/>
      <c r="E626" s="8"/>
      <c r="F626" s="3"/>
      <c r="G626" s="9"/>
      <c r="O626" s="3"/>
    </row>
    <row r="627" spans="4:15" x14ac:dyDescent="0.25">
      <c r="D627" s="8"/>
      <c r="E627" s="8"/>
      <c r="F627" s="3"/>
      <c r="O627" s="3"/>
    </row>
    <row r="628" spans="4:15" x14ac:dyDescent="0.25">
      <c r="D628" s="8"/>
      <c r="E628" s="8"/>
      <c r="F628" s="3"/>
      <c r="G628" s="9"/>
      <c r="O628" s="3"/>
    </row>
    <row r="629" spans="4:15" x14ac:dyDescent="0.25">
      <c r="D629" s="8"/>
      <c r="E629" s="8"/>
      <c r="F629" s="3"/>
      <c r="G629" s="9"/>
      <c r="O629" s="3"/>
    </row>
    <row r="630" spans="4:15" x14ac:dyDescent="0.25">
      <c r="D630" s="8"/>
      <c r="E630" s="8"/>
      <c r="F630" s="3"/>
      <c r="G630" s="9"/>
      <c r="O630" s="3"/>
    </row>
    <row r="631" spans="4:15" x14ac:dyDescent="0.25">
      <c r="D631" s="8"/>
      <c r="E631" s="8"/>
      <c r="F631" s="3"/>
      <c r="G631" s="9"/>
      <c r="O631" s="3"/>
    </row>
    <row r="632" spans="4:15" x14ac:dyDescent="0.25">
      <c r="D632" s="8"/>
      <c r="E632" s="8"/>
      <c r="F632" s="3"/>
      <c r="G632" s="9"/>
      <c r="O632" s="3"/>
    </row>
    <row r="633" spans="4:15" x14ac:dyDescent="0.25">
      <c r="D633" s="8"/>
      <c r="E633" s="8"/>
      <c r="F633" s="3"/>
      <c r="G633" s="9"/>
      <c r="O633" s="3"/>
    </row>
    <row r="634" spans="4:15" x14ac:dyDescent="0.25">
      <c r="D634" s="8"/>
      <c r="E634" s="8"/>
      <c r="F634" s="3"/>
      <c r="G634" s="9"/>
      <c r="O634" s="3"/>
    </row>
    <row r="635" spans="4:15" x14ac:dyDescent="0.25">
      <c r="D635" s="8"/>
      <c r="E635" s="8"/>
      <c r="F635" s="3"/>
      <c r="G635" s="9"/>
      <c r="O635" s="3"/>
    </row>
    <row r="636" spans="4:15" x14ac:dyDescent="0.25">
      <c r="D636" s="8"/>
      <c r="E636" s="8"/>
      <c r="F636" s="3"/>
      <c r="G636" s="9"/>
      <c r="O636" s="3"/>
    </row>
    <row r="637" spans="4:15" x14ac:dyDescent="0.25">
      <c r="D637" s="8"/>
      <c r="E637" s="8"/>
      <c r="F637" s="3"/>
      <c r="G637" s="9"/>
      <c r="O637" s="3"/>
    </row>
    <row r="638" spans="4:15" x14ac:dyDescent="0.25">
      <c r="D638" s="8"/>
      <c r="E638" s="8"/>
      <c r="F638" s="3"/>
      <c r="G638" s="9"/>
      <c r="O638" s="3"/>
    </row>
    <row r="639" spans="4:15" x14ac:dyDescent="0.25">
      <c r="D639" s="8"/>
      <c r="E639" s="8"/>
      <c r="F639" s="3"/>
      <c r="G639" s="9"/>
      <c r="O639" s="3"/>
    </row>
    <row r="640" spans="4:15" x14ac:dyDescent="0.25">
      <c r="D640" s="8"/>
      <c r="E640" s="8"/>
      <c r="F640" s="3"/>
      <c r="G640" s="9"/>
      <c r="O640" s="3"/>
    </row>
    <row r="641" spans="4:15" x14ac:dyDescent="0.25">
      <c r="D641" s="8"/>
      <c r="E641" s="8"/>
      <c r="F641" s="3"/>
      <c r="G641" s="9"/>
      <c r="O641" s="3"/>
    </row>
    <row r="642" spans="4:15" x14ac:dyDescent="0.25">
      <c r="D642" s="8"/>
      <c r="E642" s="8"/>
      <c r="F642" s="3"/>
      <c r="G642" s="9"/>
      <c r="O642" s="3"/>
    </row>
    <row r="643" spans="4:15" x14ac:dyDescent="0.25">
      <c r="D643" s="8"/>
      <c r="E643" s="8"/>
      <c r="F643" s="3"/>
      <c r="G643" s="9"/>
      <c r="O643" s="3"/>
    </row>
    <row r="644" spans="4:15" x14ac:dyDescent="0.25">
      <c r="D644" s="8"/>
      <c r="E644" s="8"/>
      <c r="F644" s="3"/>
      <c r="G644" s="9"/>
      <c r="O644" s="3"/>
    </row>
    <row r="645" spans="4:15" x14ac:dyDescent="0.25">
      <c r="D645" s="8"/>
      <c r="E645" s="8"/>
      <c r="F645" s="3"/>
      <c r="G645" s="9"/>
      <c r="O645" s="3"/>
    </row>
    <row r="646" spans="4:15" x14ac:dyDescent="0.25">
      <c r="D646" s="8"/>
      <c r="E646" s="8"/>
      <c r="F646" s="3"/>
      <c r="G646" s="9"/>
      <c r="O646" s="3"/>
    </row>
    <row r="647" spans="4:15" x14ac:dyDescent="0.25">
      <c r="D647" s="8"/>
      <c r="E647" s="8"/>
      <c r="F647" s="3"/>
      <c r="G647" s="9"/>
      <c r="O647" s="3"/>
    </row>
    <row r="648" spans="4:15" x14ac:dyDescent="0.25">
      <c r="D648" s="8"/>
      <c r="E648" s="8"/>
      <c r="F648" s="3"/>
      <c r="G648" s="9"/>
      <c r="O648" s="3"/>
    </row>
    <row r="649" spans="4:15" x14ac:dyDescent="0.25">
      <c r="D649" s="8"/>
      <c r="E649" s="8"/>
      <c r="F649" s="3"/>
      <c r="G649" s="9"/>
      <c r="O649" s="3"/>
    </row>
    <row r="650" spans="4:15" x14ac:dyDescent="0.25">
      <c r="D650" s="8"/>
      <c r="E650" s="8"/>
      <c r="F650" s="3"/>
      <c r="G650" s="9"/>
      <c r="O650" s="3"/>
    </row>
    <row r="651" spans="4:15" x14ac:dyDescent="0.25">
      <c r="D651" s="8"/>
      <c r="E651" s="8"/>
      <c r="F651" s="3"/>
      <c r="G651" s="9"/>
      <c r="O651" s="3"/>
    </row>
    <row r="652" spans="4:15" x14ac:dyDescent="0.25">
      <c r="D652" s="8"/>
      <c r="E652" s="8"/>
      <c r="F652" s="3"/>
      <c r="O652" s="3"/>
    </row>
    <row r="653" spans="4:15" x14ac:dyDescent="0.25">
      <c r="D653" s="8"/>
      <c r="E653" s="8"/>
      <c r="F653" s="3"/>
      <c r="G653" s="9"/>
      <c r="O653" s="3"/>
    </row>
    <row r="654" spans="4:15" x14ac:dyDescent="0.25">
      <c r="D654" s="8"/>
      <c r="E654" s="8"/>
      <c r="F654" s="3"/>
      <c r="G654" s="9"/>
      <c r="O654" s="3"/>
    </row>
    <row r="655" spans="4:15" x14ac:dyDescent="0.25">
      <c r="D655" s="8"/>
      <c r="E655" s="8"/>
      <c r="F655" s="3"/>
      <c r="G655" s="9"/>
      <c r="O655" s="3"/>
    </row>
    <row r="656" spans="4:15" x14ac:dyDescent="0.25">
      <c r="D656" s="8"/>
      <c r="E656" s="8"/>
      <c r="F656" s="3"/>
      <c r="G656" s="9"/>
      <c r="O656" s="3"/>
    </row>
    <row r="657" spans="4:15" x14ac:dyDescent="0.25">
      <c r="D657" s="8"/>
      <c r="E657" s="8"/>
      <c r="F657" s="3"/>
      <c r="G657" s="9"/>
      <c r="O657" s="3"/>
    </row>
    <row r="658" spans="4:15" x14ac:dyDescent="0.25">
      <c r="D658" s="8"/>
      <c r="E658" s="8"/>
      <c r="F658" s="3"/>
      <c r="G658" s="9"/>
      <c r="O658" s="3"/>
    </row>
    <row r="659" spans="4:15" x14ac:dyDescent="0.25">
      <c r="D659" s="8"/>
      <c r="E659" s="8"/>
      <c r="F659" s="3"/>
      <c r="G659" s="9"/>
      <c r="O659" s="3"/>
    </row>
    <row r="660" spans="4:15" x14ac:dyDescent="0.25">
      <c r="D660" s="8"/>
      <c r="E660" s="8"/>
      <c r="F660" s="3"/>
      <c r="G660" s="9"/>
      <c r="O660" s="3"/>
    </row>
    <row r="661" spans="4:15" x14ac:dyDescent="0.25">
      <c r="D661" s="8"/>
      <c r="E661" s="8"/>
      <c r="F661" s="3"/>
      <c r="G661" s="9"/>
      <c r="O661" s="3"/>
    </row>
    <row r="662" spans="4:15" x14ac:dyDescent="0.25">
      <c r="D662" s="8"/>
      <c r="E662" s="8"/>
      <c r="F662" s="3"/>
      <c r="G662" s="9"/>
      <c r="O662" s="3"/>
    </row>
    <row r="663" spans="4:15" x14ac:dyDescent="0.25">
      <c r="D663" s="8"/>
      <c r="E663" s="8"/>
      <c r="F663" s="3"/>
      <c r="G663" s="9"/>
      <c r="O663" s="3"/>
    </row>
    <row r="664" spans="4:15" x14ac:dyDescent="0.25">
      <c r="D664" s="8"/>
      <c r="E664" s="8"/>
      <c r="F664" s="3"/>
      <c r="G664" s="9"/>
      <c r="O664" s="3"/>
    </row>
    <row r="665" spans="4:15" x14ac:dyDescent="0.25">
      <c r="D665" s="8"/>
      <c r="E665" s="8"/>
      <c r="F665" s="3"/>
      <c r="G665" s="9"/>
      <c r="O665" s="3"/>
    </row>
    <row r="666" spans="4:15" x14ac:dyDescent="0.25">
      <c r="D666" s="8"/>
      <c r="E666" s="8"/>
      <c r="F666" s="3"/>
      <c r="G666" s="9"/>
      <c r="O666" s="3"/>
    </row>
    <row r="667" spans="4:15" x14ac:dyDescent="0.25">
      <c r="D667" s="8"/>
      <c r="E667" s="8"/>
      <c r="F667" s="3"/>
      <c r="G667" s="9"/>
      <c r="O667" s="3"/>
    </row>
    <row r="668" spans="4:15" x14ac:dyDescent="0.25">
      <c r="D668" s="8"/>
      <c r="E668" s="8"/>
      <c r="F668" s="3"/>
      <c r="G668" s="9"/>
      <c r="O668" s="3"/>
    </row>
    <row r="669" spans="4:15" x14ac:dyDescent="0.25">
      <c r="D669" s="8"/>
      <c r="E669" s="8"/>
      <c r="F669" s="3"/>
      <c r="G669" s="9"/>
      <c r="O669" s="3"/>
    </row>
    <row r="670" spans="4:15" x14ac:dyDescent="0.25">
      <c r="D670" s="8"/>
      <c r="E670" s="8"/>
      <c r="F670" s="3"/>
      <c r="G670" s="9"/>
      <c r="O670" s="3"/>
    </row>
    <row r="671" spans="4:15" x14ac:dyDescent="0.25">
      <c r="D671" s="8"/>
      <c r="E671" s="8"/>
      <c r="F671" s="3"/>
      <c r="G671" s="9"/>
      <c r="O671" s="3"/>
    </row>
    <row r="672" spans="4:15" x14ac:dyDescent="0.25">
      <c r="D672" s="8"/>
      <c r="E672" s="8"/>
      <c r="F672" s="3"/>
      <c r="G672" s="9"/>
      <c r="O672" s="3"/>
    </row>
    <row r="673" spans="4:15" x14ac:dyDescent="0.25">
      <c r="D673" s="8"/>
      <c r="E673" s="8"/>
      <c r="F673" s="3"/>
      <c r="G673" s="9"/>
      <c r="O673" s="3"/>
    </row>
    <row r="674" spans="4:15" x14ac:dyDescent="0.25">
      <c r="D674" s="8"/>
      <c r="E674" s="8"/>
      <c r="F674" s="3"/>
      <c r="G674" s="9"/>
      <c r="O674" s="3"/>
    </row>
    <row r="675" spans="4:15" x14ac:dyDescent="0.25">
      <c r="D675" s="8"/>
      <c r="E675" s="8"/>
      <c r="F675" s="3"/>
      <c r="G675" s="9"/>
      <c r="O675" s="3"/>
    </row>
    <row r="676" spans="4:15" x14ac:dyDescent="0.25">
      <c r="D676" s="8"/>
      <c r="E676" s="8"/>
      <c r="F676" s="3"/>
      <c r="G676" s="9"/>
      <c r="O676" s="3"/>
    </row>
    <row r="677" spans="4:15" x14ac:dyDescent="0.25">
      <c r="D677" s="8"/>
      <c r="E677" s="8"/>
      <c r="F677" s="3"/>
      <c r="O677" s="3"/>
    </row>
    <row r="678" spans="4:15" x14ac:dyDescent="0.25">
      <c r="D678" s="8"/>
      <c r="E678" s="8"/>
      <c r="F678" s="3"/>
      <c r="G678" s="9"/>
      <c r="O678" s="3"/>
    </row>
    <row r="679" spans="4:15" x14ac:dyDescent="0.25">
      <c r="D679" s="8"/>
      <c r="E679" s="8"/>
      <c r="F679" s="3"/>
      <c r="G679" s="9"/>
      <c r="O679" s="3"/>
    </row>
    <row r="680" spans="4:15" x14ac:dyDescent="0.25">
      <c r="D680" s="8"/>
      <c r="E680" s="8"/>
      <c r="F680" s="3"/>
      <c r="G680" s="9"/>
      <c r="O680" s="3"/>
    </row>
    <row r="681" spans="4:15" x14ac:dyDescent="0.25">
      <c r="D681" s="8"/>
      <c r="E681" s="8"/>
      <c r="F681" s="3"/>
      <c r="G681" s="9"/>
      <c r="O681" s="3"/>
    </row>
    <row r="682" spans="4:15" x14ac:dyDescent="0.25">
      <c r="D682" s="8"/>
      <c r="E682" s="8"/>
      <c r="F682" s="3"/>
      <c r="G682" s="9"/>
      <c r="O682" s="3"/>
    </row>
    <row r="683" spans="4:15" x14ac:dyDescent="0.25">
      <c r="D683" s="8"/>
      <c r="E683" s="8"/>
      <c r="F683" s="3"/>
      <c r="G683" s="9"/>
      <c r="O683" s="3"/>
    </row>
    <row r="684" spans="4:15" x14ac:dyDescent="0.25">
      <c r="D684" s="8"/>
      <c r="E684" s="8"/>
      <c r="F684" s="3"/>
      <c r="G684" s="9"/>
      <c r="O684" s="3"/>
    </row>
    <row r="685" spans="4:15" x14ac:dyDescent="0.25">
      <c r="D685" s="8"/>
      <c r="E685" s="8"/>
      <c r="F685" s="3"/>
      <c r="G685" s="9"/>
      <c r="O685" s="3"/>
    </row>
    <row r="686" spans="4:15" x14ac:dyDescent="0.25">
      <c r="D686" s="8"/>
      <c r="E686" s="8"/>
      <c r="F686" s="3"/>
      <c r="G686" s="9"/>
      <c r="O686" s="3"/>
    </row>
    <row r="687" spans="4:15" x14ac:dyDescent="0.25">
      <c r="D687" s="8"/>
      <c r="E687" s="8"/>
      <c r="F687" s="3"/>
      <c r="G687" s="9"/>
      <c r="O687" s="3"/>
    </row>
    <row r="688" spans="4:15" x14ac:dyDescent="0.25">
      <c r="D688" s="8"/>
      <c r="E688" s="8"/>
      <c r="F688" s="3"/>
      <c r="G688" s="9"/>
      <c r="O688" s="3"/>
    </row>
    <row r="689" spans="4:15" x14ac:dyDescent="0.25">
      <c r="D689" s="8"/>
      <c r="E689" s="8"/>
      <c r="F689" s="3"/>
      <c r="G689" s="9"/>
      <c r="O689" s="3"/>
    </row>
    <row r="690" spans="4:15" x14ac:dyDescent="0.25">
      <c r="D690" s="8"/>
      <c r="E690" s="8"/>
      <c r="F690" s="3"/>
      <c r="G690" s="9"/>
      <c r="O690" s="3"/>
    </row>
    <row r="691" spans="4:15" x14ac:dyDescent="0.25">
      <c r="D691" s="8"/>
      <c r="E691" s="8"/>
      <c r="F691" s="3"/>
      <c r="G691" s="9"/>
      <c r="O691" s="3"/>
    </row>
    <row r="692" spans="4:15" x14ac:dyDescent="0.25">
      <c r="D692" s="8"/>
      <c r="E692" s="8"/>
      <c r="F692" s="3"/>
      <c r="G692" s="9"/>
      <c r="O692" s="3"/>
    </row>
    <row r="693" spans="4:15" x14ac:dyDescent="0.25">
      <c r="D693" s="8"/>
      <c r="E693" s="8"/>
      <c r="F693" s="3"/>
      <c r="G693" s="9"/>
      <c r="O693" s="3"/>
    </row>
    <row r="694" spans="4:15" x14ac:dyDescent="0.25">
      <c r="D694" s="8"/>
      <c r="E694" s="8"/>
      <c r="F694" s="3"/>
      <c r="G694" s="9"/>
      <c r="O694" s="3"/>
    </row>
    <row r="695" spans="4:15" x14ac:dyDescent="0.25">
      <c r="D695" s="8"/>
      <c r="E695" s="8"/>
      <c r="F695" s="3"/>
      <c r="G695" s="9"/>
      <c r="O695" s="3"/>
    </row>
    <row r="696" spans="4:15" x14ac:dyDescent="0.25">
      <c r="D696" s="8"/>
      <c r="E696" s="8"/>
      <c r="F696" s="3"/>
      <c r="G696" s="9"/>
      <c r="O696" s="3"/>
    </row>
    <row r="697" spans="4:15" x14ac:dyDescent="0.25">
      <c r="D697" s="8"/>
      <c r="E697" s="8"/>
      <c r="F697" s="3"/>
      <c r="G697" s="9"/>
      <c r="O697" s="3"/>
    </row>
    <row r="698" spans="4:15" x14ac:dyDescent="0.25">
      <c r="D698" s="8"/>
      <c r="E698" s="8"/>
      <c r="F698" s="3"/>
      <c r="G698" s="9"/>
      <c r="O698" s="3"/>
    </row>
    <row r="699" spans="4:15" x14ac:dyDescent="0.25">
      <c r="D699" s="8"/>
      <c r="E699" s="8"/>
      <c r="F699" s="3"/>
      <c r="G699" s="9"/>
      <c r="O699" s="3"/>
    </row>
    <row r="700" spans="4:15" x14ac:dyDescent="0.25">
      <c r="D700" s="8"/>
      <c r="E700" s="8"/>
      <c r="F700" s="3"/>
      <c r="G700" s="9"/>
      <c r="O700" s="3"/>
    </row>
    <row r="701" spans="4:15" x14ac:dyDescent="0.25">
      <c r="D701" s="8"/>
      <c r="E701" s="8"/>
      <c r="F701" s="3"/>
      <c r="G701" s="9"/>
      <c r="O701" s="3"/>
    </row>
    <row r="702" spans="4:15" x14ac:dyDescent="0.25">
      <c r="D702" s="8"/>
      <c r="E702" s="8"/>
      <c r="F702" s="3"/>
      <c r="O702" s="3"/>
    </row>
    <row r="703" spans="4:15" x14ac:dyDescent="0.25">
      <c r="D703" s="8"/>
      <c r="E703" s="8"/>
      <c r="F703" s="3"/>
      <c r="G703" s="9"/>
      <c r="O703" s="3"/>
    </row>
    <row r="704" spans="4:15" x14ac:dyDescent="0.25">
      <c r="D704" s="8"/>
      <c r="E704" s="8"/>
      <c r="F704" s="3"/>
      <c r="G704" s="9"/>
      <c r="O704" s="3"/>
    </row>
    <row r="705" spans="4:15" x14ac:dyDescent="0.25">
      <c r="D705" s="8"/>
      <c r="E705" s="8"/>
      <c r="F705" s="3"/>
      <c r="G705" s="9"/>
      <c r="O705" s="3"/>
    </row>
    <row r="706" spans="4:15" x14ac:dyDescent="0.25">
      <c r="D706" s="8"/>
      <c r="E706" s="8"/>
      <c r="F706" s="3"/>
      <c r="G706" s="9"/>
      <c r="O706" s="3"/>
    </row>
    <row r="707" spans="4:15" x14ac:dyDescent="0.25">
      <c r="D707" s="8"/>
      <c r="E707" s="8"/>
      <c r="F707" s="3"/>
      <c r="G707" s="9"/>
      <c r="O707" s="3"/>
    </row>
    <row r="708" spans="4:15" x14ac:dyDescent="0.25">
      <c r="D708" s="8"/>
      <c r="E708" s="8"/>
      <c r="F708" s="3"/>
      <c r="G708" s="9"/>
      <c r="O708" s="3"/>
    </row>
    <row r="709" spans="4:15" x14ac:dyDescent="0.25">
      <c r="D709" s="8"/>
      <c r="E709" s="8"/>
      <c r="F709" s="3"/>
      <c r="G709" s="9"/>
      <c r="O709" s="3"/>
    </row>
    <row r="710" spans="4:15" x14ac:dyDescent="0.25">
      <c r="D710" s="8"/>
      <c r="E710" s="8"/>
      <c r="F710" s="3"/>
      <c r="G710" s="9"/>
      <c r="O710" s="3"/>
    </row>
    <row r="711" spans="4:15" x14ac:dyDescent="0.25">
      <c r="D711" s="8"/>
      <c r="E711" s="8"/>
      <c r="F711" s="3"/>
      <c r="G711" s="9"/>
      <c r="O711" s="3"/>
    </row>
    <row r="712" spans="4:15" x14ac:dyDescent="0.25">
      <c r="D712" s="8"/>
      <c r="E712" s="8"/>
      <c r="F712" s="3"/>
      <c r="G712" s="9"/>
      <c r="O712" s="3"/>
    </row>
    <row r="713" spans="4:15" x14ac:dyDescent="0.25">
      <c r="D713" s="8"/>
      <c r="E713" s="8"/>
      <c r="F713" s="3"/>
      <c r="G713" s="9"/>
      <c r="O713" s="3"/>
    </row>
    <row r="714" spans="4:15" x14ac:dyDescent="0.25">
      <c r="D714" s="8"/>
      <c r="E714" s="8"/>
      <c r="F714" s="3"/>
      <c r="G714" s="9"/>
      <c r="O714" s="3"/>
    </row>
    <row r="715" spans="4:15" x14ac:dyDescent="0.25">
      <c r="D715" s="8"/>
      <c r="E715" s="8"/>
      <c r="F715" s="3"/>
      <c r="G715" s="9"/>
      <c r="O715" s="3"/>
    </row>
    <row r="716" spans="4:15" x14ac:dyDescent="0.25">
      <c r="D716" s="8"/>
      <c r="E716" s="8"/>
      <c r="F716" s="3"/>
      <c r="G716" s="9"/>
      <c r="O716" s="3"/>
    </row>
    <row r="717" spans="4:15" x14ac:dyDescent="0.25">
      <c r="D717" s="8"/>
      <c r="E717" s="8"/>
      <c r="F717" s="3"/>
      <c r="G717" s="9"/>
      <c r="O717" s="3"/>
    </row>
    <row r="718" spans="4:15" x14ac:dyDescent="0.25">
      <c r="D718" s="3"/>
      <c r="F718" s="3"/>
      <c r="G718" s="9"/>
      <c r="O718" s="3"/>
    </row>
    <row r="719" spans="4:15" x14ac:dyDescent="0.25">
      <c r="F719" s="3"/>
      <c r="G719" s="9"/>
      <c r="O719" s="3"/>
    </row>
    <row r="720" spans="4:15" x14ac:dyDescent="0.25">
      <c r="F720" s="3"/>
      <c r="G720" s="9"/>
      <c r="O720" s="3"/>
    </row>
    <row r="721" spans="6:15" x14ac:dyDescent="0.25">
      <c r="F721" s="3"/>
      <c r="G721" s="9"/>
      <c r="O721" s="3"/>
    </row>
    <row r="722" spans="6:15" x14ac:dyDescent="0.25">
      <c r="F722" s="3"/>
      <c r="G722" s="9"/>
      <c r="O722" s="3"/>
    </row>
    <row r="723" spans="6:15" x14ac:dyDescent="0.25">
      <c r="F723" s="3"/>
      <c r="G723" s="9"/>
      <c r="O723" s="3"/>
    </row>
    <row r="724" spans="6:15" x14ac:dyDescent="0.25">
      <c r="F724" s="3"/>
      <c r="G724" s="9"/>
      <c r="O724" s="3"/>
    </row>
    <row r="725" spans="6:15" x14ac:dyDescent="0.25">
      <c r="F725" s="3"/>
      <c r="G725" s="9"/>
      <c r="O725" s="3"/>
    </row>
    <row r="726" spans="6:15" x14ac:dyDescent="0.25">
      <c r="F726" s="3"/>
      <c r="G726" s="9"/>
      <c r="O726" s="3"/>
    </row>
    <row r="727" spans="6:15" x14ac:dyDescent="0.25">
      <c r="F727" s="3"/>
      <c r="O727" s="3"/>
    </row>
    <row r="728" spans="6:15" x14ac:dyDescent="0.25">
      <c r="F728" s="3"/>
      <c r="G728" s="9"/>
      <c r="O728" s="3"/>
    </row>
    <row r="729" spans="6:15" x14ac:dyDescent="0.25">
      <c r="F729" s="3"/>
      <c r="G729" s="9"/>
      <c r="O729" s="3"/>
    </row>
    <row r="730" spans="6:15" x14ac:dyDescent="0.25">
      <c r="F730" s="3"/>
      <c r="G730" s="9"/>
      <c r="O730" s="3"/>
    </row>
    <row r="731" spans="6:15" x14ac:dyDescent="0.25">
      <c r="F731" s="3"/>
      <c r="G731" s="9"/>
      <c r="O731" s="3"/>
    </row>
    <row r="732" spans="6:15" x14ac:dyDescent="0.25">
      <c r="F732" s="3"/>
      <c r="G732" s="9"/>
      <c r="O732" s="3"/>
    </row>
    <row r="733" spans="6:15" x14ac:dyDescent="0.25">
      <c r="F733" s="3"/>
      <c r="G733" s="9"/>
      <c r="O733" s="3"/>
    </row>
    <row r="734" spans="6:15" x14ac:dyDescent="0.25">
      <c r="F73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4"/>
  <sheetViews>
    <sheetView zoomScale="80" zoomScaleNormal="80" workbookViewId="0">
      <selection activeCell="B1" sqref="B1:C1048576"/>
    </sheetView>
  </sheetViews>
  <sheetFormatPr defaultRowHeight="15" x14ac:dyDescent="0.25"/>
  <cols>
    <col min="1" max="1" width="7.42578125" customWidth="1"/>
    <col min="11" max="11" width="11.85546875" bestFit="1" customWidth="1"/>
    <col min="12" max="12" width="12.42578125" bestFit="1" customWidth="1"/>
    <col min="14" max="14" width="12.28515625" bestFit="1" customWidth="1"/>
    <col min="15" max="15" width="9.5703125" customWidth="1"/>
    <col min="16" max="16" width="7.42578125" customWidth="1"/>
  </cols>
  <sheetData>
    <row r="1" spans="1:15" x14ac:dyDescent="0.25">
      <c r="B1" s="2">
        <v>45128.26666666667</v>
      </c>
      <c r="C1" s="2">
        <v>45181.333333333336</v>
      </c>
      <c r="I1" s="5"/>
      <c r="K1" t="s">
        <v>17</v>
      </c>
      <c r="L1" s="9">
        <f>C1-B1</f>
        <v>53.066666666665697</v>
      </c>
      <c r="M1" s="9"/>
    </row>
    <row r="2" spans="1:15" x14ac:dyDescent="0.25">
      <c r="A2" t="s">
        <v>0</v>
      </c>
      <c r="B2" t="s">
        <v>1</v>
      </c>
      <c r="C2" t="s">
        <v>1</v>
      </c>
      <c r="D2" s="6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6" t="s">
        <v>10</v>
      </c>
      <c r="J2" s="6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15</v>
      </c>
    </row>
    <row r="3" spans="1:15" x14ac:dyDescent="0.25">
      <c r="A3">
        <v>0</v>
      </c>
      <c r="B3" s="3">
        <v>10.785813333333332</v>
      </c>
      <c r="C3" s="3">
        <v>12.69665</v>
      </c>
      <c r="D3">
        <f>C3-B3</f>
        <v>1.9108366666666683</v>
      </c>
      <c r="E3">
        <f>(D3+D4)/2</f>
        <v>2.6785433333333342</v>
      </c>
      <c r="F3">
        <v>70</v>
      </c>
      <c r="G3">
        <v>7381</v>
      </c>
      <c r="H3">
        <f>E3*F3</f>
        <v>187.49803333333338</v>
      </c>
      <c r="I3">
        <f t="shared" ref="I3:I22" si="0">I4+H3</f>
        <v>484.23870833333342</v>
      </c>
      <c r="J3">
        <f t="shared" ref="J3:J23" si="1">(I3/G3)*1000</f>
        <v>65.606111412184447</v>
      </c>
    </row>
    <row r="4" spans="1:15" x14ac:dyDescent="0.25">
      <c r="A4">
        <v>10</v>
      </c>
      <c r="B4" s="3">
        <v>6.7822333333333331</v>
      </c>
      <c r="C4" s="3">
        <v>10.228483333333333</v>
      </c>
      <c r="D4">
        <f t="shared" ref="D4:D38" si="2">C4-B4</f>
        <v>3.44625</v>
      </c>
      <c r="E4">
        <f t="shared" ref="E4:E38" si="3">(D4+D5)/2</f>
        <v>2.6407883333333331</v>
      </c>
      <c r="F4">
        <v>70</v>
      </c>
      <c r="G4">
        <v>7338</v>
      </c>
      <c r="H4">
        <f t="shared" ref="H4:H38" si="4">E4*F4</f>
        <v>184.85518333333331</v>
      </c>
      <c r="I4">
        <f t="shared" si="0"/>
        <v>296.74067500000007</v>
      </c>
      <c r="J4">
        <f t="shared" si="1"/>
        <v>40.43890365222132</v>
      </c>
      <c r="K4">
        <f>(B5-B3)/(A5-A3)</f>
        <v>-0.27479033333333319</v>
      </c>
      <c r="L4">
        <f>(C5-C3)/(A5-A3)</f>
        <v>-0.27856583333333329</v>
      </c>
      <c r="M4">
        <f>(K4+L4)/2</f>
        <v>-0.27667808333333321</v>
      </c>
      <c r="N4">
        <f>-J4/(M4*86400*$L$1)</f>
        <v>3.1877852969102799E-5</v>
      </c>
      <c r="O4" s="3">
        <f>N4*10000</f>
        <v>0.31877852969102799</v>
      </c>
    </row>
    <row r="5" spans="1:15" x14ac:dyDescent="0.25">
      <c r="A5">
        <v>20</v>
      </c>
      <c r="B5" s="3">
        <v>5.2900066666666676</v>
      </c>
      <c r="C5" s="3">
        <v>7.1253333333333337</v>
      </c>
      <c r="D5">
        <f t="shared" si="2"/>
        <v>1.8353266666666661</v>
      </c>
      <c r="E5">
        <f t="shared" si="3"/>
        <v>1.1211133333333327</v>
      </c>
      <c r="F5">
        <v>70</v>
      </c>
      <c r="G5">
        <v>7252</v>
      </c>
      <c r="H5">
        <f t="shared" si="4"/>
        <v>78.477933333333297</v>
      </c>
      <c r="I5">
        <f t="shared" si="0"/>
        <v>111.88549166666677</v>
      </c>
      <c r="J5">
        <f t="shared" si="1"/>
        <v>15.428225546975561</v>
      </c>
      <c r="K5">
        <f t="shared" ref="K5:K38" si="5">(B6-B4)/(A6-A4)</f>
        <v>-0.10335166666666665</v>
      </c>
      <c r="L5">
        <f t="shared" ref="L5:L38" si="6">(C6-C4)/(A6-A4)</f>
        <v>-0.25531916666666665</v>
      </c>
      <c r="M5">
        <f t="shared" ref="M5:M38" si="7">(K5+L5)/2</f>
        <v>-0.17933541666666664</v>
      </c>
      <c r="N5">
        <f t="shared" ref="N5:N38" si="8">-J5/(M5*86400*$L$1)</f>
        <v>1.8763522049204491E-5</v>
      </c>
      <c r="O5" s="3">
        <f t="shared" ref="O5:O38" si="9">N5*10000</f>
        <v>0.1876352204920449</v>
      </c>
    </row>
    <row r="6" spans="1:15" x14ac:dyDescent="0.25">
      <c r="A6">
        <v>30</v>
      </c>
      <c r="B6" s="3">
        <v>4.7152000000000003</v>
      </c>
      <c r="C6" s="3">
        <v>5.1220999999999997</v>
      </c>
      <c r="D6">
        <f t="shared" si="2"/>
        <v>0.40689999999999937</v>
      </c>
      <c r="E6">
        <f t="shared" si="3"/>
        <v>0.20560499999999982</v>
      </c>
      <c r="F6">
        <v>70</v>
      </c>
      <c r="G6">
        <v>7218</v>
      </c>
      <c r="H6">
        <f t="shared" si="4"/>
        <v>14.392349999999986</v>
      </c>
      <c r="I6">
        <f t="shared" si="0"/>
        <v>33.407558333333469</v>
      </c>
      <c r="J6">
        <f t="shared" si="1"/>
        <v>4.6283677380622708</v>
      </c>
      <c r="K6">
        <f t="shared" si="5"/>
        <v>-4.341000000000008E-2</v>
      </c>
      <c r="L6">
        <f t="shared" si="6"/>
        <v>-0.13496083333333336</v>
      </c>
      <c r="M6">
        <f t="shared" si="7"/>
        <v>-8.9185416666666725E-2</v>
      </c>
      <c r="N6">
        <f t="shared" si="8"/>
        <v>1.1318749823341639E-5</v>
      </c>
      <c r="O6" s="3">
        <f t="shared" si="9"/>
        <v>0.11318749823341638</v>
      </c>
    </row>
    <row r="7" spans="1:15" x14ac:dyDescent="0.25">
      <c r="A7">
        <v>40</v>
      </c>
      <c r="B7" s="3">
        <v>4.421806666666666</v>
      </c>
      <c r="C7" s="3">
        <v>4.4261166666666663</v>
      </c>
      <c r="D7">
        <f t="shared" si="2"/>
        <v>4.3100000000002581E-3</v>
      </c>
      <c r="E7">
        <f t="shared" si="3"/>
        <v>-2.9116666666659796E-3</v>
      </c>
      <c r="F7">
        <v>70</v>
      </c>
      <c r="G7">
        <v>7128.25</v>
      </c>
      <c r="H7">
        <f t="shared" si="4"/>
        <v>-0.20381666666661857</v>
      </c>
      <c r="I7">
        <f t="shared" si="0"/>
        <v>19.015208333333483</v>
      </c>
      <c r="J7">
        <f t="shared" si="1"/>
        <v>2.6675843767170742</v>
      </c>
      <c r="K7">
        <f t="shared" si="5"/>
        <v>-2.3743333333333359E-2</v>
      </c>
      <c r="L7">
        <f t="shared" si="6"/>
        <v>-4.459499999999994E-2</v>
      </c>
      <c r="M7">
        <f t="shared" si="7"/>
        <v>-3.4169166666666653E-2</v>
      </c>
      <c r="N7">
        <f t="shared" si="8"/>
        <v>1.7027395628405445E-5</v>
      </c>
      <c r="O7" s="3">
        <f t="shared" si="9"/>
        <v>0.17027395628405445</v>
      </c>
    </row>
    <row r="8" spans="1:15" x14ac:dyDescent="0.25">
      <c r="A8">
        <v>50</v>
      </c>
      <c r="B8" s="3">
        <v>4.2403333333333331</v>
      </c>
      <c r="C8" s="3">
        <v>4.2302000000000008</v>
      </c>
      <c r="D8">
        <f t="shared" si="2"/>
        <v>-1.0133333333332217E-2</v>
      </c>
      <c r="E8">
        <f t="shared" si="3"/>
        <v>-1.5746666666665465E-2</v>
      </c>
      <c r="F8">
        <v>65</v>
      </c>
      <c r="G8">
        <v>6875.5</v>
      </c>
      <c r="H8">
        <f t="shared" si="4"/>
        <v>-1.0235333333332552</v>
      </c>
      <c r="I8">
        <f t="shared" si="0"/>
        <v>19.219025000000101</v>
      </c>
      <c r="J8">
        <f t="shared" si="1"/>
        <v>2.7952912515453572</v>
      </c>
      <c r="K8">
        <f t="shared" si="5"/>
        <v>-1.5335666666666681E-2</v>
      </c>
      <c r="L8">
        <f t="shared" si="6"/>
        <v>-1.6619166666666629E-2</v>
      </c>
      <c r="M8">
        <f t="shared" si="7"/>
        <v>-1.5977416666666654E-2</v>
      </c>
      <c r="N8">
        <f t="shared" si="8"/>
        <v>3.8157942836031871E-5</v>
      </c>
      <c r="O8" s="3">
        <f t="shared" si="9"/>
        <v>0.38157942836031872</v>
      </c>
    </row>
    <row r="9" spans="1:15" x14ac:dyDescent="0.25">
      <c r="A9">
        <v>60</v>
      </c>
      <c r="B9" s="3">
        <v>4.1150933333333324</v>
      </c>
      <c r="C9" s="3">
        <v>4.0937333333333337</v>
      </c>
      <c r="D9">
        <f t="shared" si="2"/>
        <v>-2.1359999999998713E-2</v>
      </c>
      <c r="E9">
        <f t="shared" si="3"/>
        <v>-1.9598333333332718E-2</v>
      </c>
      <c r="F9">
        <v>65</v>
      </c>
      <c r="G9">
        <v>6622.75</v>
      </c>
      <c r="H9">
        <f t="shared" si="4"/>
        <v>-1.2738916666666267</v>
      </c>
      <c r="I9">
        <f>I10+H9</f>
        <v>20.242558333333356</v>
      </c>
      <c r="J9">
        <f>(I9/G9)*1000</f>
        <v>3.0565185660538834</v>
      </c>
      <c r="K9">
        <f t="shared" si="5"/>
        <v>-1.0038999999999954E-2</v>
      </c>
      <c r="L9">
        <f t="shared" si="6"/>
        <v>-1.0424166666666679E-2</v>
      </c>
      <c r="M9">
        <f t="shared" si="7"/>
        <v>-1.0231583333333317E-2</v>
      </c>
      <c r="N9">
        <f t="shared" si="8"/>
        <v>6.5155133831100779E-5</v>
      </c>
      <c r="O9" s="3">
        <f>N9*10000</f>
        <v>0.65155133831100775</v>
      </c>
    </row>
    <row r="10" spans="1:15" x14ac:dyDescent="0.25">
      <c r="A10">
        <v>70</v>
      </c>
      <c r="B10" s="3">
        <v>4.039553333333334</v>
      </c>
      <c r="C10" s="3">
        <v>4.0217166666666673</v>
      </c>
      <c r="D10">
        <f t="shared" si="2"/>
        <v>-1.7836666666666723E-2</v>
      </c>
      <c r="E10">
        <f t="shared" si="3"/>
        <v>-1.6003333333333369E-2</v>
      </c>
      <c r="F10">
        <v>65</v>
      </c>
      <c r="G10">
        <v>6370</v>
      </c>
      <c r="H10">
        <f>E10*F10</f>
        <v>-1.040216666666669</v>
      </c>
      <c r="I10">
        <f t="shared" si="0"/>
        <v>21.516449999999981</v>
      </c>
      <c r="J10">
        <f t="shared" si="1"/>
        <v>3.3777786499215043</v>
      </c>
      <c r="K10">
        <f t="shared" si="5"/>
        <v>-6.9269999999999497E-3</v>
      </c>
      <c r="L10">
        <f t="shared" si="6"/>
        <v>-6.5675000000000152E-3</v>
      </c>
      <c r="M10">
        <f t="shared" si="7"/>
        <v>-6.7472499999999824E-3</v>
      </c>
      <c r="N10">
        <f t="shared" si="8"/>
        <v>1.0918647193138492E-4</v>
      </c>
      <c r="O10" s="3">
        <f t="shared" si="9"/>
        <v>1.0918647193138491</v>
      </c>
    </row>
    <row r="11" spans="1:15" x14ac:dyDescent="0.25">
      <c r="A11">
        <v>80</v>
      </c>
      <c r="B11" s="3">
        <v>3.9765533333333334</v>
      </c>
      <c r="C11" s="3">
        <v>3.9623833333333334</v>
      </c>
      <c r="D11">
        <f t="shared" si="2"/>
        <v>-1.4170000000000016E-2</v>
      </c>
      <c r="E11">
        <f>(D11+D12)/2</f>
        <v>-1.7360000000000486E-2</v>
      </c>
      <c r="F11">
        <v>65</v>
      </c>
      <c r="G11">
        <v>6223</v>
      </c>
      <c r="H11">
        <f t="shared" si="4"/>
        <v>-1.1284000000000316</v>
      </c>
      <c r="I11">
        <f t="shared" si="0"/>
        <v>22.556666666666651</v>
      </c>
      <c r="J11">
        <f t="shared" si="1"/>
        <v>3.6247254807434759</v>
      </c>
      <c r="K11">
        <f t="shared" si="5"/>
        <v>-5.2993333333333451E-3</v>
      </c>
      <c r="L11">
        <f t="shared" si="6"/>
        <v>-5.4350000000000561E-3</v>
      </c>
      <c r="M11">
        <f t="shared" si="7"/>
        <v>-5.3671666666667006E-3</v>
      </c>
      <c r="N11">
        <f t="shared" si="8"/>
        <v>1.4729719885908413E-4</v>
      </c>
      <c r="O11" s="3">
        <f t="shared" si="9"/>
        <v>1.4729719885908412</v>
      </c>
    </row>
    <row r="12" spans="1:15" x14ac:dyDescent="0.25">
      <c r="A12">
        <v>90</v>
      </c>
      <c r="B12" s="3">
        <v>3.9335666666666671</v>
      </c>
      <c r="C12" s="3">
        <v>3.9130166666666661</v>
      </c>
      <c r="D12">
        <f t="shared" si="2"/>
        <v>-2.0550000000000956E-2</v>
      </c>
      <c r="E12">
        <f t="shared" si="3"/>
        <v>-1.8301666666667105E-2</v>
      </c>
      <c r="F12">
        <v>65</v>
      </c>
      <c r="G12">
        <v>6076</v>
      </c>
      <c r="H12">
        <f t="shared" si="4"/>
        <v>-1.1896083333333618</v>
      </c>
      <c r="I12">
        <f t="shared" si="0"/>
        <v>23.685066666666682</v>
      </c>
      <c r="J12">
        <f t="shared" si="1"/>
        <v>3.8981347377660769</v>
      </c>
      <c r="K12">
        <f t="shared" si="5"/>
        <v>-4.2383333333333439E-3</v>
      </c>
      <c r="L12">
        <f t="shared" si="6"/>
        <v>-4.3325000000000056E-3</v>
      </c>
      <c r="M12">
        <f t="shared" si="7"/>
        <v>-4.2854166666666752E-3</v>
      </c>
      <c r="N12">
        <f t="shared" si="8"/>
        <v>1.983938661956548E-4</v>
      </c>
      <c r="O12" s="3">
        <f t="shared" si="9"/>
        <v>1.983938661956548</v>
      </c>
    </row>
    <row r="13" spans="1:15" x14ac:dyDescent="0.25">
      <c r="A13">
        <v>100</v>
      </c>
      <c r="B13" s="3">
        <v>3.8917866666666665</v>
      </c>
      <c r="C13" s="3">
        <v>3.8757333333333333</v>
      </c>
      <c r="D13">
        <f t="shared" si="2"/>
        <v>-1.6053333333333253E-2</v>
      </c>
      <c r="E13">
        <f t="shared" si="3"/>
        <v>-1.1366666666666969E-2</v>
      </c>
      <c r="F13">
        <v>315</v>
      </c>
      <c r="G13">
        <v>5919</v>
      </c>
      <c r="H13">
        <f t="shared" si="4"/>
        <v>-3.5805000000000953</v>
      </c>
      <c r="I13">
        <f t="shared" si="0"/>
        <v>24.874675000000043</v>
      </c>
      <c r="J13">
        <f t="shared" si="1"/>
        <v>4.2025130934279513</v>
      </c>
      <c r="K13">
        <f t="shared" si="5"/>
        <v>-2.7720000000000041E-3</v>
      </c>
      <c r="L13">
        <f t="shared" si="6"/>
        <v>-2.5408333333333329E-3</v>
      </c>
      <c r="M13">
        <f t="shared" si="7"/>
        <v>-2.6564166666666685E-3</v>
      </c>
      <c r="N13">
        <f t="shared" si="8"/>
        <v>3.4504626259368752E-4</v>
      </c>
      <c r="O13" s="3">
        <f t="shared" si="9"/>
        <v>3.4504626259368751</v>
      </c>
    </row>
    <row r="14" spans="1:15" x14ac:dyDescent="0.25">
      <c r="A14">
        <v>150</v>
      </c>
      <c r="B14" s="3">
        <v>3.7672466666666669</v>
      </c>
      <c r="C14" s="3">
        <v>3.7605666666666662</v>
      </c>
      <c r="D14">
        <f t="shared" si="2"/>
        <v>-6.6800000000006854E-3</v>
      </c>
      <c r="E14">
        <f t="shared" si="3"/>
        <v>5.0466666666664217E-3</v>
      </c>
      <c r="F14">
        <v>311</v>
      </c>
      <c r="G14">
        <v>5762</v>
      </c>
      <c r="H14">
        <f t="shared" si="4"/>
        <v>1.5695133333332572</v>
      </c>
      <c r="I14">
        <f t="shared" si="0"/>
        <v>28.455175000000139</v>
      </c>
      <c r="J14">
        <f t="shared" si="1"/>
        <v>4.9384198195071392</v>
      </c>
      <c r="K14">
        <f t="shared" si="5"/>
        <v>-2.4589333333333353E-3</v>
      </c>
      <c r="L14">
        <f t="shared" si="6"/>
        <v>-2.1306666666666674E-3</v>
      </c>
      <c r="M14">
        <f t="shared" si="7"/>
        <v>-2.2948000000000014E-3</v>
      </c>
      <c r="N14">
        <f t="shared" si="8"/>
        <v>4.6936166364208525E-4</v>
      </c>
      <c r="O14" s="3">
        <f t="shared" si="9"/>
        <v>4.6936166364208525</v>
      </c>
    </row>
    <row r="15" spans="1:15" x14ac:dyDescent="0.25">
      <c r="A15">
        <v>200</v>
      </c>
      <c r="B15" s="3">
        <v>3.645893333333333</v>
      </c>
      <c r="C15" s="3">
        <v>3.6626666666666665</v>
      </c>
      <c r="D15">
        <f t="shared" si="2"/>
        <v>1.6773333333333529E-2</v>
      </c>
      <c r="E15">
        <f t="shared" si="3"/>
        <v>1.0001666666666909E-2</v>
      </c>
      <c r="F15">
        <v>305</v>
      </c>
      <c r="G15">
        <v>5461</v>
      </c>
      <c r="H15">
        <f t="shared" si="4"/>
        <v>3.0505083333334069</v>
      </c>
      <c r="I15">
        <f t="shared" si="0"/>
        <v>26.885661666666881</v>
      </c>
      <c r="J15">
        <f t="shared" si="1"/>
        <v>4.9232121711530636</v>
      </c>
      <c r="K15">
        <f t="shared" si="5"/>
        <v>-1.8312666666666687E-3</v>
      </c>
      <c r="L15">
        <f t="shared" si="6"/>
        <v>-1.732166666666659E-3</v>
      </c>
      <c r="M15">
        <f t="shared" si="7"/>
        <v>-1.7817166666666637E-3</v>
      </c>
      <c r="N15">
        <f t="shared" si="8"/>
        <v>6.0266276374269562E-4</v>
      </c>
      <c r="O15" s="3">
        <f t="shared" si="9"/>
        <v>6.0266276374269561</v>
      </c>
    </row>
    <row r="16" spans="1:15" x14ac:dyDescent="0.25">
      <c r="A16">
        <v>250</v>
      </c>
      <c r="B16" s="3">
        <v>3.58412</v>
      </c>
      <c r="C16" s="3">
        <v>3.5873500000000003</v>
      </c>
      <c r="D16">
        <f t="shared" si="2"/>
        <v>3.2300000000002882E-3</v>
      </c>
      <c r="E16">
        <f t="shared" si="3"/>
        <v>4.8933333333338602E-3</v>
      </c>
      <c r="F16">
        <v>298</v>
      </c>
      <c r="G16">
        <v>5186</v>
      </c>
      <c r="H16">
        <f t="shared" si="4"/>
        <v>1.4582133333334903</v>
      </c>
      <c r="I16">
        <f t="shared" si="0"/>
        <v>23.835153333333473</v>
      </c>
      <c r="J16">
        <f t="shared" si="1"/>
        <v>4.5960573338475648</v>
      </c>
      <c r="K16">
        <f t="shared" si="5"/>
        <v>-9.2733333333333773E-4</v>
      </c>
      <c r="L16">
        <f t="shared" si="6"/>
        <v>-1.0294999999999987E-3</v>
      </c>
      <c r="M16">
        <f t="shared" si="7"/>
        <v>-9.7841666666666823E-4</v>
      </c>
      <c r="N16">
        <f t="shared" si="8"/>
        <v>1.0245332194483104E-3</v>
      </c>
      <c r="O16" s="3">
        <f t="shared" si="9"/>
        <v>10.245332194483105</v>
      </c>
    </row>
    <row r="17" spans="1:15" x14ac:dyDescent="0.25">
      <c r="A17">
        <v>300</v>
      </c>
      <c r="B17" s="3">
        <v>3.5531599999999992</v>
      </c>
      <c r="C17" s="3">
        <v>3.5597166666666666</v>
      </c>
      <c r="D17">
        <f t="shared" si="2"/>
        <v>6.5566666666674323E-3</v>
      </c>
      <c r="E17">
        <f t="shared" si="3"/>
        <v>8.8150000000004614E-3</v>
      </c>
      <c r="F17">
        <v>289</v>
      </c>
      <c r="G17">
        <v>4893</v>
      </c>
      <c r="H17">
        <f t="shared" si="4"/>
        <v>2.5475350000001331</v>
      </c>
      <c r="I17">
        <f t="shared" si="0"/>
        <v>22.376939999999983</v>
      </c>
      <c r="J17">
        <f t="shared" si="1"/>
        <v>4.5732556713672565</v>
      </c>
      <c r="K17">
        <f t="shared" si="5"/>
        <v>-5.9826666666666476E-4</v>
      </c>
      <c r="L17">
        <f t="shared" si="6"/>
        <v>-5.1983333333333265E-4</v>
      </c>
      <c r="M17">
        <f t="shared" si="7"/>
        <v>-5.5904999999999865E-4</v>
      </c>
      <c r="N17">
        <f t="shared" si="8"/>
        <v>1.7841825137252228E-3</v>
      </c>
      <c r="O17" s="3">
        <f t="shared" si="9"/>
        <v>17.841825137252229</v>
      </c>
    </row>
    <row r="18" spans="1:15" x14ac:dyDescent="0.25">
      <c r="A18">
        <v>350</v>
      </c>
      <c r="B18" s="3">
        <v>3.5242933333333335</v>
      </c>
      <c r="C18" s="3">
        <v>3.535366666666667</v>
      </c>
      <c r="D18">
        <f t="shared" si="2"/>
        <v>1.107333333333349E-2</v>
      </c>
      <c r="E18">
        <f t="shared" si="3"/>
        <v>1.2399999999999967E-2</v>
      </c>
      <c r="F18">
        <v>284</v>
      </c>
      <c r="G18">
        <v>4615</v>
      </c>
      <c r="H18">
        <f t="shared" si="4"/>
        <v>3.5215999999999905</v>
      </c>
      <c r="I18">
        <f t="shared" si="0"/>
        <v>19.829404999999852</v>
      </c>
      <c r="J18">
        <f t="shared" si="1"/>
        <v>4.296729144095309</v>
      </c>
      <c r="K18">
        <f t="shared" si="5"/>
        <v>-5.5786666666666205E-4</v>
      </c>
      <c r="L18">
        <f t="shared" si="6"/>
        <v>-4.8616666666667196E-4</v>
      </c>
      <c r="M18">
        <f t="shared" si="7"/>
        <v>-5.22016666666667E-4</v>
      </c>
      <c r="N18">
        <f t="shared" si="8"/>
        <v>1.7952215681947936E-3</v>
      </c>
      <c r="O18" s="3">
        <f t="shared" si="9"/>
        <v>17.952215681947937</v>
      </c>
    </row>
    <row r="19" spans="1:15" x14ac:dyDescent="0.25">
      <c r="A19">
        <v>400</v>
      </c>
      <c r="B19" s="3">
        <v>3.497373333333333</v>
      </c>
      <c r="C19" s="3">
        <v>3.5110999999999994</v>
      </c>
      <c r="D19">
        <f t="shared" si="2"/>
        <v>1.3726666666666443E-2</v>
      </c>
      <c r="E19">
        <f t="shared" si="3"/>
        <v>1.325833333333315E-2</v>
      </c>
      <c r="F19">
        <v>279</v>
      </c>
      <c r="G19">
        <v>4306</v>
      </c>
      <c r="H19">
        <f t="shared" si="4"/>
        <v>3.699074999999949</v>
      </c>
      <c r="I19">
        <f t="shared" si="0"/>
        <v>16.30780499999986</v>
      </c>
      <c r="J19">
        <f t="shared" si="1"/>
        <v>3.7872282861123687</v>
      </c>
      <c r="K19">
        <f t="shared" si="5"/>
        <v>-5.0433333333333775E-4</v>
      </c>
      <c r="L19">
        <f t="shared" si="6"/>
        <v>-4.871666666666741E-4</v>
      </c>
      <c r="M19">
        <f t="shared" si="7"/>
        <v>-4.9575000000000595E-4</v>
      </c>
      <c r="N19">
        <f t="shared" si="8"/>
        <v>1.6661849610721318E-3</v>
      </c>
      <c r="O19" s="3">
        <f t="shared" si="9"/>
        <v>16.661849610721319</v>
      </c>
    </row>
    <row r="20" spans="1:15" x14ac:dyDescent="0.25">
      <c r="A20">
        <v>450</v>
      </c>
      <c r="B20" s="3">
        <v>3.4738599999999997</v>
      </c>
      <c r="C20" s="3">
        <v>3.4866499999999996</v>
      </c>
      <c r="D20">
        <f t="shared" si="2"/>
        <v>1.2789999999999857E-2</v>
      </c>
      <c r="E20">
        <f t="shared" si="3"/>
        <v>1.2654999999999861E-2</v>
      </c>
      <c r="F20">
        <v>271</v>
      </c>
      <c r="G20">
        <v>3966</v>
      </c>
      <c r="H20">
        <f t="shared" si="4"/>
        <v>3.4295049999999625</v>
      </c>
      <c r="I20">
        <f t="shared" si="0"/>
        <v>12.608729999999913</v>
      </c>
      <c r="J20">
        <f t="shared" si="1"/>
        <v>3.1792057488653334</v>
      </c>
      <c r="K20">
        <f t="shared" si="5"/>
        <v>-4.3659999999999587E-4</v>
      </c>
      <c r="L20">
        <f t="shared" si="6"/>
        <v>-4.4866666666666167E-4</v>
      </c>
      <c r="M20">
        <f t="shared" si="7"/>
        <v>-4.4263333333332877E-4</v>
      </c>
      <c r="N20">
        <f t="shared" si="8"/>
        <v>1.5665309069767799E-3</v>
      </c>
      <c r="O20" s="3">
        <f t="shared" si="9"/>
        <v>15.665309069767799</v>
      </c>
    </row>
    <row r="21" spans="1:15" x14ac:dyDescent="0.25">
      <c r="A21">
        <v>500</v>
      </c>
      <c r="B21" s="3">
        <v>3.4537133333333334</v>
      </c>
      <c r="C21" s="3">
        <v>3.4662333333333333</v>
      </c>
      <c r="D21">
        <f t="shared" si="2"/>
        <v>1.2519999999999865E-2</v>
      </c>
      <c r="E21">
        <f t="shared" si="3"/>
        <v>1.1463333333332937E-2</v>
      </c>
      <c r="F21">
        <v>262</v>
      </c>
      <c r="G21">
        <v>3571</v>
      </c>
      <c r="H21">
        <f t="shared" si="4"/>
        <v>3.0033933333332294</v>
      </c>
      <c r="I21">
        <f t="shared" si="0"/>
        <v>9.1792249999999491</v>
      </c>
      <c r="J21">
        <f t="shared" si="1"/>
        <v>2.5704914589750625</v>
      </c>
      <c r="K21">
        <f t="shared" si="5"/>
        <v>-3.673333333333284E-4</v>
      </c>
      <c r="L21">
        <f t="shared" si="6"/>
        <v>-3.9116666666666689E-4</v>
      </c>
      <c r="M21">
        <f t="shared" si="7"/>
        <v>-3.7924999999999764E-4</v>
      </c>
      <c r="N21">
        <f t="shared" si="8"/>
        <v>1.4782742926706459E-3</v>
      </c>
      <c r="O21" s="3">
        <f t="shared" si="9"/>
        <v>14.782742926706458</v>
      </c>
    </row>
    <row r="22" spans="1:15" x14ac:dyDescent="0.25">
      <c r="A22">
        <v>550</v>
      </c>
      <c r="B22" s="3">
        <v>3.4371266666666669</v>
      </c>
      <c r="C22" s="3">
        <v>3.4475333333333329</v>
      </c>
      <c r="D22">
        <f t="shared" si="2"/>
        <v>1.0406666666666009E-2</v>
      </c>
      <c r="E22">
        <f t="shared" si="3"/>
        <v>9.3933333333329205E-3</v>
      </c>
      <c r="F22">
        <v>251</v>
      </c>
      <c r="G22">
        <v>3239</v>
      </c>
      <c r="H22">
        <f t="shared" si="4"/>
        <v>2.3577266666665633</v>
      </c>
      <c r="I22">
        <f t="shared" si="0"/>
        <v>6.1758316666667188</v>
      </c>
      <c r="J22">
        <f t="shared" si="1"/>
        <v>1.9067093753216176</v>
      </c>
      <c r="K22">
        <f t="shared" si="5"/>
        <v>-2.9459999999999822E-4</v>
      </c>
      <c r="L22">
        <f t="shared" si="6"/>
        <v>-3.3599999999999852E-4</v>
      </c>
      <c r="M22">
        <f t="shared" si="7"/>
        <v>-3.1529999999999839E-4</v>
      </c>
      <c r="N22">
        <f t="shared" si="8"/>
        <v>1.3189398196802532E-3</v>
      </c>
      <c r="O22" s="3">
        <f t="shared" si="9"/>
        <v>13.189398196802532</v>
      </c>
    </row>
    <row r="23" spans="1:15" x14ac:dyDescent="0.25">
      <c r="A23">
        <v>600</v>
      </c>
      <c r="B23" s="3">
        <v>3.4242533333333336</v>
      </c>
      <c r="C23" s="3">
        <v>3.4326333333333334</v>
      </c>
      <c r="D23">
        <f t="shared" si="2"/>
        <v>8.379999999999832E-3</v>
      </c>
      <c r="E23">
        <f t="shared" si="3"/>
        <v>8.4233333333336713E-3</v>
      </c>
      <c r="F23">
        <v>240</v>
      </c>
      <c r="G23">
        <v>2767</v>
      </c>
      <c r="H23">
        <f t="shared" si="4"/>
        <v>2.0216000000000811</v>
      </c>
      <c r="I23">
        <f>I24+H23</f>
        <v>3.8181050000001555</v>
      </c>
      <c r="J23">
        <f t="shared" si="1"/>
        <v>1.3798717022046099</v>
      </c>
      <c r="K23">
        <f t="shared" si="5"/>
        <v>-2.3860000000000436E-4</v>
      </c>
      <c r="L23">
        <f t="shared" si="6"/>
        <v>-2.5799999999998936E-4</v>
      </c>
      <c r="M23">
        <f t="shared" si="7"/>
        <v>-2.4829999999999687E-4</v>
      </c>
      <c r="N23">
        <f t="shared" si="8"/>
        <v>1.2120664711522267E-3</v>
      </c>
      <c r="O23" s="3">
        <f t="shared" si="9"/>
        <v>12.120664711522268</v>
      </c>
    </row>
    <row r="24" spans="1:15" x14ac:dyDescent="0.25">
      <c r="A24">
        <v>650</v>
      </c>
      <c r="B24" s="3">
        <v>3.4132666666666664</v>
      </c>
      <c r="C24" s="3">
        <v>3.421733333333334</v>
      </c>
      <c r="D24">
        <f t="shared" si="2"/>
        <v>8.4666666666675106E-3</v>
      </c>
      <c r="E24">
        <f t="shared" si="3"/>
        <v>7.8450000000003239E-3</v>
      </c>
      <c r="F24">
        <v>229</v>
      </c>
      <c r="G24">
        <v>2129</v>
      </c>
      <c r="H24">
        <f t="shared" si="4"/>
        <v>1.7965050000000742</v>
      </c>
      <c r="I24">
        <f>H24</f>
        <v>1.7965050000000742</v>
      </c>
      <c r="J24">
        <f>(I24/G24)*1000</f>
        <v>0.84382573978397091</v>
      </c>
      <c r="K24">
        <f t="shared" si="5"/>
        <v>-1.9926666666666648E-4</v>
      </c>
      <c r="L24">
        <f t="shared" si="6"/>
        <v>-2.1083333333333343E-4</v>
      </c>
      <c r="M24">
        <f t="shared" si="7"/>
        <v>-2.0504999999999997E-4</v>
      </c>
      <c r="N24">
        <f t="shared" si="8"/>
        <v>8.9754750507017671E-4</v>
      </c>
      <c r="O24" s="3">
        <f t="shared" si="9"/>
        <v>8.9754750507017675</v>
      </c>
    </row>
    <row r="25" spans="1:15" x14ac:dyDescent="0.25">
      <c r="A25">
        <v>700</v>
      </c>
      <c r="B25" s="3">
        <v>3.4043266666666669</v>
      </c>
      <c r="C25" s="3">
        <v>3.4115500000000001</v>
      </c>
      <c r="D25">
        <f t="shared" si="2"/>
        <v>7.2233333333331373E-3</v>
      </c>
      <c r="E25">
        <f t="shared" si="3"/>
        <v>6.3933333333332509E-3</v>
      </c>
      <c r="F25" s="3">
        <v>216</v>
      </c>
      <c r="G25">
        <v>2130</v>
      </c>
      <c r="H25">
        <f t="shared" si="4"/>
        <v>1.3809599999999822</v>
      </c>
      <c r="I25">
        <f t="shared" ref="I25:I38" si="10">H25</f>
        <v>1.3809599999999822</v>
      </c>
      <c r="J25">
        <f t="shared" ref="J25:J38" si="11">(I25/G25)*1000</f>
        <v>0.64833802816900565</v>
      </c>
      <c r="K25">
        <f t="shared" si="5"/>
        <v>-1.6046666666666543E-4</v>
      </c>
      <c r="L25">
        <f t="shared" si="6"/>
        <v>-1.8950000000000688E-4</v>
      </c>
      <c r="M25">
        <f t="shared" si="7"/>
        <v>-1.7498333333333617E-4</v>
      </c>
      <c r="N25">
        <f t="shared" si="8"/>
        <v>8.081077267900232E-4</v>
      </c>
      <c r="O25" s="3">
        <f t="shared" si="9"/>
        <v>8.0810772679002323</v>
      </c>
    </row>
    <row r="26" spans="1:15" x14ac:dyDescent="0.25">
      <c r="A26">
        <v>750</v>
      </c>
      <c r="B26" s="3">
        <v>3.3972199999999999</v>
      </c>
      <c r="C26" s="3">
        <v>3.4027833333333333</v>
      </c>
      <c r="D26">
        <f t="shared" si="2"/>
        <v>5.5633333333333645E-3</v>
      </c>
      <c r="E26">
        <f t="shared" si="3"/>
        <v>5.4683333333336304E-3</v>
      </c>
      <c r="F26" s="3">
        <v>205</v>
      </c>
      <c r="G26">
        <v>2131</v>
      </c>
      <c r="H26">
        <f t="shared" si="4"/>
        <v>1.1210083333333942</v>
      </c>
      <c r="I26">
        <f t="shared" si="10"/>
        <v>1.1210083333333942</v>
      </c>
      <c r="J26">
        <f t="shared" si="11"/>
        <v>0.52604802127329631</v>
      </c>
      <c r="K26">
        <f t="shared" si="5"/>
        <v>-1.4533333333333954E-4</v>
      </c>
      <c r="L26">
        <f t="shared" si="6"/>
        <v>-1.6383333333333194E-4</v>
      </c>
      <c r="M26">
        <f t="shared" si="7"/>
        <v>-1.5458333333333573E-4</v>
      </c>
      <c r="N26">
        <f t="shared" si="8"/>
        <v>7.4221063379749407E-4</v>
      </c>
      <c r="O26" s="3">
        <f t="shared" si="9"/>
        <v>7.4221063379749408</v>
      </c>
    </row>
    <row r="27" spans="1:15" x14ac:dyDescent="0.25">
      <c r="A27">
        <v>800</v>
      </c>
      <c r="B27" s="3">
        <v>3.389793333333333</v>
      </c>
      <c r="C27" s="3">
        <v>3.3951666666666669</v>
      </c>
      <c r="D27">
        <f t="shared" si="2"/>
        <v>5.3733333333338962E-3</v>
      </c>
      <c r="E27">
        <f t="shared" si="3"/>
        <v>5.0250000000000572E-3</v>
      </c>
      <c r="F27" s="3">
        <v>192</v>
      </c>
      <c r="G27">
        <v>2132</v>
      </c>
      <c r="H27">
        <f t="shared" si="4"/>
        <v>0.96480000000001098</v>
      </c>
      <c r="I27">
        <f t="shared" si="10"/>
        <v>0.96480000000001098</v>
      </c>
      <c r="J27">
        <f t="shared" si="11"/>
        <v>0.45253283302064301</v>
      </c>
      <c r="K27">
        <f t="shared" si="5"/>
        <v>-1.3246666666665962E-4</v>
      </c>
      <c r="L27">
        <f t="shared" si="6"/>
        <v>-1.4133333333333109E-4</v>
      </c>
      <c r="M27">
        <f t="shared" si="7"/>
        <v>-1.3689999999999536E-4</v>
      </c>
      <c r="N27">
        <f t="shared" si="8"/>
        <v>7.209598756655524E-4</v>
      </c>
      <c r="O27" s="3">
        <f t="shared" si="9"/>
        <v>7.2095987566555237</v>
      </c>
    </row>
    <row r="28" spans="1:15" x14ac:dyDescent="0.25">
      <c r="A28">
        <v>850</v>
      </c>
      <c r="B28" s="3">
        <v>3.3839733333333339</v>
      </c>
      <c r="C28" s="3">
        <v>3.3886500000000002</v>
      </c>
      <c r="D28">
        <f t="shared" si="2"/>
        <v>4.6766666666662182E-3</v>
      </c>
      <c r="E28">
        <f t="shared" si="3"/>
        <v>4.0566666666663753E-3</v>
      </c>
      <c r="F28" s="3">
        <v>181</v>
      </c>
      <c r="G28">
        <v>2133</v>
      </c>
      <c r="H28">
        <f t="shared" si="4"/>
        <v>0.73425666666661393</v>
      </c>
      <c r="I28">
        <f t="shared" si="10"/>
        <v>0.73425666666661393</v>
      </c>
      <c r="J28">
        <f t="shared" si="11"/>
        <v>0.34423659946864227</v>
      </c>
      <c r="K28">
        <f t="shared" si="5"/>
        <v>-1.0146666666666082E-4</v>
      </c>
      <c r="L28">
        <f t="shared" si="6"/>
        <v>-1.2083333333333446E-4</v>
      </c>
      <c r="M28">
        <f t="shared" si="7"/>
        <v>-1.1114999999999763E-4</v>
      </c>
      <c r="N28">
        <f t="shared" si="8"/>
        <v>6.7547926902691445E-4</v>
      </c>
      <c r="O28" s="3">
        <f t="shared" si="9"/>
        <v>6.7547926902691442</v>
      </c>
    </row>
    <row r="29" spans="1:15" x14ac:dyDescent="0.25">
      <c r="A29">
        <v>900</v>
      </c>
      <c r="B29" s="3">
        <v>3.3796466666666669</v>
      </c>
      <c r="C29" s="3">
        <v>3.3830833333333334</v>
      </c>
      <c r="D29">
        <f t="shared" si="2"/>
        <v>3.4366666666665324E-3</v>
      </c>
      <c r="E29">
        <f t="shared" si="3"/>
        <v>2.9599999999998516E-3</v>
      </c>
      <c r="F29" s="3">
        <v>177</v>
      </c>
      <c r="G29">
        <v>2134</v>
      </c>
      <c r="H29">
        <f t="shared" si="4"/>
        <v>0.52391999999997374</v>
      </c>
      <c r="I29">
        <f t="shared" si="10"/>
        <v>0.52391999999997374</v>
      </c>
      <c r="J29">
        <f t="shared" si="11"/>
        <v>0.24551077788189957</v>
      </c>
      <c r="K29">
        <f t="shared" si="5"/>
        <v>-7.2066666666668062E-5</v>
      </c>
      <c r="L29">
        <f t="shared" si="6"/>
        <v>-9.3999999999998531E-5</v>
      </c>
      <c r="M29">
        <f t="shared" si="7"/>
        <v>-8.3033333333333296E-5</v>
      </c>
      <c r="N29">
        <f t="shared" si="8"/>
        <v>6.448853904886322E-4</v>
      </c>
      <c r="O29" s="3">
        <f t="shared" si="9"/>
        <v>6.448853904886322</v>
      </c>
    </row>
    <row r="30" spans="1:15" x14ac:dyDescent="0.25">
      <c r="A30">
        <v>950</v>
      </c>
      <c r="B30" s="3">
        <v>3.3767666666666671</v>
      </c>
      <c r="C30" s="3">
        <v>3.3792500000000003</v>
      </c>
      <c r="D30">
        <f t="shared" si="2"/>
        <v>2.4833333333331709E-3</v>
      </c>
      <c r="E30">
        <f t="shared" si="3"/>
        <v>2.1066666666669231E-3</v>
      </c>
      <c r="F30" s="3">
        <v>172</v>
      </c>
      <c r="G30">
        <v>2135</v>
      </c>
      <c r="H30">
        <f t="shared" si="4"/>
        <v>0.36234666666671078</v>
      </c>
      <c r="I30">
        <f t="shared" si="10"/>
        <v>0.36234666666671078</v>
      </c>
      <c r="J30">
        <f t="shared" si="11"/>
        <v>0.169717408274806</v>
      </c>
      <c r="K30">
        <f t="shared" si="5"/>
        <v>-4.1933333333341594E-5</v>
      </c>
      <c r="L30">
        <f t="shared" si="6"/>
        <v>-5.900000000000016E-5</v>
      </c>
      <c r="M30">
        <f t="shared" si="7"/>
        <v>-5.0466666666670877E-5</v>
      </c>
      <c r="N30">
        <f t="shared" si="8"/>
        <v>7.3347652626122432E-4</v>
      </c>
      <c r="O30" s="3">
        <f t="shared" si="9"/>
        <v>7.334765262612243</v>
      </c>
    </row>
    <row r="31" spans="1:15" x14ac:dyDescent="0.25">
      <c r="A31">
        <v>1000</v>
      </c>
      <c r="B31" s="3">
        <v>3.3754533333333328</v>
      </c>
      <c r="C31" s="3">
        <v>3.3771833333333334</v>
      </c>
      <c r="D31">
        <f t="shared" si="2"/>
        <v>1.7300000000006754E-3</v>
      </c>
      <c r="E31">
        <f t="shared" si="3"/>
        <v>2.3867948717952725E-3</v>
      </c>
      <c r="F31" s="3">
        <v>167</v>
      </c>
      <c r="G31">
        <v>2136</v>
      </c>
      <c r="H31">
        <f t="shared" si="4"/>
        <v>0.39859474358981051</v>
      </c>
      <c r="I31">
        <f t="shared" si="10"/>
        <v>0.39859474358981051</v>
      </c>
      <c r="J31">
        <f t="shared" si="11"/>
        <v>0.18660802602519216</v>
      </c>
      <c r="K31">
        <f t="shared" si="5"/>
        <v>-3.6435897435906919E-5</v>
      </c>
      <c r="L31">
        <f t="shared" si="6"/>
        <v>-3.0833333333339928E-5</v>
      </c>
      <c r="M31">
        <f t="shared" si="7"/>
        <v>-3.3634615384623424E-5</v>
      </c>
      <c r="N31">
        <f t="shared" si="8"/>
        <v>1.2100638918612755E-3</v>
      </c>
      <c r="O31" s="3">
        <f t="shared" si="9"/>
        <v>12.100638918612756</v>
      </c>
    </row>
    <row r="32" spans="1:15" x14ac:dyDescent="0.25">
      <c r="A32">
        <v>1050</v>
      </c>
      <c r="B32" s="3">
        <v>3.3731230769230764</v>
      </c>
      <c r="C32" s="3">
        <v>3.3761666666666663</v>
      </c>
      <c r="D32">
        <f t="shared" si="2"/>
        <v>3.0435897435898696E-3</v>
      </c>
      <c r="E32">
        <f t="shared" si="3"/>
        <v>3.1294871794871337E-3</v>
      </c>
      <c r="F32" s="3">
        <v>160</v>
      </c>
      <c r="G32">
        <v>2137</v>
      </c>
      <c r="H32">
        <f t="shared" si="4"/>
        <v>0.5007179487179414</v>
      </c>
      <c r="I32">
        <f t="shared" si="10"/>
        <v>0.5007179487179414</v>
      </c>
      <c r="J32">
        <f t="shared" si="11"/>
        <v>0.23430882017685606</v>
      </c>
      <c r="K32">
        <f t="shared" si="5"/>
        <v>-4.8687179487174604E-5</v>
      </c>
      <c r="L32">
        <f t="shared" si="6"/>
        <v>-3.3833333333337379E-5</v>
      </c>
      <c r="M32">
        <f t="shared" si="7"/>
        <v>-4.1260256410255992E-5</v>
      </c>
      <c r="N32">
        <f t="shared" si="8"/>
        <v>1.2385717310002674E-3</v>
      </c>
      <c r="O32" s="3">
        <f t="shared" si="9"/>
        <v>12.385717310002674</v>
      </c>
    </row>
    <row r="33" spans="1:15" x14ac:dyDescent="0.25">
      <c r="A33">
        <v>1100</v>
      </c>
      <c r="B33" s="3">
        <v>3.3705846153846153</v>
      </c>
      <c r="C33" s="3">
        <v>3.3737999999999997</v>
      </c>
      <c r="D33">
        <f t="shared" si="2"/>
        <v>3.2153846153843979E-3</v>
      </c>
      <c r="E33">
        <f t="shared" si="3"/>
        <v>2.7813286713285201E-3</v>
      </c>
      <c r="F33" s="3">
        <v>151</v>
      </c>
      <c r="G33">
        <v>2138</v>
      </c>
      <c r="H33">
        <f t="shared" si="4"/>
        <v>0.41998062937060654</v>
      </c>
      <c r="I33">
        <f t="shared" si="10"/>
        <v>0.41998062937060654</v>
      </c>
      <c r="J33">
        <f t="shared" si="11"/>
        <v>0.19643621579541931</v>
      </c>
      <c r="K33">
        <f t="shared" si="5"/>
        <v>-3.9503496503487945E-5</v>
      </c>
      <c r="L33">
        <f t="shared" si="6"/>
        <v>-4.6466666666660216E-5</v>
      </c>
      <c r="M33">
        <f t="shared" si="7"/>
        <v>-4.2985081585074081E-5</v>
      </c>
      <c r="N33">
        <f t="shared" si="8"/>
        <v>9.9670870809580509E-4</v>
      </c>
      <c r="O33" s="3">
        <f t="shared" si="9"/>
        <v>9.9670870809580503</v>
      </c>
    </row>
    <row r="34" spans="1:15" x14ac:dyDescent="0.25">
      <c r="A34">
        <v>1150</v>
      </c>
      <c r="B34" s="3">
        <v>3.3691727272727277</v>
      </c>
      <c r="C34" s="3">
        <v>3.3715200000000003</v>
      </c>
      <c r="D34">
        <f t="shared" si="2"/>
        <v>2.3472727272726424E-3</v>
      </c>
      <c r="E34">
        <f t="shared" si="3"/>
        <v>2.5836363636366766E-3</v>
      </c>
      <c r="F34" s="3">
        <v>145</v>
      </c>
      <c r="G34">
        <v>2139</v>
      </c>
      <c r="H34">
        <f t="shared" si="4"/>
        <v>0.37462727272731811</v>
      </c>
      <c r="I34">
        <f t="shared" si="10"/>
        <v>0.37462727272731811</v>
      </c>
      <c r="J34">
        <f t="shared" si="11"/>
        <v>0.17514131497303326</v>
      </c>
      <c r="K34">
        <f t="shared" si="5"/>
        <v>-3.0846153846155741E-5</v>
      </c>
      <c r="L34">
        <f t="shared" si="6"/>
        <v>-3.4799999999992613E-5</v>
      </c>
      <c r="M34">
        <f t="shared" si="7"/>
        <v>-3.2823076923074173E-5</v>
      </c>
      <c r="N34">
        <f t="shared" si="8"/>
        <v>1.1637877041085504E-3</v>
      </c>
      <c r="O34" s="3">
        <f t="shared" si="9"/>
        <v>11.637877041085504</v>
      </c>
    </row>
    <row r="35" spans="1:15" x14ac:dyDescent="0.25">
      <c r="A35">
        <v>1200</v>
      </c>
      <c r="B35" s="3">
        <v>3.3674999999999997</v>
      </c>
      <c r="C35" s="3">
        <v>3.3703200000000004</v>
      </c>
      <c r="D35">
        <f t="shared" si="2"/>
        <v>2.8200000000007108E-3</v>
      </c>
      <c r="E35">
        <f t="shared" si="3"/>
        <v>1.6650000000004717E-3</v>
      </c>
      <c r="F35" s="3">
        <v>137</v>
      </c>
      <c r="G35">
        <v>2140</v>
      </c>
      <c r="H35">
        <f t="shared" si="4"/>
        <v>0.22810500000006462</v>
      </c>
      <c r="I35">
        <f t="shared" si="10"/>
        <v>0.22810500000006462</v>
      </c>
      <c r="J35">
        <f t="shared" si="11"/>
        <v>0.10659112149535729</v>
      </c>
      <c r="K35">
        <f t="shared" si="5"/>
        <v>-2.4827272727279136E-5</v>
      </c>
      <c r="L35">
        <f t="shared" si="6"/>
        <v>-4.3200000000003239E-5</v>
      </c>
      <c r="M35">
        <f t="shared" si="7"/>
        <v>-3.4013636363641186E-5</v>
      </c>
      <c r="N35">
        <f t="shared" si="8"/>
        <v>6.8349039535257287E-4</v>
      </c>
      <c r="O35" s="3">
        <f t="shared" si="9"/>
        <v>6.8349039535257283</v>
      </c>
    </row>
    <row r="36" spans="1:15" x14ac:dyDescent="0.25">
      <c r="A36">
        <v>1250</v>
      </c>
      <c r="B36" s="3">
        <v>3.3666899999999997</v>
      </c>
      <c r="C36" s="3">
        <v>3.3672</v>
      </c>
      <c r="D36">
        <f t="shared" si="2"/>
        <v>5.1000000000023249E-4</v>
      </c>
      <c r="E36">
        <f t="shared" si="3"/>
        <v>3.5500000000010523E-4</v>
      </c>
      <c r="F36" s="3">
        <v>124</v>
      </c>
      <c r="G36">
        <v>2141</v>
      </c>
      <c r="H36">
        <f t="shared" si="4"/>
        <v>4.4020000000013049E-2</v>
      </c>
      <c r="I36">
        <f t="shared" si="10"/>
        <v>4.4020000000013049E-2</v>
      </c>
      <c r="J36">
        <f t="shared" si="11"/>
        <v>2.0560485754326504E-2</v>
      </c>
      <c r="K36">
        <f t="shared" si="5"/>
        <v>-1.6999999999995907E-5</v>
      </c>
      <c r="L36">
        <f t="shared" si="6"/>
        <v>-4.3200000000003239E-5</v>
      </c>
      <c r="M36">
        <f t="shared" si="7"/>
        <v>-3.0099999999999573E-5</v>
      </c>
      <c r="N36">
        <f t="shared" si="8"/>
        <v>1.4898115063660962E-4</v>
      </c>
      <c r="O36" s="3">
        <f t="shared" si="9"/>
        <v>1.4898115063660962</v>
      </c>
    </row>
    <row r="37" spans="1:15" x14ac:dyDescent="0.25">
      <c r="A37">
        <v>1300</v>
      </c>
      <c r="B37" s="3">
        <v>3.3658000000000001</v>
      </c>
      <c r="C37" s="3">
        <v>3.3660000000000001</v>
      </c>
      <c r="D37">
        <f t="shared" si="2"/>
        <v>1.9999999999997797E-4</v>
      </c>
      <c r="E37">
        <f t="shared" si="3"/>
        <v>-1.8333333333364621E-4</v>
      </c>
      <c r="F37" s="3">
        <v>101</v>
      </c>
      <c r="G37">
        <v>2142</v>
      </c>
      <c r="H37">
        <f t="shared" si="4"/>
        <v>-1.8516666666698267E-2</v>
      </c>
      <c r="I37">
        <f t="shared" si="10"/>
        <v>-1.8516666666698267E-2</v>
      </c>
      <c r="J37">
        <f t="shared" si="11"/>
        <v>-8.6445689387013389E-3</v>
      </c>
      <c r="K37">
        <f t="shared" si="5"/>
        <v>-1.2733333333327935E-5</v>
      </c>
      <c r="L37">
        <f t="shared" si="6"/>
        <v>-2.3500000000002963E-5</v>
      </c>
      <c r="M37">
        <f t="shared" si="7"/>
        <v>-1.8116666666665449E-5</v>
      </c>
      <c r="N37">
        <f t="shared" si="8"/>
        <v>-1.0407094477849225E-4</v>
      </c>
      <c r="O37" s="3">
        <f t="shared" si="9"/>
        <v>-1.0407094477849226</v>
      </c>
    </row>
    <row r="38" spans="1:15" x14ac:dyDescent="0.25">
      <c r="A38">
        <v>1350</v>
      </c>
      <c r="B38" s="3">
        <v>3.3654166666666669</v>
      </c>
      <c r="C38" s="3">
        <v>3.3648499999999997</v>
      </c>
      <c r="D38">
        <f t="shared" si="2"/>
        <v>-5.6666666666727039E-4</v>
      </c>
      <c r="E38">
        <f t="shared" si="3"/>
        <v>-2.833333333336352E-4</v>
      </c>
      <c r="F38" s="3">
        <v>67</v>
      </c>
      <c r="G38">
        <v>2143</v>
      </c>
      <c r="H38">
        <f t="shared" si="4"/>
        <v>-1.8983333333353558E-2</v>
      </c>
      <c r="I38">
        <f t="shared" si="10"/>
        <v>-1.8983333333353558E-2</v>
      </c>
      <c r="J38">
        <f t="shared" si="11"/>
        <v>-8.8582983356759494E-3</v>
      </c>
      <c r="K38">
        <f t="shared" si="5"/>
        <v>-5.4250000000002349E-5</v>
      </c>
      <c r="L38">
        <f t="shared" si="6"/>
        <v>-1.7000000000000349E-5</v>
      </c>
      <c r="M38">
        <f t="shared" si="7"/>
        <v>-3.5625000000001347E-5</v>
      </c>
      <c r="N38">
        <f t="shared" si="8"/>
        <v>-5.4232531662183827E-5</v>
      </c>
      <c r="O38" s="3">
        <f t="shared" si="9"/>
        <v>-0.54232531662183825</v>
      </c>
    </row>
    <row r="39" spans="1:15" x14ac:dyDescent="0.25">
      <c r="A39">
        <v>1400</v>
      </c>
      <c r="B39" s="3">
        <v>3.3603749999999999</v>
      </c>
      <c r="C39" s="3">
        <v>3.3643000000000001</v>
      </c>
      <c r="F39" s="3">
        <v>25.9</v>
      </c>
      <c r="O39" s="3"/>
    </row>
    <row r="40" spans="1:15" x14ac:dyDescent="0.25">
      <c r="B40" s="3"/>
      <c r="C40" s="3"/>
      <c r="D40" s="8"/>
      <c r="E40" s="8"/>
      <c r="F40" s="3"/>
      <c r="G40" s="9"/>
      <c r="O40" s="3"/>
    </row>
    <row r="41" spans="1:15" x14ac:dyDescent="0.25">
      <c r="B41" s="3"/>
      <c r="C41" s="3"/>
      <c r="D41" s="8"/>
      <c r="E41" s="8"/>
      <c r="F41" s="3"/>
      <c r="G41" s="9"/>
      <c r="O41" s="3"/>
    </row>
    <row r="42" spans="1:15" x14ac:dyDescent="0.25">
      <c r="B42" s="3"/>
      <c r="C42" s="3"/>
      <c r="D42" s="8"/>
      <c r="E42" s="8"/>
      <c r="F42" s="3"/>
      <c r="G42" s="9"/>
      <c r="O42" s="3"/>
    </row>
    <row r="43" spans="1:15" x14ac:dyDescent="0.25">
      <c r="B43" s="3"/>
      <c r="C43" s="3"/>
      <c r="D43" s="8"/>
      <c r="E43" s="8"/>
      <c r="F43" s="3"/>
      <c r="G43" s="9"/>
      <c r="O43" s="3"/>
    </row>
    <row r="44" spans="1:15" x14ac:dyDescent="0.25">
      <c r="B44" s="3"/>
      <c r="C44" s="3"/>
      <c r="D44" s="8"/>
      <c r="E44" s="8"/>
      <c r="F44" s="3"/>
      <c r="G44" s="9"/>
      <c r="O44" s="3"/>
    </row>
    <row r="45" spans="1:15" x14ac:dyDescent="0.25">
      <c r="B45" s="3"/>
      <c r="C45" s="3"/>
      <c r="D45" s="8"/>
      <c r="E45" s="8"/>
      <c r="F45" s="3"/>
      <c r="G45" s="9"/>
      <c r="O45" s="3"/>
    </row>
    <row r="46" spans="1:15" x14ac:dyDescent="0.25">
      <c r="B46" s="3"/>
      <c r="C46" s="3"/>
      <c r="D46" s="8"/>
      <c r="E46" s="8"/>
      <c r="F46" s="3"/>
      <c r="G46" s="9"/>
      <c r="O46" s="3"/>
    </row>
    <row r="47" spans="1:15" x14ac:dyDescent="0.25">
      <c r="B47" s="3"/>
      <c r="C47" s="3"/>
      <c r="D47" s="8"/>
      <c r="E47" s="8"/>
      <c r="F47" s="3"/>
      <c r="G47" s="9"/>
      <c r="O47" s="3"/>
    </row>
    <row r="48" spans="1:15" x14ac:dyDescent="0.25">
      <c r="B48" s="3"/>
      <c r="C48" s="3"/>
      <c r="D48" s="8"/>
      <c r="E48" s="8"/>
      <c r="F48" s="3"/>
      <c r="G48" s="9"/>
      <c r="O48" s="3"/>
    </row>
    <row r="49" spans="2:15" x14ac:dyDescent="0.25">
      <c r="B49" s="3"/>
      <c r="C49" s="3"/>
      <c r="D49" s="8"/>
      <c r="E49" s="8"/>
      <c r="F49" s="3"/>
      <c r="G49" s="9"/>
      <c r="O49" s="3"/>
    </row>
    <row r="50" spans="2:15" x14ac:dyDescent="0.25">
      <c r="B50" s="3"/>
      <c r="C50" s="3"/>
      <c r="D50" s="8"/>
      <c r="E50" s="8"/>
      <c r="F50" s="3"/>
      <c r="G50" s="9"/>
      <c r="O50" s="3"/>
    </row>
    <row r="51" spans="2:15" x14ac:dyDescent="0.25">
      <c r="B51" s="3"/>
      <c r="C51" s="3"/>
      <c r="D51" s="8"/>
      <c r="E51" s="8"/>
      <c r="F51" s="3"/>
      <c r="G51" s="9"/>
      <c r="O51" s="3"/>
    </row>
    <row r="52" spans="2:15" x14ac:dyDescent="0.25">
      <c r="B52" s="3"/>
      <c r="C52" s="3"/>
      <c r="D52" s="8"/>
      <c r="E52" s="8"/>
      <c r="F52" s="3"/>
      <c r="O52" s="3"/>
    </row>
    <row r="53" spans="2:15" x14ac:dyDescent="0.25">
      <c r="B53" s="3"/>
      <c r="C53" s="3"/>
      <c r="D53" s="8"/>
      <c r="E53" s="8"/>
      <c r="F53" s="3"/>
      <c r="G53" s="9"/>
      <c r="O53" s="3"/>
    </row>
    <row r="54" spans="2:15" x14ac:dyDescent="0.25">
      <c r="B54" s="3"/>
      <c r="C54" s="3"/>
      <c r="D54" s="8"/>
      <c r="E54" s="8"/>
      <c r="F54" s="3"/>
      <c r="G54" s="9"/>
      <c r="O54" s="3"/>
    </row>
    <row r="55" spans="2:15" x14ac:dyDescent="0.25">
      <c r="B55" s="3"/>
      <c r="C55" s="3"/>
      <c r="D55" s="8"/>
      <c r="E55" s="8"/>
      <c r="F55" s="3"/>
      <c r="G55" s="9"/>
      <c r="O55" s="3"/>
    </row>
    <row r="56" spans="2:15" x14ac:dyDescent="0.25">
      <c r="B56" s="3"/>
      <c r="C56" s="3"/>
      <c r="D56" s="8"/>
      <c r="E56" s="8"/>
      <c r="F56" s="3"/>
      <c r="G56" s="9"/>
      <c r="O56" s="3"/>
    </row>
    <row r="57" spans="2:15" x14ac:dyDescent="0.25">
      <c r="D57" s="8"/>
      <c r="E57" s="8"/>
      <c r="F57" s="3"/>
      <c r="G57" s="9"/>
      <c r="O57" s="3"/>
    </row>
    <row r="58" spans="2:15" x14ac:dyDescent="0.25">
      <c r="D58" s="8"/>
      <c r="E58" s="8"/>
      <c r="F58" s="3"/>
      <c r="G58" s="9"/>
      <c r="O58" s="3"/>
    </row>
    <row r="59" spans="2:15" x14ac:dyDescent="0.25">
      <c r="D59" s="8"/>
      <c r="E59" s="8"/>
      <c r="F59" s="3"/>
      <c r="G59" s="9"/>
      <c r="O59" s="3"/>
    </row>
    <row r="60" spans="2:15" x14ac:dyDescent="0.25">
      <c r="D60" s="8"/>
      <c r="E60" s="8"/>
      <c r="F60" s="3"/>
      <c r="G60" s="9"/>
      <c r="O60" s="3"/>
    </row>
    <row r="61" spans="2:15" x14ac:dyDescent="0.25">
      <c r="D61" s="8"/>
      <c r="E61" s="8"/>
      <c r="F61" s="3"/>
      <c r="G61" s="9"/>
      <c r="O61" s="3"/>
    </row>
    <row r="62" spans="2:15" x14ac:dyDescent="0.25">
      <c r="D62" s="8"/>
      <c r="E62" s="8"/>
      <c r="F62" s="3"/>
      <c r="G62" s="9"/>
      <c r="O62" s="3"/>
    </row>
    <row r="63" spans="2:15" x14ac:dyDescent="0.25">
      <c r="D63" s="8"/>
      <c r="E63" s="8"/>
      <c r="F63" s="3"/>
      <c r="G63" s="9"/>
      <c r="O63" s="3"/>
    </row>
    <row r="64" spans="2:15" x14ac:dyDescent="0.25">
      <c r="D64" s="8"/>
      <c r="E64" s="8"/>
      <c r="F64" s="3"/>
      <c r="G64" s="9"/>
      <c r="O64" s="3"/>
    </row>
    <row r="65" spans="4:15" x14ac:dyDescent="0.25">
      <c r="D65" s="8"/>
      <c r="E65" s="8"/>
      <c r="F65" s="3"/>
      <c r="G65" s="9"/>
      <c r="O65" s="3"/>
    </row>
    <row r="66" spans="4:15" x14ac:dyDescent="0.25">
      <c r="D66" s="8"/>
      <c r="E66" s="8"/>
      <c r="F66" s="3"/>
      <c r="G66" s="9"/>
      <c r="O66" s="3"/>
    </row>
    <row r="67" spans="4:15" x14ac:dyDescent="0.25">
      <c r="D67" s="8"/>
      <c r="E67" s="8"/>
      <c r="F67" s="3"/>
      <c r="G67" s="9"/>
      <c r="O67" s="3"/>
    </row>
    <row r="68" spans="4:15" x14ac:dyDescent="0.25">
      <c r="D68" s="8"/>
      <c r="E68" s="8"/>
      <c r="F68" s="3"/>
      <c r="G68" s="9"/>
      <c r="O68" s="3"/>
    </row>
    <row r="69" spans="4:15" x14ac:dyDescent="0.25">
      <c r="D69" s="8"/>
      <c r="E69" s="8"/>
      <c r="F69" s="3"/>
      <c r="G69" s="9"/>
      <c r="O69" s="3"/>
    </row>
    <row r="70" spans="4:15" x14ac:dyDescent="0.25">
      <c r="D70" s="8"/>
      <c r="E70" s="8"/>
      <c r="F70" s="3"/>
      <c r="G70" s="9"/>
      <c r="O70" s="3"/>
    </row>
    <row r="71" spans="4:15" x14ac:dyDescent="0.25">
      <c r="D71" s="8"/>
      <c r="E71" s="8"/>
      <c r="F71" s="3"/>
      <c r="G71" s="9"/>
      <c r="O71" s="3"/>
    </row>
    <row r="72" spans="4:15" x14ac:dyDescent="0.25">
      <c r="D72" s="8"/>
      <c r="E72" s="8"/>
      <c r="F72" s="3"/>
      <c r="G72" s="9"/>
      <c r="O72" s="3"/>
    </row>
    <row r="73" spans="4:15" x14ac:dyDescent="0.25">
      <c r="D73" s="8"/>
      <c r="E73" s="8"/>
      <c r="F73" s="3"/>
      <c r="G73" s="9"/>
      <c r="O73" s="3"/>
    </row>
    <row r="74" spans="4:15" x14ac:dyDescent="0.25">
      <c r="D74" s="8"/>
      <c r="E74" s="8"/>
      <c r="F74" s="3"/>
      <c r="G74" s="9"/>
      <c r="O74" s="3"/>
    </row>
    <row r="75" spans="4:15" x14ac:dyDescent="0.25">
      <c r="D75" s="8"/>
      <c r="E75" s="8"/>
      <c r="F75" s="3"/>
      <c r="G75" s="9"/>
      <c r="O75" s="3"/>
    </row>
    <row r="76" spans="4:15" x14ac:dyDescent="0.25">
      <c r="D76" s="8"/>
      <c r="E76" s="8"/>
      <c r="F76" s="3"/>
      <c r="G76" s="9"/>
      <c r="O76" s="3"/>
    </row>
    <row r="77" spans="4:15" x14ac:dyDescent="0.25">
      <c r="D77" s="8"/>
      <c r="E77" s="8"/>
      <c r="F77" s="3"/>
      <c r="O77" s="3"/>
    </row>
    <row r="78" spans="4:15" x14ac:dyDescent="0.25">
      <c r="D78" s="8"/>
      <c r="E78" s="8"/>
      <c r="F78" s="3"/>
      <c r="G78" s="9"/>
      <c r="O78" s="3"/>
    </row>
    <row r="79" spans="4:15" x14ac:dyDescent="0.25">
      <c r="D79" s="8"/>
      <c r="E79" s="8"/>
      <c r="F79" s="3"/>
      <c r="G79" s="9"/>
      <c r="O79" s="3"/>
    </row>
    <row r="80" spans="4:15" x14ac:dyDescent="0.25">
      <c r="D80" s="8"/>
      <c r="E80" s="8"/>
      <c r="F80" s="3"/>
      <c r="G80" s="9"/>
      <c r="O80" s="3"/>
    </row>
    <row r="81" spans="4:15" x14ac:dyDescent="0.25">
      <c r="D81" s="8"/>
      <c r="E81" s="8"/>
      <c r="F81" s="3"/>
      <c r="G81" s="9"/>
      <c r="O81" s="3"/>
    </row>
    <row r="82" spans="4:15" x14ac:dyDescent="0.25">
      <c r="D82" s="8"/>
      <c r="E82" s="8"/>
      <c r="F82" s="3"/>
      <c r="G82" s="9"/>
      <c r="O82" s="3"/>
    </row>
    <row r="83" spans="4:15" x14ac:dyDescent="0.25">
      <c r="D83" s="8"/>
      <c r="E83" s="8"/>
      <c r="F83" s="3"/>
      <c r="G83" s="9"/>
      <c r="O83" s="3"/>
    </row>
    <row r="84" spans="4:15" x14ac:dyDescent="0.25">
      <c r="D84" s="8"/>
      <c r="E84" s="8"/>
      <c r="F84" s="3"/>
      <c r="G84" s="9"/>
      <c r="O84" s="3"/>
    </row>
    <row r="85" spans="4:15" x14ac:dyDescent="0.25">
      <c r="D85" s="8"/>
      <c r="E85" s="8"/>
      <c r="F85" s="3"/>
      <c r="G85" s="9"/>
      <c r="O85" s="3"/>
    </row>
    <row r="86" spans="4:15" x14ac:dyDescent="0.25">
      <c r="D86" s="8"/>
      <c r="E86" s="8"/>
      <c r="F86" s="3"/>
      <c r="G86" s="9"/>
      <c r="O86" s="3"/>
    </row>
    <row r="87" spans="4:15" x14ac:dyDescent="0.25">
      <c r="D87" s="8"/>
      <c r="E87" s="8"/>
      <c r="F87" s="3"/>
      <c r="G87" s="9"/>
      <c r="O87" s="3"/>
    </row>
    <row r="88" spans="4:15" x14ac:dyDescent="0.25">
      <c r="D88" s="8"/>
      <c r="E88" s="8"/>
      <c r="F88" s="3"/>
      <c r="G88" s="9"/>
      <c r="O88" s="3"/>
    </row>
    <row r="89" spans="4:15" x14ac:dyDescent="0.25">
      <c r="D89" s="8"/>
      <c r="E89" s="8"/>
      <c r="F89" s="3"/>
      <c r="G89" s="9"/>
      <c r="O89" s="3"/>
    </row>
    <row r="90" spans="4:15" x14ac:dyDescent="0.25">
      <c r="D90" s="8"/>
      <c r="E90" s="8"/>
      <c r="F90" s="3"/>
      <c r="G90" s="9"/>
      <c r="O90" s="3"/>
    </row>
    <row r="91" spans="4:15" x14ac:dyDescent="0.25">
      <c r="D91" s="8"/>
      <c r="E91" s="8"/>
      <c r="F91" s="3"/>
      <c r="G91" s="9"/>
      <c r="O91" s="3"/>
    </row>
    <row r="92" spans="4:15" x14ac:dyDescent="0.25">
      <c r="D92" s="8"/>
      <c r="E92" s="8"/>
      <c r="F92" s="3"/>
      <c r="G92" s="9"/>
      <c r="O92" s="3"/>
    </row>
    <row r="93" spans="4:15" x14ac:dyDescent="0.25">
      <c r="D93" s="8"/>
      <c r="E93" s="8"/>
      <c r="F93" s="3"/>
      <c r="G93" s="9"/>
      <c r="O93" s="3"/>
    </row>
    <row r="94" spans="4:15" x14ac:dyDescent="0.25">
      <c r="D94" s="8"/>
      <c r="E94" s="8"/>
      <c r="F94" s="3"/>
      <c r="G94" s="9"/>
      <c r="O94" s="3"/>
    </row>
    <row r="95" spans="4:15" x14ac:dyDescent="0.25">
      <c r="D95" s="8"/>
      <c r="E95" s="8"/>
      <c r="F95" s="3"/>
      <c r="G95" s="9"/>
      <c r="O95" s="3"/>
    </row>
    <row r="96" spans="4:15" x14ac:dyDescent="0.25">
      <c r="D96" s="8"/>
      <c r="E96" s="8"/>
      <c r="F96" s="3"/>
      <c r="G96" s="9"/>
      <c r="O96" s="3"/>
    </row>
    <row r="97" spans="4:15" x14ac:dyDescent="0.25">
      <c r="D97" s="8"/>
      <c r="E97" s="8"/>
      <c r="F97" s="3"/>
      <c r="G97" s="9"/>
      <c r="O97" s="3"/>
    </row>
    <row r="98" spans="4:15" x14ac:dyDescent="0.25">
      <c r="D98" s="8"/>
      <c r="E98" s="8"/>
      <c r="F98" s="3"/>
      <c r="G98" s="9"/>
      <c r="O98" s="3"/>
    </row>
    <row r="99" spans="4:15" x14ac:dyDescent="0.25">
      <c r="D99" s="8"/>
      <c r="E99" s="8"/>
      <c r="F99" s="3"/>
      <c r="G99" s="9"/>
      <c r="O99" s="3"/>
    </row>
    <row r="100" spans="4:15" x14ac:dyDescent="0.25">
      <c r="D100" s="8"/>
      <c r="E100" s="8"/>
      <c r="F100" s="3"/>
      <c r="G100" s="9"/>
      <c r="O100" s="3"/>
    </row>
    <row r="101" spans="4:15" x14ac:dyDescent="0.25">
      <c r="D101" s="8"/>
      <c r="E101" s="8"/>
      <c r="F101" s="3"/>
      <c r="G101" s="9"/>
      <c r="O101" s="3"/>
    </row>
    <row r="102" spans="4:15" x14ac:dyDescent="0.25">
      <c r="D102" s="8"/>
      <c r="E102" s="8"/>
      <c r="F102" s="3"/>
      <c r="O102" s="3"/>
    </row>
    <row r="103" spans="4:15" x14ac:dyDescent="0.25">
      <c r="D103" s="8"/>
      <c r="E103" s="8"/>
      <c r="F103" s="3"/>
      <c r="G103" s="9"/>
      <c r="O103" s="3"/>
    </row>
    <row r="104" spans="4:15" x14ac:dyDescent="0.25">
      <c r="D104" s="8"/>
      <c r="E104" s="8"/>
      <c r="F104" s="3"/>
      <c r="G104" s="9"/>
      <c r="O104" s="3"/>
    </row>
    <row r="105" spans="4:15" x14ac:dyDescent="0.25">
      <c r="D105" s="8"/>
      <c r="E105" s="8"/>
      <c r="F105" s="3"/>
      <c r="G105" s="9"/>
      <c r="O105" s="3"/>
    </row>
    <row r="106" spans="4:15" x14ac:dyDescent="0.25">
      <c r="D106" s="8"/>
      <c r="E106" s="8"/>
      <c r="F106" s="3"/>
      <c r="G106" s="9"/>
      <c r="O106" s="3"/>
    </row>
    <row r="107" spans="4:15" x14ac:dyDescent="0.25">
      <c r="D107" s="8"/>
      <c r="E107" s="8"/>
      <c r="F107" s="3"/>
      <c r="G107" s="9"/>
      <c r="O107" s="3"/>
    </row>
    <row r="108" spans="4:15" x14ac:dyDescent="0.25">
      <c r="D108" s="8"/>
      <c r="E108" s="8"/>
      <c r="F108" s="3"/>
      <c r="G108" s="9"/>
      <c r="O108" s="3"/>
    </row>
    <row r="109" spans="4:15" x14ac:dyDescent="0.25">
      <c r="D109" s="8"/>
      <c r="E109" s="8"/>
      <c r="F109" s="3"/>
      <c r="G109" s="9"/>
      <c r="O109" s="3"/>
    </row>
    <row r="110" spans="4:15" x14ac:dyDescent="0.25">
      <c r="D110" s="8"/>
      <c r="E110" s="8"/>
      <c r="F110" s="3"/>
      <c r="G110" s="9"/>
      <c r="O110" s="3"/>
    </row>
    <row r="111" spans="4:15" x14ac:dyDescent="0.25">
      <c r="D111" s="8"/>
      <c r="E111" s="8"/>
      <c r="F111" s="3"/>
      <c r="G111" s="9"/>
      <c r="O111" s="3"/>
    </row>
    <row r="112" spans="4:15" x14ac:dyDescent="0.25">
      <c r="D112" s="8"/>
      <c r="E112" s="8"/>
      <c r="F112" s="3"/>
      <c r="G112" s="9"/>
      <c r="O112" s="3"/>
    </row>
    <row r="113" spans="4:15" x14ac:dyDescent="0.25">
      <c r="D113" s="8"/>
      <c r="E113" s="8"/>
      <c r="F113" s="3"/>
      <c r="G113" s="9"/>
      <c r="O113" s="3"/>
    </row>
    <row r="114" spans="4:15" x14ac:dyDescent="0.25">
      <c r="D114" s="8"/>
      <c r="E114" s="8"/>
      <c r="F114" s="3"/>
      <c r="G114" s="9"/>
      <c r="O114" s="3"/>
    </row>
    <row r="115" spans="4:15" x14ac:dyDescent="0.25">
      <c r="D115" s="8"/>
      <c r="E115" s="8"/>
      <c r="F115" s="3"/>
      <c r="G115" s="9"/>
      <c r="O115" s="3"/>
    </row>
    <row r="116" spans="4:15" x14ac:dyDescent="0.25">
      <c r="D116" s="8"/>
      <c r="E116" s="8"/>
      <c r="F116" s="3"/>
      <c r="G116" s="9"/>
      <c r="O116" s="3"/>
    </row>
    <row r="117" spans="4:15" x14ac:dyDescent="0.25">
      <c r="D117" s="8"/>
      <c r="E117" s="8"/>
      <c r="F117" s="3"/>
      <c r="G117" s="9"/>
      <c r="O117" s="3"/>
    </row>
    <row r="118" spans="4:15" x14ac:dyDescent="0.25">
      <c r="D118" s="8"/>
      <c r="E118" s="8"/>
      <c r="F118" s="3"/>
      <c r="G118" s="9"/>
      <c r="O118" s="3"/>
    </row>
    <row r="119" spans="4:15" x14ac:dyDescent="0.25">
      <c r="D119" s="8"/>
      <c r="E119" s="8"/>
      <c r="F119" s="3"/>
      <c r="G119" s="9"/>
      <c r="O119" s="3"/>
    </row>
    <row r="120" spans="4:15" x14ac:dyDescent="0.25">
      <c r="D120" s="8"/>
      <c r="E120" s="8"/>
      <c r="F120" s="3"/>
      <c r="G120" s="9"/>
      <c r="O120" s="3"/>
    </row>
    <row r="121" spans="4:15" x14ac:dyDescent="0.25">
      <c r="D121" s="8"/>
      <c r="E121" s="8"/>
      <c r="F121" s="3"/>
      <c r="G121" s="9"/>
      <c r="O121" s="3"/>
    </row>
    <row r="122" spans="4:15" x14ac:dyDescent="0.25">
      <c r="D122" s="8"/>
      <c r="E122" s="8"/>
      <c r="F122" s="3"/>
      <c r="G122" s="9"/>
      <c r="O122" s="3"/>
    </row>
    <row r="123" spans="4:15" x14ac:dyDescent="0.25">
      <c r="D123" s="8"/>
      <c r="E123" s="8"/>
      <c r="F123" s="3"/>
      <c r="G123" s="9"/>
      <c r="O123" s="3"/>
    </row>
    <row r="124" spans="4:15" x14ac:dyDescent="0.25">
      <c r="D124" s="8"/>
      <c r="E124" s="8"/>
      <c r="F124" s="3"/>
      <c r="G124" s="9"/>
      <c r="O124" s="3"/>
    </row>
    <row r="125" spans="4:15" x14ac:dyDescent="0.25">
      <c r="D125" s="8"/>
      <c r="E125" s="8"/>
      <c r="F125" s="3"/>
      <c r="G125" s="9"/>
      <c r="O125" s="3"/>
    </row>
    <row r="126" spans="4:15" x14ac:dyDescent="0.25">
      <c r="D126" s="8"/>
      <c r="E126" s="8"/>
      <c r="F126" s="3"/>
      <c r="G126" s="9"/>
      <c r="O126" s="3"/>
    </row>
    <row r="127" spans="4:15" x14ac:dyDescent="0.25">
      <c r="D127" s="8"/>
      <c r="E127" s="8"/>
      <c r="F127" s="3"/>
      <c r="O127" s="3"/>
    </row>
    <row r="128" spans="4:15" x14ac:dyDescent="0.25">
      <c r="D128" s="8"/>
      <c r="E128" s="8"/>
      <c r="F128" s="3"/>
      <c r="G128" s="9"/>
      <c r="O128" s="3"/>
    </row>
    <row r="129" spans="4:15" x14ac:dyDescent="0.25">
      <c r="D129" s="8"/>
      <c r="E129" s="8"/>
      <c r="F129" s="3"/>
      <c r="G129" s="9"/>
      <c r="O129" s="3"/>
    </row>
    <row r="130" spans="4:15" x14ac:dyDescent="0.25">
      <c r="D130" s="8"/>
      <c r="E130" s="8"/>
      <c r="F130" s="3"/>
      <c r="G130" s="9"/>
      <c r="O130" s="3"/>
    </row>
    <row r="131" spans="4:15" x14ac:dyDescent="0.25">
      <c r="D131" s="8"/>
      <c r="E131" s="8"/>
      <c r="F131" s="3"/>
      <c r="G131" s="9"/>
      <c r="O131" s="3"/>
    </row>
    <row r="132" spans="4:15" x14ac:dyDescent="0.25">
      <c r="D132" s="8"/>
      <c r="E132" s="8"/>
      <c r="F132" s="3"/>
      <c r="G132" s="9"/>
      <c r="O132" s="3"/>
    </row>
    <row r="133" spans="4:15" x14ac:dyDescent="0.25">
      <c r="D133" s="8"/>
      <c r="E133" s="8"/>
      <c r="F133" s="3"/>
      <c r="G133" s="9"/>
      <c r="O133" s="3"/>
    </row>
    <row r="134" spans="4:15" x14ac:dyDescent="0.25">
      <c r="D134" s="8"/>
      <c r="E134" s="8"/>
      <c r="F134" s="3"/>
      <c r="G134" s="9"/>
      <c r="O134" s="3"/>
    </row>
    <row r="135" spans="4:15" x14ac:dyDescent="0.25">
      <c r="D135" s="8"/>
      <c r="E135" s="8"/>
      <c r="F135" s="3"/>
      <c r="G135" s="9"/>
      <c r="O135" s="3"/>
    </row>
    <row r="136" spans="4:15" x14ac:dyDescent="0.25">
      <c r="D136" s="8"/>
      <c r="E136" s="8"/>
      <c r="F136" s="3"/>
      <c r="G136" s="9"/>
      <c r="O136" s="3"/>
    </row>
    <row r="137" spans="4:15" x14ac:dyDescent="0.25">
      <c r="D137" s="8"/>
      <c r="E137" s="8"/>
      <c r="F137" s="3"/>
      <c r="G137" s="9"/>
      <c r="O137" s="3"/>
    </row>
    <row r="138" spans="4:15" x14ac:dyDescent="0.25">
      <c r="D138" s="8"/>
      <c r="E138" s="8"/>
      <c r="F138" s="3"/>
      <c r="G138" s="9"/>
      <c r="O138" s="3"/>
    </row>
    <row r="139" spans="4:15" x14ac:dyDescent="0.25">
      <c r="D139" s="8"/>
      <c r="E139" s="8"/>
      <c r="F139" s="3"/>
      <c r="G139" s="9"/>
      <c r="O139" s="3"/>
    </row>
    <row r="140" spans="4:15" x14ac:dyDescent="0.25">
      <c r="D140" s="8"/>
      <c r="E140" s="8"/>
      <c r="F140" s="3"/>
      <c r="G140" s="9"/>
      <c r="O140" s="3"/>
    </row>
    <row r="141" spans="4:15" x14ac:dyDescent="0.25">
      <c r="D141" s="8"/>
      <c r="E141" s="8"/>
      <c r="F141" s="3"/>
      <c r="G141" s="9"/>
      <c r="O141" s="3"/>
    </row>
    <row r="142" spans="4:15" x14ac:dyDescent="0.25">
      <c r="D142" s="8"/>
      <c r="E142" s="8"/>
      <c r="F142" s="3"/>
      <c r="G142" s="9"/>
      <c r="O142" s="3"/>
    </row>
    <row r="143" spans="4:15" x14ac:dyDescent="0.25">
      <c r="D143" s="8"/>
      <c r="E143" s="8"/>
      <c r="F143" s="3"/>
      <c r="G143" s="9"/>
      <c r="O143" s="3"/>
    </row>
    <row r="144" spans="4:15" x14ac:dyDescent="0.25">
      <c r="D144" s="8"/>
      <c r="E144" s="8"/>
      <c r="F144" s="3"/>
      <c r="G144" s="9"/>
      <c r="O144" s="3"/>
    </row>
    <row r="145" spans="4:15" x14ac:dyDescent="0.25">
      <c r="D145" s="8"/>
      <c r="E145" s="8"/>
      <c r="F145" s="3"/>
      <c r="G145" s="9"/>
      <c r="O145" s="3"/>
    </row>
    <row r="146" spans="4:15" x14ac:dyDescent="0.25">
      <c r="D146" s="8"/>
      <c r="E146" s="8"/>
      <c r="F146" s="3"/>
      <c r="G146" s="9"/>
      <c r="O146" s="3"/>
    </row>
    <row r="147" spans="4:15" x14ac:dyDescent="0.25">
      <c r="D147" s="8"/>
      <c r="E147" s="8"/>
      <c r="F147" s="3"/>
      <c r="G147" s="9"/>
      <c r="O147" s="3"/>
    </row>
    <row r="148" spans="4:15" x14ac:dyDescent="0.25">
      <c r="D148" s="8"/>
      <c r="E148" s="8"/>
      <c r="F148" s="3"/>
      <c r="G148" s="9"/>
      <c r="O148" s="3"/>
    </row>
    <row r="149" spans="4:15" x14ac:dyDescent="0.25">
      <c r="D149" s="8"/>
      <c r="E149" s="8"/>
      <c r="F149" s="3"/>
      <c r="G149" s="9"/>
      <c r="O149" s="3"/>
    </row>
    <row r="150" spans="4:15" x14ac:dyDescent="0.25">
      <c r="D150" s="8"/>
      <c r="E150" s="8"/>
      <c r="F150" s="3"/>
      <c r="G150" s="9"/>
      <c r="O150" s="3"/>
    </row>
    <row r="151" spans="4:15" x14ac:dyDescent="0.25">
      <c r="D151" s="8"/>
      <c r="E151" s="8"/>
      <c r="F151" s="3"/>
      <c r="G151" s="9"/>
      <c r="O151" s="3"/>
    </row>
    <row r="152" spans="4:15" x14ac:dyDescent="0.25">
      <c r="D152" s="8"/>
      <c r="E152" s="8"/>
      <c r="F152" s="3"/>
      <c r="O152" s="3"/>
    </row>
    <row r="153" spans="4:15" x14ac:dyDescent="0.25">
      <c r="D153" s="8"/>
      <c r="E153" s="8"/>
      <c r="F153" s="3"/>
      <c r="G153" s="9"/>
      <c r="O153" s="3"/>
    </row>
    <row r="154" spans="4:15" x14ac:dyDescent="0.25">
      <c r="D154" s="8"/>
      <c r="E154" s="8"/>
      <c r="F154" s="3"/>
      <c r="G154" s="9"/>
      <c r="O154" s="3"/>
    </row>
    <row r="155" spans="4:15" x14ac:dyDescent="0.25">
      <c r="D155" s="8"/>
      <c r="E155" s="8"/>
      <c r="F155" s="3"/>
      <c r="G155" s="9"/>
      <c r="O155" s="3"/>
    </row>
    <row r="156" spans="4:15" x14ac:dyDescent="0.25">
      <c r="D156" s="8"/>
      <c r="E156" s="8"/>
      <c r="F156" s="3"/>
      <c r="G156" s="9"/>
      <c r="O156" s="3"/>
    </row>
    <row r="157" spans="4:15" x14ac:dyDescent="0.25">
      <c r="D157" s="8"/>
      <c r="E157" s="8"/>
      <c r="F157" s="3"/>
      <c r="G157" s="9"/>
      <c r="O157" s="3"/>
    </row>
    <row r="158" spans="4:15" x14ac:dyDescent="0.25">
      <c r="D158" s="8"/>
      <c r="E158" s="8"/>
      <c r="F158" s="3"/>
      <c r="G158" s="9"/>
      <c r="O158" s="3"/>
    </row>
    <row r="159" spans="4:15" x14ac:dyDescent="0.25">
      <c r="D159" s="8"/>
      <c r="E159" s="8"/>
      <c r="F159" s="3"/>
      <c r="G159" s="9"/>
      <c r="O159" s="3"/>
    </row>
    <row r="160" spans="4:15" x14ac:dyDescent="0.25">
      <c r="D160" s="8"/>
      <c r="E160" s="8"/>
      <c r="F160" s="3"/>
      <c r="G160" s="9"/>
      <c r="O160" s="3"/>
    </row>
    <row r="161" spans="4:15" x14ac:dyDescent="0.25">
      <c r="D161" s="8"/>
      <c r="E161" s="8"/>
      <c r="F161" s="3"/>
      <c r="G161" s="9"/>
      <c r="O161" s="3"/>
    </row>
    <row r="162" spans="4:15" x14ac:dyDescent="0.25">
      <c r="D162" s="8"/>
      <c r="E162" s="8"/>
      <c r="F162" s="3"/>
      <c r="G162" s="9"/>
      <c r="O162" s="3"/>
    </row>
    <row r="163" spans="4:15" x14ac:dyDescent="0.25">
      <c r="D163" s="8"/>
      <c r="E163" s="8"/>
      <c r="F163" s="3"/>
      <c r="G163" s="9"/>
      <c r="O163" s="3"/>
    </row>
    <row r="164" spans="4:15" x14ac:dyDescent="0.25">
      <c r="D164" s="8"/>
      <c r="E164" s="8"/>
      <c r="F164" s="3"/>
      <c r="G164" s="9"/>
      <c r="O164" s="3"/>
    </row>
    <row r="165" spans="4:15" x14ac:dyDescent="0.25">
      <c r="D165" s="8"/>
      <c r="E165" s="8"/>
      <c r="F165" s="3"/>
      <c r="G165" s="9"/>
      <c r="O165" s="3"/>
    </row>
    <row r="166" spans="4:15" x14ac:dyDescent="0.25">
      <c r="D166" s="8"/>
      <c r="E166" s="8"/>
      <c r="F166" s="3"/>
      <c r="G166" s="9"/>
      <c r="O166" s="3"/>
    </row>
    <row r="167" spans="4:15" x14ac:dyDescent="0.25">
      <c r="D167" s="8"/>
      <c r="E167" s="8"/>
      <c r="F167" s="3"/>
      <c r="G167" s="9"/>
      <c r="O167" s="3"/>
    </row>
    <row r="168" spans="4:15" x14ac:dyDescent="0.25">
      <c r="D168" s="8"/>
      <c r="E168" s="8"/>
      <c r="F168" s="3"/>
      <c r="G168" s="9"/>
      <c r="O168" s="3"/>
    </row>
    <row r="169" spans="4:15" x14ac:dyDescent="0.25">
      <c r="D169" s="8"/>
      <c r="E169" s="8"/>
      <c r="F169" s="3"/>
      <c r="G169" s="9"/>
      <c r="O169" s="3"/>
    </row>
    <row r="170" spans="4:15" x14ac:dyDescent="0.25">
      <c r="D170" s="8"/>
      <c r="E170" s="8"/>
      <c r="F170" s="3"/>
      <c r="G170" s="9"/>
      <c r="O170" s="3"/>
    </row>
    <row r="171" spans="4:15" x14ac:dyDescent="0.25">
      <c r="D171" s="8"/>
      <c r="E171" s="8"/>
      <c r="F171" s="3"/>
      <c r="G171" s="9"/>
      <c r="O171" s="3"/>
    </row>
    <row r="172" spans="4:15" x14ac:dyDescent="0.25">
      <c r="D172" s="8"/>
      <c r="E172" s="8"/>
      <c r="F172" s="3"/>
      <c r="G172" s="9"/>
      <c r="O172" s="3"/>
    </row>
    <row r="173" spans="4:15" x14ac:dyDescent="0.25">
      <c r="D173" s="8"/>
      <c r="E173" s="8"/>
      <c r="F173" s="3"/>
      <c r="G173" s="9"/>
      <c r="O173" s="3"/>
    </row>
    <row r="174" spans="4:15" x14ac:dyDescent="0.25">
      <c r="D174" s="8"/>
      <c r="E174" s="8"/>
      <c r="F174" s="3"/>
      <c r="G174" s="9"/>
      <c r="O174" s="3"/>
    </row>
    <row r="175" spans="4:15" x14ac:dyDescent="0.25">
      <c r="D175" s="8"/>
      <c r="E175" s="8"/>
      <c r="F175" s="3"/>
      <c r="G175" s="9"/>
      <c r="O175" s="3"/>
    </row>
    <row r="176" spans="4:15" x14ac:dyDescent="0.25">
      <c r="D176" s="8"/>
      <c r="E176" s="8"/>
      <c r="F176" s="3"/>
      <c r="G176" s="9"/>
      <c r="O176" s="3"/>
    </row>
    <row r="177" spans="4:15" x14ac:dyDescent="0.25">
      <c r="D177" s="8"/>
      <c r="E177" s="8"/>
      <c r="F177" s="3"/>
      <c r="O177" s="3"/>
    </row>
    <row r="178" spans="4:15" x14ac:dyDescent="0.25">
      <c r="D178" s="8"/>
      <c r="E178" s="8"/>
      <c r="F178" s="3"/>
      <c r="G178" s="9"/>
      <c r="O178" s="3"/>
    </row>
    <row r="179" spans="4:15" x14ac:dyDescent="0.25">
      <c r="D179" s="8"/>
      <c r="E179" s="8"/>
      <c r="F179" s="3"/>
      <c r="G179" s="9"/>
      <c r="O179" s="3"/>
    </row>
    <row r="180" spans="4:15" x14ac:dyDescent="0.25">
      <c r="D180" s="8"/>
      <c r="E180" s="8"/>
      <c r="F180" s="3"/>
      <c r="G180" s="9"/>
      <c r="O180" s="3"/>
    </row>
    <row r="181" spans="4:15" x14ac:dyDescent="0.25">
      <c r="D181" s="8"/>
      <c r="E181" s="8"/>
      <c r="F181" s="3"/>
      <c r="G181" s="9"/>
      <c r="O181" s="3"/>
    </row>
    <row r="182" spans="4:15" x14ac:dyDescent="0.25">
      <c r="D182" s="8"/>
      <c r="E182" s="8"/>
      <c r="F182" s="3"/>
      <c r="G182" s="9"/>
      <c r="O182" s="3"/>
    </row>
    <row r="183" spans="4:15" x14ac:dyDescent="0.25">
      <c r="D183" s="8"/>
      <c r="E183" s="8"/>
      <c r="F183" s="3"/>
      <c r="G183" s="9"/>
      <c r="O183" s="3"/>
    </row>
    <row r="184" spans="4:15" x14ac:dyDescent="0.25">
      <c r="D184" s="8"/>
      <c r="E184" s="8"/>
      <c r="F184" s="3"/>
      <c r="G184" s="9"/>
      <c r="O184" s="3"/>
    </row>
    <row r="185" spans="4:15" x14ac:dyDescent="0.25">
      <c r="D185" s="8"/>
      <c r="E185" s="8"/>
      <c r="F185" s="3"/>
      <c r="G185" s="9"/>
      <c r="O185" s="3"/>
    </row>
    <row r="186" spans="4:15" x14ac:dyDescent="0.25">
      <c r="D186" s="8"/>
      <c r="E186" s="8"/>
      <c r="F186" s="3"/>
      <c r="G186" s="9"/>
      <c r="O186" s="3"/>
    </row>
    <row r="187" spans="4:15" x14ac:dyDescent="0.25">
      <c r="D187" s="8"/>
      <c r="E187" s="8"/>
      <c r="F187" s="3"/>
      <c r="G187" s="9"/>
      <c r="O187" s="3"/>
    </row>
    <row r="188" spans="4:15" x14ac:dyDescent="0.25">
      <c r="D188" s="8"/>
      <c r="E188" s="8"/>
      <c r="F188" s="3"/>
      <c r="G188" s="9"/>
      <c r="O188" s="3"/>
    </row>
    <row r="189" spans="4:15" x14ac:dyDescent="0.25">
      <c r="D189" s="8"/>
      <c r="E189" s="8"/>
      <c r="F189" s="3"/>
      <c r="G189" s="9"/>
      <c r="O189" s="3"/>
    </row>
    <row r="190" spans="4:15" x14ac:dyDescent="0.25">
      <c r="D190" s="8"/>
      <c r="E190" s="8"/>
      <c r="F190" s="3"/>
      <c r="G190" s="9"/>
      <c r="O190" s="3"/>
    </row>
    <row r="191" spans="4:15" x14ac:dyDescent="0.25">
      <c r="D191" s="8"/>
      <c r="E191" s="8"/>
      <c r="F191" s="3"/>
      <c r="G191" s="9"/>
      <c r="O191" s="3"/>
    </row>
    <row r="192" spans="4:15" x14ac:dyDescent="0.25">
      <c r="D192" s="8"/>
      <c r="E192" s="8"/>
      <c r="F192" s="3"/>
      <c r="G192" s="9"/>
      <c r="O192" s="3"/>
    </row>
    <row r="193" spans="4:15" x14ac:dyDescent="0.25">
      <c r="D193" s="8"/>
      <c r="E193" s="8"/>
      <c r="F193" s="3"/>
      <c r="G193" s="9"/>
      <c r="O193" s="3"/>
    </row>
    <row r="194" spans="4:15" x14ac:dyDescent="0.25">
      <c r="D194" s="8"/>
      <c r="E194" s="8"/>
      <c r="F194" s="3"/>
      <c r="G194" s="9"/>
      <c r="O194" s="3"/>
    </row>
    <row r="195" spans="4:15" x14ac:dyDescent="0.25">
      <c r="D195" s="8"/>
      <c r="E195" s="8"/>
      <c r="F195" s="3"/>
      <c r="G195" s="9"/>
      <c r="O195" s="3"/>
    </row>
    <row r="196" spans="4:15" x14ac:dyDescent="0.25">
      <c r="D196" s="8"/>
      <c r="E196" s="8"/>
      <c r="F196" s="3"/>
      <c r="G196" s="9"/>
      <c r="O196" s="3"/>
    </row>
    <row r="197" spans="4:15" x14ac:dyDescent="0.25">
      <c r="D197" s="8"/>
      <c r="E197" s="8"/>
      <c r="F197" s="3"/>
      <c r="G197" s="9"/>
      <c r="O197" s="3"/>
    </row>
    <row r="198" spans="4:15" x14ac:dyDescent="0.25">
      <c r="D198" s="8"/>
      <c r="E198" s="8"/>
      <c r="F198" s="3"/>
      <c r="G198" s="9"/>
      <c r="O198" s="3"/>
    </row>
    <row r="199" spans="4:15" x14ac:dyDescent="0.25">
      <c r="D199" s="8"/>
      <c r="E199" s="8"/>
      <c r="F199" s="3"/>
      <c r="G199" s="9"/>
      <c r="O199" s="3"/>
    </row>
    <row r="200" spans="4:15" x14ac:dyDescent="0.25">
      <c r="D200" s="8"/>
      <c r="E200" s="8"/>
      <c r="F200" s="3"/>
      <c r="G200" s="9"/>
      <c r="O200" s="3"/>
    </row>
    <row r="201" spans="4:15" x14ac:dyDescent="0.25">
      <c r="D201" s="8"/>
      <c r="E201" s="8"/>
      <c r="F201" s="3"/>
      <c r="G201" s="9"/>
      <c r="O201" s="3"/>
    </row>
    <row r="202" spans="4:15" x14ac:dyDescent="0.25">
      <c r="D202" s="8"/>
      <c r="E202" s="8"/>
      <c r="F202" s="3"/>
      <c r="O202" s="3"/>
    </row>
    <row r="203" spans="4:15" x14ac:dyDescent="0.25">
      <c r="D203" s="8"/>
      <c r="E203" s="8"/>
      <c r="F203" s="3"/>
      <c r="G203" s="9"/>
      <c r="O203" s="3"/>
    </row>
    <row r="204" spans="4:15" x14ac:dyDescent="0.25">
      <c r="D204" s="8"/>
      <c r="E204" s="8"/>
      <c r="F204" s="3"/>
      <c r="G204" s="9"/>
      <c r="O204" s="3"/>
    </row>
    <row r="205" spans="4:15" x14ac:dyDescent="0.25">
      <c r="D205" s="8"/>
      <c r="E205" s="8"/>
      <c r="F205" s="3"/>
      <c r="G205" s="9"/>
      <c r="O205" s="3"/>
    </row>
    <row r="206" spans="4:15" x14ac:dyDescent="0.25">
      <c r="D206" s="8"/>
      <c r="E206" s="8"/>
      <c r="F206" s="3"/>
      <c r="G206" s="9"/>
      <c r="O206" s="3"/>
    </row>
    <row r="207" spans="4:15" x14ac:dyDescent="0.25">
      <c r="D207" s="8"/>
      <c r="E207" s="8"/>
      <c r="F207" s="3"/>
      <c r="G207" s="9"/>
      <c r="O207" s="3"/>
    </row>
    <row r="208" spans="4:15" x14ac:dyDescent="0.25">
      <c r="D208" s="8"/>
      <c r="E208" s="8"/>
      <c r="F208" s="3"/>
      <c r="G208" s="9"/>
      <c r="O208" s="3"/>
    </row>
    <row r="209" spans="4:15" x14ac:dyDescent="0.25">
      <c r="D209" s="8"/>
      <c r="E209" s="8"/>
      <c r="F209" s="3"/>
      <c r="G209" s="9"/>
      <c r="O209" s="3"/>
    </row>
    <row r="210" spans="4:15" x14ac:dyDescent="0.25">
      <c r="D210" s="8"/>
      <c r="E210" s="8"/>
      <c r="F210" s="3"/>
      <c r="G210" s="9"/>
      <c r="O210" s="3"/>
    </row>
    <row r="211" spans="4:15" x14ac:dyDescent="0.25">
      <c r="D211" s="8"/>
      <c r="E211" s="8"/>
      <c r="F211" s="3"/>
      <c r="G211" s="9"/>
      <c r="O211" s="3"/>
    </row>
    <row r="212" spans="4:15" x14ac:dyDescent="0.25">
      <c r="D212" s="8"/>
      <c r="E212" s="8"/>
      <c r="F212" s="3"/>
      <c r="G212" s="9"/>
      <c r="O212" s="3"/>
    </row>
    <row r="213" spans="4:15" x14ac:dyDescent="0.25">
      <c r="D213" s="8"/>
      <c r="E213" s="8"/>
      <c r="F213" s="3"/>
      <c r="G213" s="9"/>
      <c r="O213" s="3"/>
    </row>
    <row r="214" spans="4:15" x14ac:dyDescent="0.25">
      <c r="D214" s="8"/>
      <c r="E214" s="8"/>
      <c r="F214" s="3"/>
      <c r="G214" s="9"/>
      <c r="O214" s="3"/>
    </row>
    <row r="215" spans="4:15" x14ac:dyDescent="0.25">
      <c r="D215" s="8"/>
      <c r="E215" s="8"/>
      <c r="F215" s="3"/>
      <c r="G215" s="9"/>
      <c r="O215" s="3"/>
    </row>
    <row r="216" spans="4:15" x14ac:dyDescent="0.25">
      <c r="D216" s="8"/>
      <c r="E216" s="8"/>
      <c r="F216" s="3"/>
      <c r="G216" s="9"/>
      <c r="O216" s="3"/>
    </row>
    <row r="217" spans="4:15" x14ac:dyDescent="0.25">
      <c r="D217" s="8"/>
      <c r="E217" s="8"/>
      <c r="F217" s="3"/>
      <c r="G217" s="9"/>
      <c r="O217" s="3"/>
    </row>
    <row r="218" spans="4:15" x14ac:dyDescent="0.25">
      <c r="D218" s="8"/>
      <c r="E218" s="8"/>
      <c r="F218" s="3"/>
      <c r="G218" s="9"/>
      <c r="O218" s="3"/>
    </row>
    <row r="219" spans="4:15" x14ac:dyDescent="0.25">
      <c r="D219" s="8"/>
      <c r="E219" s="8"/>
      <c r="F219" s="3"/>
      <c r="G219" s="9"/>
      <c r="O219" s="3"/>
    </row>
    <row r="220" spans="4:15" x14ac:dyDescent="0.25">
      <c r="D220" s="8"/>
      <c r="E220" s="8"/>
      <c r="F220" s="3"/>
      <c r="G220" s="9"/>
      <c r="O220" s="3"/>
    </row>
    <row r="221" spans="4:15" x14ac:dyDescent="0.25">
      <c r="D221" s="8"/>
      <c r="E221" s="8"/>
      <c r="F221" s="3"/>
      <c r="G221" s="9"/>
      <c r="O221" s="3"/>
    </row>
    <row r="222" spans="4:15" x14ac:dyDescent="0.25">
      <c r="D222" s="8"/>
      <c r="E222" s="8"/>
      <c r="F222" s="3"/>
      <c r="G222" s="9"/>
      <c r="O222" s="3"/>
    </row>
    <row r="223" spans="4:15" x14ac:dyDescent="0.25">
      <c r="D223" s="8"/>
      <c r="E223" s="8"/>
      <c r="F223" s="3"/>
      <c r="G223" s="9"/>
      <c r="O223" s="3"/>
    </row>
    <row r="224" spans="4:15" x14ac:dyDescent="0.25">
      <c r="D224" s="8"/>
      <c r="E224" s="8"/>
      <c r="F224" s="3"/>
      <c r="G224" s="9"/>
      <c r="O224" s="3"/>
    </row>
    <row r="225" spans="4:15" x14ac:dyDescent="0.25">
      <c r="D225" s="8"/>
      <c r="E225" s="8"/>
      <c r="F225" s="3"/>
      <c r="G225" s="9"/>
      <c r="O225" s="3"/>
    </row>
    <row r="226" spans="4:15" x14ac:dyDescent="0.25">
      <c r="D226" s="8"/>
      <c r="E226" s="8"/>
      <c r="F226" s="3"/>
      <c r="G226" s="9"/>
      <c r="O226" s="3"/>
    </row>
    <row r="227" spans="4:15" x14ac:dyDescent="0.25">
      <c r="D227" s="8"/>
      <c r="E227" s="8"/>
      <c r="F227" s="3"/>
      <c r="O227" s="3"/>
    </row>
    <row r="228" spans="4:15" x14ac:dyDescent="0.25">
      <c r="D228" s="8"/>
      <c r="E228" s="8"/>
      <c r="F228" s="3"/>
      <c r="G228" s="9"/>
      <c r="O228" s="3"/>
    </row>
    <row r="229" spans="4:15" x14ac:dyDescent="0.25">
      <c r="D229" s="8"/>
      <c r="E229" s="8"/>
      <c r="F229" s="3"/>
      <c r="G229" s="9"/>
      <c r="O229" s="3"/>
    </row>
    <row r="230" spans="4:15" x14ac:dyDescent="0.25">
      <c r="D230" s="8"/>
      <c r="E230" s="8"/>
      <c r="F230" s="3"/>
      <c r="G230" s="9"/>
      <c r="O230" s="3"/>
    </row>
    <row r="231" spans="4:15" x14ac:dyDescent="0.25">
      <c r="D231" s="8"/>
      <c r="E231" s="8"/>
      <c r="F231" s="3"/>
      <c r="G231" s="9"/>
      <c r="O231" s="3"/>
    </row>
    <row r="232" spans="4:15" x14ac:dyDescent="0.25">
      <c r="D232" s="8"/>
      <c r="E232" s="8"/>
      <c r="F232" s="3"/>
      <c r="G232" s="9"/>
      <c r="O232" s="3"/>
    </row>
    <row r="233" spans="4:15" x14ac:dyDescent="0.25">
      <c r="D233" s="8"/>
      <c r="E233" s="8"/>
      <c r="F233" s="3"/>
      <c r="G233" s="9"/>
      <c r="O233" s="3"/>
    </row>
    <row r="234" spans="4:15" x14ac:dyDescent="0.25">
      <c r="D234" s="8"/>
      <c r="E234" s="8"/>
      <c r="F234" s="3"/>
      <c r="G234" s="9"/>
      <c r="O234" s="3"/>
    </row>
    <row r="235" spans="4:15" x14ac:dyDescent="0.25">
      <c r="D235" s="8"/>
      <c r="E235" s="8"/>
      <c r="F235" s="3"/>
      <c r="G235" s="9"/>
      <c r="O235" s="3"/>
    </row>
    <row r="236" spans="4:15" x14ac:dyDescent="0.25">
      <c r="D236" s="8"/>
      <c r="E236" s="8"/>
      <c r="F236" s="3"/>
      <c r="G236" s="9"/>
      <c r="O236" s="3"/>
    </row>
    <row r="237" spans="4:15" x14ac:dyDescent="0.25">
      <c r="D237" s="8"/>
      <c r="E237" s="8"/>
      <c r="F237" s="3"/>
      <c r="G237" s="9"/>
      <c r="O237" s="3"/>
    </row>
    <row r="238" spans="4:15" x14ac:dyDescent="0.25">
      <c r="D238" s="8"/>
      <c r="E238" s="8"/>
      <c r="F238" s="3"/>
      <c r="G238" s="9"/>
      <c r="O238" s="3"/>
    </row>
    <row r="239" spans="4:15" x14ac:dyDescent="0.25">
      <c r="D239" s="8"/>
      <c r="E239" s="8"/>
      <c r="F239" s="3"/>
      <c r="G239" s="9"/>
      <c r="O239" s="3"/>
    </row>
    <row r="240" spans="4:15" x14ac:dyDescent="0.25">
      <c r="D240" s="8"/>
      <c r="E240" s="8"/>
      <c r="F240" s="3"/>
      <c r="G240" s="9"/>
      <c r="O240" s="3"/>
    </row>
    <row r="241" spans="4:15" x14ac:dyDescent="0.25">
      <c r="D241" s="8"/>
      <c r="E241" s="8"/>
      <c r="F241" s="3"/>
      <c r="G241" s="9"/>
      <c r="O241" s="3"/>
    </row>
    <row r="242" spans="4:15" x14ac:dyDescent="0.25">
      <c r="D242" s="8"/>
      <c r="E242" s="8"/>
      <c r="F242" s="3"/>
      <c r="G242" s="9"/>
      <c r="O242" s="3"/>
    </row>
    <row r="243" spans="4:15" x14ac:dyDescent="0.25">
      <c r="D243" s="8"/>
      <c r="E243" s="8"/>
      <c r="F243" s="3"/>
      <c r="G243" s="9"/>
      <c r="O243" s="3"/>
    </row>
    <row r="244" spans="4:15" x14ac:dyDescent="0.25">
      <c r="D244" s="8"/>
      <c r="E244" s="8"/>
      <c r="F244" s="3"/>
      <c r="G244" s="9"/>
      <c r="O244" s="3"/>
    </row>
    <row r="245" spans="4:15" x14ac:dyDescent="0.25">
      <c r="D245" s="8"/>
      <c r="E245" s="8"/>
      <c r="F245" s="3"/>
      <c r="G245" s="9"/>
      <c r="O245" s="3"/>
    </row>
    <row r="246" spans="4:15" x14ac:dyDescent="0.25">
      <c r="D246" s="8"/>
      <c r="E246" s="8"/>
      <c r="F246" s="3"/>
      <c r="G246" s="9"/>
      <c r="O246" s="3"/>
    </row>
    <row r="247" spans="4:15" x14ac:dyDescent="0.25">
      <c r="D247" s="8"/>
      <c r="E247" s="8"/>
      <c r="F247" s="3"/>
      <c r="G247" s="9"/>
      <c r="O247" s="3"/>
    </row>
    <row r="248" spans="4:15" x14ac:dyDescent="0.25">
      <c r="D248" s="8"/>
      <c r="E248" s="8"/>
      <c r="F248" s="3"/>
      <c r="G248" s="9"/>
      <c r="O248" s="3"/>
    </row>
    <row r="249" spans="4:15" x14ac:dyDescent="0.25">
      <c r="D249" s="8"/>
      <c r="E249" s="8"/>
      <c r="F249" s="3"/>
      <c r="G249" s="9"/>
      <c r="O249" s="3"/>
    </row>
    <row r="250" spans="4:15" x14ac:dyDescent="0.25">
      <c r="D250" s="8"/>
      <c r="E250" s="8"/>
      <c r="F250" s="3"/>
      <c r="G250" s="9"/>
      <c r="O250" s="3"/>
    </row>
    <row r="251" spans="4:15" x14ac:dyDescent="0.25">
      <c r="D251" s="8"/>
      <c r="E251" s="8"/>
      <c r="F251" s="3"/>
      <c r="G251" s="9"/>
      <c r="O251" s="3"/>
    </row>
    <row r="252" spans="4:15" x14ac:dyDescent="0.25">
      <c r="D252" s="8"/>
      <c r="E252" s="8"/>
      <c r="F252" s="3"/>
      <c r="O252" s="3"/>
    </row>
    <row r="253" spans="4:15" x14ac:dyDescent="0.25">
      <c r="D253" s="8"/>
      <c r="E253" s="8"/>
      <c r="F253" s="3"/>
      <c r="G253" s="9"/>
      <c r="O253" s="3"/>
    </row>
    <row r="254" spans="4:15" x14ac:dyDescent="0.25">
      <c r="D254" s="8"/>
      <c r="E254" s="8"/>
      <c r="F254" s="3"/>
      <c r="G254" s="9"/>
      <c r="O254" s="3"/>
    </row>
    <row r="255" spans="4:15" x14ac:dyDescent="0.25">
      <c r="D255" s="8"/>
      <c r="E255" s="8"/>
      <c r="F255" s="3"/>
      <c r="G255" s="9"/>
      <c r="O255" s="3"/>
    </row>
    <row r="256" spans="4:15" x14ac:dyDescent="0.25">
      <c r="D256" s="8"/>
      <c r="E256" s="8"/>
      <c r="F256" s="3"/>
      <c r="G256" s="9"/>
      <c r="O256" s="3"/>
    </row>
    <row r="257" spans="4:15" x14ac:dyDescent="0.25">
      <c r="D257" s="8"/>
      <c r="E257" s="8"/>
      <c r="F257" s="3"/>
      <c r="G257" s="9"/>
      <c r="O257" s="3"/>
    </row>
    <row r="258" spans="4:15" x14ac:dyDescent="0.25">
      <c r="D258" s="8"/>
      <c r="E258" s="8"/>
      <c r="F258" s="3"/>
      <c r="G258" s="9"/>
      <c r="O258" s="3"/>
    </row>
    <row r="259" spans="4:15" x14ac:dyDescent="0.25">
      <c r="D259" s="8"/>
      <c r="E259" s="8"/>
      <c r="F259" s="3"/>
      <c r="G259" s="9"/>
      <c r="O259" s="3"/>
    </row>
    <row r="260" spans="4:15" x14ac:dyDescent="0.25">
      <c r="D260" s="8"/>
      <c r="E260" s="8"/>
      <c r="F260" s="3"/>
      <c r="G260" s="9"/>
      <c r="O260" s="3"/>
    </row>
    <row r="261" spans="4:15" x14ac:dyDescent="0.25">
      <c r="D261" s="8"/>
      <c r="E261" s="8"/>
      <c r="F261" s="3"/>
      <c r="G261" s="9"/>
      <c r="O261" s="3"/>
    </row>
    <row r="262" spans="4:15" x14ac:dyDescent="0.25">
      <c r="D262" s="8"/>
      <c r="E262" s="8"/>
      <c r="F262" s="3"/>
      <c r="G262" s="9"/>
      <c r="O262" s="3"/>
    </row>
    <row r="263" spans="4:15" x14ac:dyDescent="0.25">
      <c r="D263" s="8"/>
      <c r="E263" s="8"/>
      <c r="F263" s="3"/>
      <c r="G263" s="9"/>
      <c r="O263" s="3"/>
    </row>
    <row r="264" spans="4:15" x14ac:dyDescent="0.25">
      <c r="D264" s="8"/>
      <c r="E264" s="8"/>
      <c r="F264" s="3"/>
      <c r="G264" s="9"/>
      <c r="O264" s="3"/>
    </row>
    <row r="265" spans="4:15" x14ac:dyDescent="0.25">
      <c r="D265" s="8"/>
      <c r="E265" s="8"/>
      <c r="F265" s="3"/>
      <c r="G265" s="9"/>
      <c r="O265" s="3"/>
    </row>
    <row r="266" spans="4:15" x14ac:dyDescent="0.25">
      <c r="D266" s="8"/>
      <c r="E266" s="8"/>
      <c r="F266" s="3"/>
      <c r="G266" s="9"/>
      <c r="O266" s="3"/>
    </row>
    <row r="267" spans="4:15" x14ac:dyDescent="0.25">
      <c r="D267" s="8"/>
      <c r="E267" s="8"/>
      <c r="F267" s="3"/>
      <c r="G267" s="9"/>
      <c r="O267" s="3"/>
    </row>
    <row r="268" spans="4:15" x14ac:dyDescent="0.25">
      <c r="D268" s="8"/>
      <c r="E268" s="8"/>
      <c r="F268" s="3"/>
      <c r="G268" s="9"/>
      <c r="O268" s="3"/>
    </row>
    <row r="269" spans="4:15" x14ac:dyDescent="0.25">
      <c r="D269" s="8"/>
      <c r="E269" s="8"/>
      <c r="F269" s="3"/>
      <c r="G269" s="9"/>
      <c r="O269" s="3"/>
    </row>
    <row r="270" spans="4:15" x14ac:dyDescent="0.25">
      <c r="D270" s="8"/>
      <c r="E270" s="8"/>
      <c r="F270" s="3"/>
      <c r="G270" s="9"/>
      <c r="O270" s="3"/>
    </row>
    <row r="271" spans="4:15" x14ac:dyDescent="0.25">
      <c r="D271" s="8"/>
      <c r="E271" s="8"/>
      <c r="F271" s="3"/>
      <c r="G271" s="9"/>
      <c r="O271" s="3"/>
    </row>
    <row r="272" spans="4:15" x14ac:dyDescent="0.25">
      <c r="D272" s="8"/>
      <c r="E272" s="8"/>
      <c r="F272" s="3"/>
      <c r="G272" s="9"/>
      <c r="O272" s="3"/>
    </row>
    <row r="273" spans="4:15" x14ac:dyDescent="0.25">
      <c r="D273" s="8"/>
      <c r="E273" s="8"/>
      <c r="F273" s="3"/>
      <c r="G273" s="9"/>
      <c r="O273" s="3"/>
    </row>
    <row r="274" spans="4:15" x14ac:dyDescent="0.25">
      <c r="D274" s="8"/>
      <c r="E274" s="8"/>
      <c r="F274" s="3"/>
      <c r="G274" s="9"/>
      <c r="O274" s="3"/>
    </row>
    <row r="275" spans="4:15" x14ac:dyDescent="0.25">
      <c r="D275" s="8"/>
      <c r="E275" s="8"/>
      <c r="F275" s="3"/>
      <c r="G275" s="9"/>
      <c r="O275" s="3"/>
    </row>
    <row r="276" spans="4:15" x14ac:dyDescent="0.25">
      <c r="D276" s="8"/>
      <c r="E276" s="8"/>
      <c r="F276" s="3"/>
      <c r="G276" s="9"/>
      <c r="O276" s="3"/>
    </row>
    <row r="277" spans="4:15" x14ac:dyDescent="0.25">
      <c r="D277" s="8"/>
      <c r="E277" s="8"/>
      <c r="F277" s="3"/>
      <c r="O277" s="3"/>
    </row>
    <row r="278" spans="4:15" x14ac:dyDescent="0.25">
      <c r="D278" s="8"/>
      <c r="E278" s="8"/>
      <c r="F278" s="3"/>
      <c r="G278" s="9"/>
      <c r="O278" s="3"/>
    </row>
    <row r="279" spans="4:15" x14ac:dyDescent="0.25">
      <c r="D279" s="8"/>
      <c r="E279" s="8"/>
      <c r="F279" s="3"/>
      <c r="G279" s="9"/>
      <c r="O279" s="3"/>
    </row>
    <row r="280" spans="4:15" x14ac:dyDescent="0.25">
      <c r="D280" s="8"/>
      <c r="E280" s="8"/>
      <c r="F280" s="3"/>
      <c r="G280" s="9"/>
      <c r="O280" s="3"/>
    </row>
    <row r="281" spans="4:15" x14ac:dyDescent="0.25">
      <c r="D281" s="8"/>
      <c r="E281" s="8"/>
      <c r="F281" s="3"/>
      <c r="G281" s="9"/>
      <c r="O281" s="3"/>
    </row>
    <row r="282" spans="4:15" x14ac:dyDescent="0.25">
      <c r="D282" s="8"/>
      <c r="E282" s="8"/>
      <c r="F282" s="3"/>
      <c r="G282" s="9"/>
      <c r="O282" s="3"/>
    </row>
    <row r="283" spans="4:15" x14ac:dyDescent="0.25">
      <c r="D283" s="8"/>
      <c r="E283" s="8"/>
      <c r="F283" s="3"/>
      <c r="G283" s="9"/>
      <c r="O283" s="3"/>
    </row>
    <row r="284" spans="4:15" x14ac:dyDescent="0.25">
      <c r="D284" s="8"/>
      <c r="E284" s="8"/>
      <c r="F284" s="3"/>
      <c r="G284" s="9"/>
      <c r="O284" s="3"/>
    </row>
    <row r="285" spans="4:15" x14ac:dyDescent="0.25">
      <c r="D285" s="8"/>
      <c r="E285" s="8"/>
      <c r="F285" s="3"/>
      <c r="G285" s="9"/>
      <c r="O285" s="3"/>
    </row>
    <row r="286" spans="4:15" x14ac:dyDescent="0.25">
      <c r="D286" s="8"/>
      <c r="E286" s="8"/>
      <c r="F286" s="3"/>
      <c r="G286" s="9"/>
      <c r="O286" s="3"/>
    </row>
    <row r="287" spans="4:15" x14ac:dyDescent="0.25">
      <c r="D287" s="8"/>
      <c r="E287" s="8"/>
      <c r="F287" s="3"/>
      <c r="G287" s="9"/>
      <c r="O287" s="3"/>
    </row>
    <row r="288" spans="4:15" x14ac:dyDescent="0.25">
      <c r="D288" s="8"/>
      <c r="E288" s="8"/>
      <c r="F288" s="3"/>
      <c r="G288" s="9"/>
      <c r="O288" s="3"/>
    </row>
    <row r="289" spans="4:15" x14ac:dyDescent="0.25">
      <c r="D289" s="8"/>
      <c r="E289" s="8"/>
      <c r="F289" s="3"/>
      <c r="G289" s="9"/>
      <c r="O289" s="3"/>
    </row>
    <row r="290" spans="4:15" x14ac:dyDescent="0.25">
      <c r="D290" s="8"/>
      <c r="E290" s="8"/>
      <c r="F290" s="3"/>
      <c r="G290" s="9"/>
      <c r="O290" s="3"/>
    </row>
    <row r="291" spans="4:15" x14ac:dyDescent="0.25">
      <c r="D291" s="8"/>
      <c r="E291" s="8"/>
      <c r="F291" s="3"/>
      <c r="G291" s="9"/>
      <c r="O291" s="3"/>
    </row>
    <row r="292" spans="4:15" x14ac:dyDescent="0.25">
      <c r="D292" s="8"/>
      <c r="E292" s="8"/>
      <c r="F292" s="3"/>
      <c r="G292" s="9"/>
      <c r="O292" s="3"/>
    </row>
    <row r="293" spans="4:15" x14ac:dyDescent="0.25">
      <c r="D293" s="8"/>
      <c r="E293" s="8"/>
      <c r="F293" s="3"/>
      <c r="G293" s="9"/>
      <c r="O293" s="3"/>
    </row>
    <row r="294" spans="4:15" x14ac:dyDescent="0.25">
      <c r="D294" s="8"/>
      <c r="E294" s="8"/>
      <c r="F294" s="3"/>
      <c r="G294" s="9"/>
      <c r="O294" s="3"/>
    </row>
    <row r="295" spans="4:15" x14ac:dyDescent="0.25">
      <c r="D295" s="8"/>
      <c r="E295" s="8"/>
      <c r="F295" s="3"/>
      <c r="G295" s="9"/>
      <c r="O295" s="3"/>
    </row>
    <row r="296" spans="4:15" x14ac:dyDescent="0.25">
      <c r="D296" s="8"/>
      <c r="E296" s="8"/>
      <c r="F296" s="3"/>
      <c r="G296" s="9"/>
      <c r="O296" s="3"/>
    </row>
    <row r="297" spans="4:15" x14ac:dyDescent="0.25">
      <c r="D297" s="8"/>
      <c r="E297" s="8"/>
      <c r="F297" s="3"/>
      <c r="G297" s="9"/>
      <c r="O297" s="3"/>
    </row>
    <row r="298" spans="4:15" x14ac:dyDescent="0.25">
      <c r="D298" s="8"/>
      <c r="E298" s="8"/>
      <c r="F298" s="3"/>
      <c r="G298" s="9"/>
      <c r="O298" s="3"/>
    </row>
    <row r="299" spans="4:15" x14ac:dyDescent="0.25">
      <c r="D299" s="8"/>
      <c r="E299" s="8"/>
      <c r="F299" s="3"/>
      <c r="G299" s="9"/>
      <c r="O299" s="3"/>
    </row>
    <row r="300" spans="4:15" x14ac:dyDescent="0.25">
      <c r="D300" s="8"/>
      <c r="E300" s="8"/>
      <c r="F300" s="3"/>
      <c r="G300" s="9"/>
      <c r="O300" s="3"/>
    </row>
    <row r="301" spans="4:15" x14ac:dyDescent="0.25">
      <c r="D301" s="8"/>
      <c r="E301" s="8"/>
      <c r="F301" s="3"/>
      <c r="G301" s="9"/>
      <c r="O301" s="3"/>
    </row>
    <row r="302" spans="4:15" x14ac:dyDescent="0.25">
      <c r="D302" s="8"/>
      <c r="E302" s="8"/>
      <c r="F302" s="3"/>
      <c r="O302" s="3"/>
    </row>
    <row r="303" spans="4:15" x14ac:dyDescent="0.25">
      <c r="D303" s="8"/>
      <c r="E303" s="8"/>
      <c r="F303" s="3"/>
      <c r="G303" s="9"/>
      <c r="O303" s="3"/>
    </row>
    <row r="304" spans="4:15" x14ac:dyDescent="0.25">
      <c r="D304" s="8"/>
      <c r="E304" s="8"/>
      <c r="F304" s="3"/>
      <c r="G304" s="9"/>
      <c r="O304" s="3"/>
    </row>
    <row r="305" spans="4:15" x14ac:dyDescent="0.25">
      <c r="D305" s="8"/>
      <c r="E305" s="8"/>
      <c r="F305" s="3"/>
      <c r="G305" s="9"/>
      <c r="O305" s="3"/>
    </row>
    <row r="306" spans="4:15" x14ac:dyDescent="0.25">
      <c r="D306" s="8"/>
      <c r="E306" s="8"/>
      <c r="F306" s="3"/>
      <c r="G306" s="9"/>
      <c r="O306" s="3"/>
    </row>
    <row r="307" spans="4:15" x14ac:dyDescent="0.25">
      <c r="D307" s="8"/>
      <c r="E307" s="8"/>
      <c r="F307" s="3"/>
      <c r="G307" s="9"/>
      <c r="O307" s="3"/>
    </row>
    <row r="308" spans="4:15" x14ac:dyDescent="0.25">
      <c r="D308" s="8"/>
      <c r="E308" s="8"/>
      <c r="F308" s="3"/>
      <c r="G308" s="9"/>
      <c r="O308" s="3"/>
    </row>
    <row r="309" spans="4:15" x14ac:dyDescent="0.25">
      <c r="D309" s="8"/>
      <c r="E309" s="8"/>
      <c r="F309" s="3"/>
      <c r="G309" s="9"/>
      <c r="O309" s="3"/>
    </row>
    <row r="310" spans="4:15" x14ac:dyDescent="0.25">
      <c r="D310" s="8"/>
      <c r="E310" s="8"/>
      <c r="F310" s="3"/>
      <c r="G310" s="9"/>
      <c r="O310" s="3"/>
    </row>
    <row r="311" spans="4:15" x14ac:dyDescent="0.25">
      <c r="D311" s="8"/>
      <c r="E311" s="8"/>
      <c r="F311" s="3"/>
      <c r="G311" s="9"/>
      <c r="O311" s="3"/>
    </row>
    <row r="312" spans="4:15" x14ac:dyDescent="0.25">
      <c r="D312" s="8"/>
      <c r="E312" s="8"/>
      <c r="F312" s="3"/>
      <c r="G312" s="9"/>
      <c r="O312" s="3"/>
    </row>
    <row r="313" spans="4:15" x14ac:dyDescent="0.25">
      <c r="D313" s="8"/>
      <c r="E313" s="8"/>
      <c r="F313" s="3"/>
      <c r="G313" s="9"/>
      <c r="O313" s="3"/>
    </row>
    <row r="314" spans="4:15" x14ac:dyDescent="0.25">
      <c r="D314" s="8"/>
      <c r="E314" s="8"/>
      <c r="F314" s="3"/>
      <c r="G314" s="9"/>
      <c r="O314" s="3"/>
    </row>
    <row r="315" spans="4:15" x14ac:dyDescent="0.25">
      <c r="D315" s="8"/>
      <c r="E315" s="8"/>
      <c r="F315" s="3"/>
      <c r="G315" s="9"/>
      <c r="O315" s="3"/>
    </row>
    <row r="316" spans="4:15" x14ac:dyDescent="0.25">
      <c r="D316" s="8"/>
      <c r="E316" s="8"/>
      <c r="F316" s="3"/>
      <c r="G316" s="9"/>
      <c r="O316" s="3"/>
    </row>
    <row r="317" spans="4:15" x14ac:dyDescent="0.25">
      <c r="D317" s="8"/>
      <c r="E317" s="8"/>
      <c r="F317" s="3"/>
      <c r="G317" s="9"/>
      <c r="O317" s="3"/>
    </row>
    <row r="318" spans="4:15" x14ac:dyDescent="0.25">
      <c r="D318" s="8"/>
      <c r="E318" s="8"/>
      <c r="F318" s="3"/>
      <c r="G318" s="9"/>
      <c r="O318" s="3"/>
    </row>
    <row r="319" spans="4:15" x14ac:dyDescent="0.25">
      <c r="D319" s="8"/>
      <c r="E319" s="8"/>
      <c r="F319" s="3"/>
      <c r="G319" s="9"/>
      <c r="O319" s="3"/>
    </row>
    <row r="320" spans="4:15" x14ac:dyDescent="0.25">
      <c r="D320" s="8"/>
      <c r="E320" s="8"/>
      <c r="F320" s="3"/>
      <c r="G320" s="9"/>
      <c r="O320" s="3"/>
    </row>
    <row r="321" spans="4:15" x14ac:dyDescent="0.25">
      <c r="D321" s="8"/>
      <c r="E321" s="8"/>
      <c r="F321" s="3"/>
      <c r="G321" s="9"/>
      <c r="O321" s="3"/>
    </row>
    <row r="322" spans="4:15" x14ac:dyDescent="0.25">
      <c r="D322" s="8"/>
      <c r="E322" s="8"/>
      <c r="F322" s="3"/>
      <c r="G322" s="9"/>
      <c r="O322" s="3"/>
    </row>
    <row r="323" spans="4:15" x14ac:dyDescent="0.25">
      <c r="D323" s="8"/>
      <c r="E323" s="8"/>
      <c r="F323" s="3"/>
      <c r="G323" s="9"/>
      <c r="O323" s="3"/>
    </row>
    <row r="324" spans="4:15" x14ac:dyDescent="0.25">
      <c r="D324" s="8"/>
      <c r="E324" s="8"/>
      <c r="F324" s="3"/>
      <c r="G324" s="9"/>
      <c r="O324" s="3"/>
    </row>
    <row r="325" spans="4:15" x14ac:dyDescent="0.25">
      <c r="D325" s="8"/>
      <c r="E325" s="8"/>
      <c r="F325" s="3"/>
      <c r="G325" s="9"/>
      <c r="O325" s="3"/>
    </row>
    <row r="326" spans="4:15" x14ac:dyDescent="0.25">
      <c r="D326" s="8"/>
      <c r="E326" s="8"/>
      <c r="F326" s="3"/>
      <c r="G326" s="9"/>
      <c r="O326" s="3"/>
    </row>
    <row r="327" spans="4:15" x14ac:dyDescent="0.25">
      <c r="D327" s="8"/>
      <c r="E327" s="8"/>
      <c r="F327" s="3"/>
      <c r="O327" s="3"/>
    </row>
    <row r="328" spans="4:15" x14ac:dyDescent="0.25">
      <c r="D328" s="8"/>
      <c r="E328" s="8"/>
      <c r="F328" s="3"/>
      <c r="G328" s="9"/>
      <c r="O328" s="3"/>
    </row>
    <row r="329" spans="4:15" x14ac:dyDescent="0.25">
      <c r="D329" s="8"/>
      <c r="E329" s="8"/>
      <c r="F329" s="3"/>
      <c r="G329" s="9"/>
      <c r="O329" s="3"/>
    </row>
    <row r="330" spans="4:15" x14ac:dyDescent="0.25">
      <c r="D330" s="8"/>
      <c r="E330" s="8"/>
      <c r="F330" s="3"/>
      <c r="G330" s="9"/>
      <c r="O330" s="3"/>
    </row>
    <row r="331" spans="4:15" x14ac:dyDescent="0.25">
      <c r="D331" s="8"/>
      <c r="E331" s="8"/>
      <c r="F331" s="3"/>
      <c r="G331" s="9"/>
      <c r="O331" s="3"/>
    </row>
    <row r="332" spans="4:15" x14ac:dyDescent="0.25">
      <c r="D332" s="8"/>
      <c r="E332" s="8"/>
      <c r="F332" s="3"/>
      <c r="G332" s="9"/>
      <c r="O332" s="3"/>
    </row>
    <row r="333" spans="4:15" x14ac:dyDescent="0.25">
      <c r="D333" s="8"/>
      <c r="E333" s="8"/>
      <c r="F333" s="3"/>
      <c r="G333" s="9"/>
      <c r="O333" s="3"/>
    </row>
    <row r="334" spans="4:15" x14ac:dyDescent="0.25">
      <c r="D334" s="8"/>
      <c r="E334" s="8"/>
      <c r="F334" s="3"/>
      <c r="G334" s="9"/>
      <c r="O334" s="3"/>
    </row>
    <row r="335" spans="4:15" x14ac:dyDescent="0.25">
      <c r="D335" s="8"/>
      <c r="E335" s="8"/>
      <c r="F335" s="3"/>
      <c r="G335" s="9"/>
      <c r="O335" s="3"/>
    </row>
    <row r="336" spans="4:15" x14ac:dyDescent="0.25">
      <c r="D336" s="8"/>
      <c r="E336" s="8"/>
      <c r="F336" s="3"/>
      <c r="G336" s="9"/>
      <c r="O336" s="3"/>
    </row>
    <row r="337" spans="4:15" x14ac:dyDescent="0.25">
      <c r="D337" s="8"/>
      <c r="E337" s="8"/>
      <c r="F337" s="3"/>
      <c r="G337" s="9"/>
      <c r="O337" s="3"/>
    </row>
    <row r="338" spans="4:15" x14ac:dyDescent="0.25">
      <c r="D338" s="8"/>
      <c r="E338" s="8"/>
      <c r="F338" s="3"/>
      <c r="G338" s="9"/>
      <c r="O338" s="3"/>
    </row>
    <row r="339" spans="4:15" x14ac:dyDescent="0.25">
      <c r="D339" s="8"/>
      <c r="E339" s="8"/>
      <c r="F339" s="3"/>
      <c r="G339" s="9"/>
      <c r="O339" s="3"/>
    </row>
    <row r="340" spans="4:15" x14ac:dyDescent="0.25">
      <c r="D340" s="8"/>
      <c r="E340" s="8"/>
      <c r="F340" s="3"/>
      <c r="G340" s="9"/>
      <c r="O340" s="3"/>
    </row>
    <row r="341" spans="4:15" x14ac:dyDescent="0.25">
      <c r="D341" s="8"/>
      <c r="E341" s="8"/>
      <c r="F341" s="3"/>
      <c r="G341" s="9"/>
      <c r="O341" s="3"/>
    </row>
    <row r="342" spans="4:15" x14ac:dyDescent="0.25">
      <c r="D342" s="8"/>
      <c r="E342" s="8"/>
      <c r="F342" s="3"/>
      <c r="G342" s="9"/>
      <c r="O342" s="3"/>
    </row>
    <row r="343" spans="4:15" x14ac:dyDescent="0.25">
      <c r="D343" s="8"/>
      <c r="E343" s="8"/>
      <c r="F343" s="3"/>
      <c r="G343" s="9"/>
      <c r="O343" s="3"/>
    </row>
    <row r="344" spans="4:15" x14ac:dyDescent="0.25">
      <c r="D344" s="8"/>
      <c r="E344" s="8"/>
      <c r="F344" s="3"/>
      <c r="G344" s="9"/>
      <c r="O344" s="3"/>
    </row>
    <row r="345" spans="4:15" x14ac:dyDescent="0.25">
      <c r="D345" s="8"/>
      <c r="E345" s="8"/>
      <c r="F345" s="3"/>
      <c r="G345" s="9"/>
      <c r="O345" s="3"/>
    </row>
    <row r="346" spans="4:15" x14ac:dyDescent="0.25">
      <c r="D346" s="8"/>
      <c r="E346" s="8"/>
      <c r="F346" s="3"/>
      <c r="G346" s="9"/>
      <c r="O346" s="3"/>
    </row>
    <row r="347" spans="4:15" x14ac:dyDescent="0.25">
      <c r="D347" s="8"/>
      <c r="E347" s="8"/>
      <c r="F347" s="3"/>
      <c r="G347" s="9"/>
      <c r="O347" s="3"/>
    </row>
    <row r="348" spans="4:15" x14ac:dyDescent="0.25">
      <c r="D348" s="8"/>
      <c r="E348" s="8"/>
      <c r="F348" s="3"/>
      <c r="G348" s="9"/>
      <c r="O348" s="3"/>
    </row>
    <row r="349" spans="4:15" x14ac:dyDescent="0.25">
      <c r="D349" s="8"/>
      <c r="E349" s="8"/>
      <c r="F349" s="3"/>
      <c r="G349" s="9"/>
      <c r="O349" s="3"/>
    </row>
    <row r="350" spans="4:15" x14ac:dyDescent="0.25">
      <c r="D350" s="8"/>
      <c r="E350" s="8"/>
      <c r="F350" s="3"/>
      <c r="G350" s="9"/>
      <c r="O350" s="3"/>
    </row>
    <row r="351" spans="4:15" x14ac:dyDescent="0.25">
      <c r="D351" s="8"/>
      <c r="E351" s="8"/>
      <c r="F351" s="3"/>
      <c r="G351" s="9"/>
      <c r="O351" s="3"/>
    </row>
    <row r="352" spans="4:15" x14ac:dyDescent="0.25">
      <c r="D352" s="8"/>
      <c r="E352" s="8"/>
      <c r="F352" s="3"/>
      <c r="O352" s="3"/>
    </row>
    <row r="353" spans="4:15" x14ac:dyDescent="0.25">
      <c r="D353" s="8"/>
      <c r="E353" s="8"/>
      <c r="F353" s="3"/>
      <c r="G353" s="9"/>
      <c r="O353" s="3"/>
    </row>
    <row r="354" spans="4:15" x14ac:dyDescent="0.25">
      <c r="D354" s="8"/>
      <c r="E354" s="8"/>
      <c r="F354" s="3"/>
      <c r="G354" s="9"/>
      <c r="O354" s="3"/>
    </row>
    <row r="355" spans="4:15" x14ac:dyDescent="0.25">
      <c r="D355" s="8"/>
      <c r="E355" s="8"/>
      <c r="F355" s="3"/>
      <c r="G355" s="9"/>
      <c r="O355" s="3"/>
    </row>
    <row r="356" spans="4:15" x14ac:dyDescent="0.25">
      <c r="D356" s="8"/>
      <c r="E356" s="8"/>
      <c r="F356" s="3"/>
      <c r="G356" s="9"/>
      <c r="O356" s="3"/>
    </row>
    <row r="357" spans="4:15" x14ac:dyDescent="0.25">
      <c r="D357" s="8"/>
      <c r="E357" s="8"/>
      <c r="F357" s="3"/>
      <c r="G357" s="9"/>
      <c r="O357" s="3"/>
    </row>
    <row r="358" spans="4:15" x14ac:dyDescent="0.25">
      <c r="D358" s="8"/>
      <c r="E358" s="8"/>
      <c r="F358" s="3"/>
      <c r="G358" s="9"/>
      <c r="O358" s="3"/>
    </row>
    <row r="359" spans="4:15" x14ac:dyDescent="0.25">
      <c r="D359" s="8"/>
      <c r="E359" s="8"/>
      <c r="F359" s="3"/>
      <c r="G359" s="9"/>
      <c r="O359" s="3"/>
    </row>
    <row r="360" spans="4:15" x14ac:dyDescent="0.25">
      <c r="D360" s="8"/>
      <c r="E360" s="8"/>
      <c r="F360" s="3"/>
      <c r="G360" s="9"/>
      <c r="O360" s="3"/>
    </row>
    <row r="361" spans="4:15" x14ac:dyDescent="0.25">
      <c r="D361" s="8"/>
      <c r="E361" s="8"/>
      <c r="F361" s="3"/>
      <c r="G361" s="9"/>
      <c r="O361" s="3"/>
    </row>
    <row r="362" spans="4:15" x14ac:dyDescent="0.25">
      <c r="D362" s="8"/>
      <c r="E362" s="8"/>
      <c r="F362" s="3"/>
      <c r="G362" s="9"/>
      <c r="O362" s="3"/>
    </row>
    <row r="363" spans="4:15" x14ac:dyDescent="0.25">
      <c r="D363" s="8"/>
      <c r="E363" s="8"/>
      <c r="F363" s="3"/>
      <c r="G363" s="9"/>
      <c r="O363" s="3"/>
    </row>
    <row r="364" spans="4:15" x14ac:dyDescent="0.25">
      <c r="D364" s="8"/>
      <c r="E364" s="8"/>
      <c r="F364" s="3"/>
      <c r="G364" s="9"/>
      <c r="O364" s="3"/>
    </row>
    <row r="365" spans="4:15" x14ac:dyDescent="0.25">
      <c r="D365" s="8"/>
      <c r="E365" s="8"/>
      <c r="F365" s="3"/>
      <c r="G365" s="9"/>
      <c r="O365" s="3"/>
    </row>
    <row r="366" spans="4:15" x14ac:dyDescent="0.25">
      <c r="D366" s="8"/>
      <c r="E366" s="8"/>
      <c r="F366" s="3"/>
      <c r="G366" s="9"/>
      <c r="O366" s="3"/>
    </row>
    <row r="367" spans="4:15" x14ac:dyDescent="0.25">
      <c r="D367" s="8"/>
      <c r="E367" s="8"/>
      <c r="F367" s="3"/>
      <c r="G367" s="9"/>
      <c r="O367" s="3"/>
    </row>
    <row r="368" spans="4:15" x14ac:dyDescent="0.25">
      <c r="D368" s="8"/>
      <c r="E368" s="8"/>
      <c r="F368" s="3"/>
      <c r="G368" s="9"/>
      <c r="O368" s="3"/>
    </row>
    <row r="369" spans="4:15" x14ac:dyDescent="0.25">
      <c r="D369" s="8"/>
      <c r="E369" s="8"/>
      <c r="F369" s="3"/>
      <c r="G369" s="9"/>
      <c r="O369" s="3"/>
    </row>
    <row r="370" spans="4:15" x14ac:dyDescent="0.25">
      <c r="D370" s="8"/>
      <c r="E370" s="8"/>
      <c r="F370" s="3"/>
      <c r="G370" s="9"/>
      <c r="O370" s="3"/>
    </row>
    <row r="371" spans="4:15" x14ac:dyDescent="0.25">
      <c r="D371" s="8"/>
      <c r="E371" s="8"/>
      <c r="F371" s="3"/>
      <c r="G371" s="9"/>
      <c r="O371" s="3"/>
    </row>
    <row r="372" spans="4:15" x14ac:dyDescent="0.25">
      <c r="D372" s="8"/>
      <c r="E372" s="8"/>
      <c r="F372" s="3"/>
      <c r="G372" s="9"/>
      <c r="O372" s="3"/>
    </row>
    <row r="373" spans="4:15" x14ac:dyDescent="0.25">
      <c r="D373" s="8"/>
      <c r="E373" s="8"/>
      <c r="F373" s="3"/>
      <c r="G373" s="9"/>
      <c r="O373" s="3"/>
    </row>
    <row r="374" spans="4:15" x14ac:dyDescent="0.25">
      <c r="D374" s="8"/>
      <c r="E374" s="8"/>
      <c r="F374" s="3"/>
      <c r="G374" s="9"/>
      <c r="O374" s="3"/>
    </row>
    <row r="375" spans="4:15" x14ac:dyDescent="0.25">
      <c r="D375" s="8"/>
      <c r="E375" s="8"/>
      <c r="F375" s="3"/>
      <c r="G375" s="9"/>
      <c r="O375" s="3"/>
    </row>
    <row r="376" spans="4:15" x14ac:dyDescent="0.25">
      <c r="D376" s="8"/>
      <c r="E376" s="8"/>
      <c r="F376" s="3"/>
      <c r="G376" s="9"/>
      <c r="O376" s="3"/>
    </row>
    <row r="377" spans="4:15" x14ac:dyDescent="0.25">
      <c r="D377" s="8"/>
      <c r="E377" s="8"/>
      <c r="F377" s="3"/>
      <c r="O377" s="3"/>
    </row>
    <row r="378" spans="4:15" x14ac:dyDescent="0.25">
      <c r="D378" s="8"/>
      <c r="E378" s="8"/>
      <c r="F378" s="3"/>
      <c r="G378" s="9"/>
      <c r="O378" s="3"/>
    </row>
    <row r="379" spans="4:15" x14ac:dyDescent="0.25">
      <c r="D379" s="8"/>
      <c r="E379" s="8"/>
      <c r="F379" s="3"/>
      <c r="G379" s="9"/>
      <c r="O379" s="3"/>
    </row>
    <row r="380" spans="4:15" x14ac:dyDescent="0.25">
      <c r="D380" s="8"/>
      <c r="E380" s="8"/>
      <c r="F380" s="3"/>
      <c r="G380" s="9"/>
      <c r="O380" s="3"/>
    </row>
    <row r="381" spans="4:15" x14ac:dyDescent="0.25">
      <c r="D381" s="8"/>
      <c r="E381" s="8"/>
      <c r="F381" s="3"/>
      <c r="G381" s="9"/>
      <c r="O381" s="3"/>
    </row>
    <row r="382" spans="4:15" x14ac:dyDescent="0.25">
      <c r="D382" s="8"/>
      <c r="E382" s="8"/>
      <c r="F382" s="3"/>
      <c r="G382" s="9"/>
      <c r="O382" s="3"/>
    </row>
    <row r="383" spans="4:15" x14ac:dyDescent="0.25">
      <c r="D383" s="8"/>
      <c r="E383" s="8"/>
      <c r="F383" s="3"/>
      <c r="G383" s="9"/>
      <c r="O383" s="3"/>
    </row>
    <row r="384" spans="4:15" x14ac:dyDescent="0.25">
      <c r="D384" s="8"/>
      <c r="E384" s="8"/>
      <c r="F384" s="3"/>
      <c r="G384" s="9"/>
      <c r="O384" s="3"/>
    </row>
    <row r="385" spans="4:15" x14ac:dyDescent="0.25">
      <c r="D385" s="8"/>
      <c r="E385" s="8"/>
      <c r="F385" s="3"/>
      <c r="G385" s="9"/>
      <c r="O385" s="3"/>
    </row>
    <row r="386" spans="4:15" x14ac:dyDescent="0.25">
      <c r="D386" s="8"/>
      <c r="E386" s="8"/>
      <c r="F386" s="3"/>
      <c r="G386" s="9"/>
      <c r="O386" s="3"/>
    </row>
    <row r="387" spans="4:15" x14ac:dyDescent="0.25">
      <c r="D387" s="8"/>
      <c r="E387" s="8"/>
      <c r="F387" s="3"/>
      <c r="G387" s="9"/>
      <c r="O387" s="3"/>
    </row>
    <row r="388" spans="4:15" x14ac:dyDescent="0.25">
      <c r="D388" s="8"/>
      <c r="E388" s="8"/>
      <c r="F388" s="3"/>
      <c r="G388" s="9"/>
      <c r="O388" s="3"/>
    </row>
    <row r="389" spans="4:15" x14ac:dyDescent="0.25">
      <c r="D389" s="8"/>
      <c r="E389" s="8"/>
      <c r="F389" s="3"/>
      <c r="G389" s="9"/>
      <c r="O389" s="3"/>
    </row>
    <row r="390" spans="4:15" x14ac:dyDescent="0.25">
      <c r="D390" s="8"/>
      <c r="E390" s="8"/>
      <c r="F390" s="3"/>
      <c r="G390" s="9"/>
      <c r="O390" s="3"/>
    </row>
    <row r="391" spans="4:15" x14ac:dyDescent="0.25">
      <c r="D391" s="8"/>
      <c r="E391" s="8"/>
      <c r="F391" s="3"/>
      <c r="G391" s="9"/>
      <c r="O391" s="3"/>
    </row>
    <row r="392" spans="4:15" x14ac:dyDescent="0.25">
      <c r="D392" s="8"/>
      <c r="E392" s="8"/>
      <c r="F392" s="3"/>
      <c r="G392" s="9"/>
      <c r="O392" s="3"/>
    </row>
    <row r="393" spans="4:15" x14ac:dyDescent="0.25">
      <c r="D393" s="8"/>
      <c r="E393" s="8"/>
      <c r="F393" s="3"/>
      <c r="G393" s="9"/>
      <c r="O393" s="3"/>
    </row>
    <row r="394" spans="4:15" x14ac:dyDescent="0.25">
      <c r="D394" s="8"/>
      <c r="E394" s="8"/>
      <c r="F394" s="3"/>
      <c r="G394" s="9"/>
      <c r="O394" s="3"/>
    </row>
    <row r="395" spans="4:15" x14ac:dyDescent="0.25">
      <c r="D395" s="8"/>
      <c r="E395" s="8"/>
      <c r="F395" s="3"/>
      <c r="G395" s="9"/>
      <c r="O395" s="3"/>
    </row>
    <row r="396" spans="4:15" x14ac:dyDescent="0.25">
      <c r="D396" s="8"/>
      <c r="E396" s="8"/>
      <c r="F396" s="3"/>
      <c r="G396" s="9"/>
      <c r="O396" s="3"/>
    </row>
    <row r="397" spans="4:15" x14ac:dyDescent="0.25">
      <c r="D397" s="8"/>
      <c r="E397" s="8"/>
      <c r="F397" s="3"/>
      <c r="G397" s="9"/>
      <c r="O397" s="3"/>
    </row>
    <row r="398" spans="4:15" x14ac:dyDescent="0.25">
      <c r="D398" s="8"/>
      <c r="E398" s="8"/>
      <c r="F398" s="3"/>
      <c r="G398" s="9"/>
      <c r="O398" s="3"/>
    </row>
    <row r="399" spans="4:15" x14ac:dyDescent="0.25">
      <c r="D399" s="8"/>
      <c r="E399" s="8"/>
      <c r="F399" s="3"/>
      <c r="G399" s="9"/>
      <c r="O399" s="3"/>
    </row>
    <row r="400" spans="4:15" x14ac:dyDescent="0.25">
      <c r="D400" s="8"/>
      <c r="E400" s="8"/>
      <c r="F400" s="3"/>
      <c r="G400" s="9"/>
      <c r="O400" s="3"/>
    </row>
    <row r="401" spans="4:15" x14ac:dyDescent="0.25">
      <c r="D401" s="8"/>
      <c r="E401" s="8"/>
      <c r="F401" s="3"/>
      <c r="G401" s="9"/>
      <c r="O401" s="3"/>
    </row>
    <row r="402" spans="4:15" x14ac:dyDescent="0.25">
      <c r="D402" s="8"/>
      <c r="E402" s="8"/>
      <c r="F402" s="3"/>
      <c r="O402" s="3"/>
    </row>
    <row r="403" spans="4:15" x14ac:dyDescent="0.25">
      <c r="D403" s="8"/>
      <c r="E403" s="8"/>
      <c r="F403" s="3"/>
      <c r="G403" s="9"/>
      <c r="O403" s="3"/>
    </row>
    <row r="404" spans="4:15" x14ac:dyDescent="0.25">
      <c r="D404" s="8"/>
      <c r="E404" s="8"/>
      <c r="F404" s="3"/>
      <c r="G404" s="9"/>
      <c r="O404" s="3"/>
    </row>
    <row r="405" spans="4:15" x14ac:dyDescent="0.25">
      <c r="D405" s="8"/>
      <c r="E405" s="8"/>
      <c r="F405" s="3"/>
      <c r="G405" s="9"/>
      <c r="O405" s="3"/>
    </row>
    <row r="406" spans="4:15" x14ac:dyDescent="0.25">
      <c r="D406" s="8"/>
      <c r="E406" s="8"/>
      <c r="F406" s="3"/>
      <c r="G406" s="9"/>
      <c r="O406" s="3"/>
    </row>
    <row r="407" spans="4:15" x14ac:dyDescent="0.25">
      <c r="D407" s="8"/>
      <c r="E407" s="8"/>
      <c r="F407" s="3"/>
      <c r="G407" s="9"/>
      <c r="O407" s="3"/>
    </row>
    <row r="408" spans="4:15" x14ac:dyDescent="0.25">
      <c r="D408" s="8"/>
      <c r="E408" s="8"/>
      <c r="F408" s="3"/>
      <c r="G408" s="9"/>
      <c r="O408" s="3"/>
    </row>
    <row r="409" spans="4:15" x14ac:dyDescent="0.25">
      <c r="D409" s="8"/>
      <c r="E409" s="8"/>
      <c r="F409" s="3"/>
      <c r="G409" s="9"/>
      <c r="O409" s="3"/>
    </row>
    <row r="410" spans="4:15" x14ac:dyDescent="0.25">
      <c r="D410" s="8"/>
      <c r="E410" s="8"/>
      <c r="F410" s="3"/>
      <c r="G410" s="9"/>
      <c r="O410" s="3"/>
    </row>
    <row r="411" spans="4:15" x14ac:dyDescent="0.25">
      <c r="D411" s="8"/>
      <c r="E411" s="8"/>
      <c r="F411" s="3"/>
      <c r="G411" s="9"/>
      <c r="O411" s="3"/>
    </row>
    <row r="412" spans="4:15" x14ac:dyDescent="0.25">
      <c r="D412" s="8"/>
      <c r="E412" s="8"/>
      <c r="F412" s="3"/>
      <c r="G412" s="9"/>
      <c r="O412" s="3"/>
    </row>
    <row r="413" spans="4:15" x14ac:dyDescent="0.25">
      <c r="D413" s="8"/>
      <c r="E413" s="8"/>
      <c r="F413" s="3"/>
      <c r="G413" s="9"/>
      <c r="O413" s="3"/>
    </row>
    <row r="414" spans="4:15" x14ac:dyDescent="0.25">
      <c r="D414" s="8"/>
      <c r="E414" s="8"/>
      <c r="F414" s="3"/>
      <c r="G414" s="9"/>
      <c r="O414" s="3"/>
    </row>
    <row r="415" spans="4:15" x14ac:dyDescent="0.25">
      <c r="D415" s="8"/>
      <c r="E415" s="8"/>
      <c r="F415" s="3"/>
      <c r="G415" s="9"/>
      <c r="O415" s="3"/>
    </row>
    <row r="416" spans="4:15" x14ac:dyDescent="0.25">
      <c r="D416" s="8"/>
      <c r="E416" s="8"/>
      <c r="F416" s="3"/>
      <c r="G416" s="9"/>
      <c r="O416" s="3"/>
    </row>
    <row r="417" spans="4:15" x14ac:dyDescent="0.25">
      <c r="D417" s="8"/>
      <c r="E417" s="8"/>
      <c r="F417" s="3"/>
      <c r="G417" s="9"/>
      <c r="O417" s="3"/>
    </row>
    <row r="418" spans="4:15" x14ac:dyDescent="0.25">
      <c r="D418" s="8"/>
      <c r="E418" s="8"/>
      <c r="F418" s="3"/>
      <c r="G418" s="9"/>
      <c r="O418" s="3"/>
    </row>
    <row r="419" spans="4:15" x14ac:dyDescent="0.25">
      <c r="D419" s="8"/>
      <c r="E419" s="8"/>
      <c r="F419" s="3"/>
      <c r="G419" s="9"/>
      <c r="O419" s="3"/>
    </row>
    <row r="420" spans="4:15" x14ac:dyDescent="0.25">
      <c r="D420" s="8"/>
      <c r="E420" s="8"/>
      <c r="F420" s="3"/>
      <c r="G420" s="9"/>
      <c r="O420" s="3"/>
    </row>
    <row r="421" spans="4:15" x14ac:dyDescent="0.25">
      <c r="D421" s="8"/>
      <c r="E421" s="8"/>
      <c r="F421" s="3"/>
      <c r="G421" s="9"/>
      <c r="O421" s="3"/>
    </row>
    <row r="422" spans="4:15" x14ac:dyDescent="0.25">
      <c r="D422" s="8"/>
      <c r="E422" s="8"/>
      <c r="F422" s="3"/>
      <c r="G422" s="9"/>
      <c r="O422" s="3"/>
    </row>
    <row r="423" spans="4:15" x14ac:dyDescent="0.25">
      <c r="D423" s="8"/>
      <c r="E423" s="8"/>
      <c r="F423" s="3"/>
      <c r="G423" s="9"/>
      <c r="O423" s="3"/>
    </row>
    <row r="424" spans="4:15" x14ac:dyDescent="0.25">
      <c r="D424" s="8"/>
      <c r="E424" s="8"/>
      <c r="F424" s="3"/>
      <c r="G424" s="9"/>
      <c r="O424" s="3"/>
    </row>
    <row r="425" spans="4:15" x14ac:dyDescent="0.25">
      <c r="D425" s="8"/>
      <c r="E425" s="8"/>
      <c r="F425" s="3"/>
      <c r="G425" s="9"/>
      <c r="O425" s="3"/>
    </row>
    <row r="426" spans="4:15" x14ac:dyDescent="0.25">
      <c r="D426" s="8"/>
      <c r="E426" s="8"/>
      <c r="F426" s="3"/>
      <c r="G426" s="9"/>
      <c r="O426" s="3"/>
    </row>
    <row r="427" spans="4:15" x14ac:dyDescent="0.25">
      <c r="D427" s="8"/>
      <c r="E427" s="8"/>
      <c r="F427" s="3"/>
      <c r="O427" s="3"/>
    </row>
    <row r="428" spans="4:15" x14ac:dyDescent="0.25">
      <c r="D428" s="8"/>
      <c r="E428" s="8"/>
      <c r="F428" s="3"/>
      <c r="G428" s="9"/>
      <c r="O428" s="3"/>
    </row>
    <row r="429" spans="4:15" x14ac:dyDescent="0.25">
      <c r="D429" s="8"/>
      <c r="E429" s="8"/>
      <c r="F429" s="3"/>
      <c r="G429" s="9"/>
      <c r="O429" s="3"/>
    </row>
    <row r="430" spans="4:15" x14ac:dyDescent="0.25">
      <c r="D430" s="8"/>
      <c r="E430" s="8"/>
      <c r="F430" s="3"/>
      <c r="G430" s="9"/>
      <c r="O430" s="3"/>
    </row>
    <row r="431" spans="4:15" x14ac:dyDescent="0.25">
      <c r="D431" s="8"/>
      <c r="E431" s="8"/>
      <c r="F431" s="3"/>
      <c r="G431" s="9"/>
      <c r="O431" s="3"/>
    </row>
    <row r="432" spans="4:15" x14ac:dyDescent="0.25">
      <c r="D432" s="8"/>
      <c r="E432" s="8"/>
      <c r="F432" s="3"/>
      <c r="G432" s="9"/>
      <c r="O432" s="3"/>
    </row>
    <row r="433" spans="4:15" x14ac:dyDescent="0.25">
      <c r="D433" s="8"/>
      <c r="E433" s="8"/>
      <c r="F433" s="3"/>
      <c r="G433" s="9"/>
      <c r="O433" s="3"/>
    </row>
    <row r="434" spans="4:15" x14ac:dyDescent="0.25">
      <c r="D434" s="8"/>
      <c r="E434" s="8"/>
      <c r="F434" s="3"/>
      <c r="G434" s="9"/>
      <c r="O434" s="3"/>
    </row>
    <row r="435" spans="4:15" x14ac:dyDescent="0.25">
      <c r="D435" s="8"/>
      <c r="E435" s="8"/>
      <c r="F435" s="3"/>
      <c r="G435" s="9"/>
      <c r="O435" s="3"/>
    </row>
    <row r="436" spans="4:15" x14ac:dyDescent="0.25">
      <c r="D436" s="8"/>
      <c r="E436" s="8"/>
      <c r="F436" s="3"/>
      <c r="G436" s="9"/>
      <c r="O436" s="3"/>
    </row>
    <row r="437" spans="4:15" x14ac:dyDescent="0.25">
      <c r="D437" s="8"/>
      <c r="E437" s="8"/>
      <c r="F437" s="3"/>
      <c r="G437" s="9"/>
      <c r="O437" s="3"/>
    </row>
    <row r="438" spans="4:15" x14ac:dyDescent="0.25">
      <c r="D438" s="8"/>
      <c r="E438" s="8"/>
      <c r="F438" s="3"/>
      <c r="G438" s="9"/>
      <c r="O438" s="3"/>
    </row>
    <row r="439" spans="4:15" x14ac:dyDescent="0.25">
      <c r="D439" s="8"/>
      <c r="E439" s="8"/>
      <c r="F439" s="3"/>
      <c r="G439" s="9"/>
      <c r="O439" s="3"/>
    </row>
    <row r="440" spans="4:15" x14ac:dyDescent="0.25">
      <c r="D440" s="8"/>
      <c r="E440" s="8"/>
      <c r="F440" s="3"/>
      <c r="G440" s="9"/>
      <c r="O440" s="3"/>
    </row>
    <row r="441" spans="4:15" x14ac:dyDescent="0.25">
      <c r="D441" s="8"/>
      <c r="E441" s="8"/>
      <c r="F441" s="3"/>
      <c r="G441" s="9"/>
      <c r="O441" s="3"/>
    </row>
    <row r="442" spans="4:15" x14ac:dyDescent="0.25">
      <c r="D442" s="8"/>
      <c r="E442" s="8"/>
      <c r="F442" s="3"/>
      <c r="G442" s="9"/>
      <c r="O442" s="3"/>
    </row>
    <row r="443" spans="4:15" x14ac:dyDescent="0.25">
      <c r="D443" s="8"/>
      <c r="E443" s="8"/>
      <c r="F443" s="3"/>
      <c r="G443" s="9"/>
      <c r="O443" s="3"/>
    </row>
    <row r="444" spans="4:15" x14ac:dyDescent="0.25">
      <c r="D444" s="8"/>
      <c r="E444" s="8"/>
      <c r="F444" s="3"/>
      <c r="G444" s="9"/>
      <c r="O444" s="3"/>
    </row>
    <row r="445" spans="4:15" x14ac:dyDescent="0.25">
      <c r="D445" s="8"/>
      <c r="E445" s="8"/>
      <c r="F445" s="3"/>
      <c r="G445" s="9"/>
      <c r="O445" s="3"/>
    </row>
    <row r="446" spans="4:15" x14ac:dyDescent="0.25">
      <c r="D446" s="8"/>
      <c r="E446" s="8"/>
      <c r="F446" s="3"/>
      <c r="G446" s="9"/>
      <c r="O446" s="3"/>
    </row>
    <row r="447" spans="4:15" x14ac:dyDescent="0.25">
      <c r="D447" s="8"/>
      <c r="E447" s="8"/>
      <c r="F447" s="3"/>
      <c r="G447" s="9"/>
      <c r="O447" s="3"/>
    </row>
    <row r="448" spans="4:15" x14ac:dyDescent="0.25">
      <c r="D448" s="8"/>
      <c r="E448" s="8"/>
      <c r="F448" s="3"/>
      <c r="G448" s="9"/>
      <c r="O448" s="3"/>
    </row>
    <row r="449" spans="4:15" x14ac:dyDescent="0.25">
      <c r="D449" s="8"/>
      <c r="E449" s="8"/>
      <c r="F449" s="3"/>
      <c r="G449" s="9"/>
      <c r="O449" s="3"/>
    </row>
    <row r="450" spans="4:15" x14ac:dyDescent="0.25">
      <c r="D450" s="8"/>
      <c r="E450" s="8"/>
      <c r="F450" s="3"/>
      <c r="G450" s="9"/>
      <c r="O450" s="3"/>
    </row>
    <row r="451" spans="4:15" x14ac:dyDescent="0.25">
      <c r="D451" s="8"/>
      <c r="E451" s="8"/>
      <c r="F451" s="3"/>
      <c r="G451" s="9"/>
      <c r="O451" s="3"/>
    </row>
    <row r="452" spans="4:15" x14ac:dyDescent="0.25">
      <c r="D452" s="8"/>
      <c r="E452" s="8"/>
      <c r="F452" s="3"/>
      <c r="O452" s="3"/>
    </row>
    <row r="453" spans="4:15" x14ac:dyDescent="0.25">
      <c r="D453" s="8"/>
      <c r="E453" s="8"/>
      <c r="F453" s="3"/>
      <c r="G453" s="9"/>
      <c r="O453" s="3"/>
    </row>
    <row r="454" spans="4:15" x14ac:dyDescent="0.25">
      <c r="D454" s="8"/>
      <c r="E454" s="8"/>
      <c r="F454" s="3"/>
      <c r="G454" s="9"/>
      <c r="O454" s="3"/>
    </row>
    <row r="455" spans="4:15" x14ac:dyDescent="0.25">
      <c r="D455" s="8"/>
      <c r="E455" s="8"/>
      <c r="F455" s="3"/>
      <c r="G455" s="9"/>
      <c r="O455" s="3"/>
    </row>
    <row r="456" spans="4:15" x14ac:dyDescent="0.25">
      <c r="D456" s="8"/>
      <c r="E456" s="8"/>
      <c r="F456" s="3"/>
      <c r="G456" s="9"/>
      <c r="O456" s="3"/>
    </row>
    <row r="457" spans="4:15" x14ac:dyDescent="0.25">
      <c r="D457" s="8"/>
      <c r="E457" s="8"/>
      <c r="F457" s="3"/>
      <c r="G457" s="9"/>
      <c r="O457" s="3"/>
    </row>
    <row r="458" spans="4:15" x14ac:dyDescent="0.25">
      <c r="D458" s="8"/>
      <c r="E458" s="8"/>
      <c r="F458" s="3"/>
      <c r="G458" s="9"/>
      <c r="O458" s="3"/>
    </row>
    <row r="459" spans="4:15" x14ac:dyDescent="0.25">
      <c r="D459" s="8"/>
      <c r="E459" s="8"/>
      <c r="F459" s="3"/>
      <c r="G459" s="9"/>
      <c r="O459" s="3"/>
    </row>
    <row r="460" spans="4:15" x14ac:dyDescent="0.25">
      <c r="D460" s="8"/>
      <c r="E460" s="8"/>
      <c r="F460" s="3"/>
      <c r="G460" s="9"/>
      <c r="O460" s="3"/>
    </row>
    <row r="461" spans="4:15" x14ac:dyDescent="0.25">
      <c r="D461" s="8"/>
      <c r="E461" s="8"/>
      <c r="F461" s="3"/>
      <c r="G461" s="9"/>
      <c r="O461" s="3"/>
    </row>
    <row r="462" spans="4:15" x14ac:dyDescent="0.25">
      <c r="D462" s="8"/>
      <c r="E462" s="8"/>
      <c r="F462" s="3"/>
      <c r="G462" s="9"/>
      <c r="O462" s="3"/>
    </row>
    <row r="463" spans="4:15" x14ac:dyDescent="0.25">
      <c r="D463" s="8"/>
      <c r="E463" s="8"/>
      <c r="F463" s="3"/>
      <c r="G463" s="9"/>
      <c r="O463" s="3"/>
    </row>
    <row r="464" spans="4:15" x14ac:dyDescent="0.25">
      <c r="D464" s="8"/>
      <c r="E464" s="8"/>
      <c r="F464" s="3"/>
      <c r="G464" s="9"/>
      <c r="O464" s="3"/>
    </row>
    <row r="465" spans="4:15" x14ac:dyDescent="0.25">
      <c r="D465" s="8"/>
      <c r="E465" s="8"/>
      <c r="F465" s="3"/>
      <c r="G465" s="9"/>
      <c r="O465" s="3"/>
    </row>
    <row r="466" spans="4:15" x14ac:dyDescent="0.25">
      <c r="D466" s="8"/>
      <c r="E466" s="8"/>
      <c r="F466" s="3"/>
      <c r="G466" s="9"/>
      <c r="O466" s="3"/>
    </row>
    <row r="467" spans="4:15" x14ac:dyDescent="0.25">
      <c r="D467" s="8"/>
      <c r="E467" s="8"/>
      <c r="F467" s="3"/>
      <c r="G467" s="9"/>
      <c r="O467" s="3"/>
    </row>
    <row r="468" spans="4:15" x14ac:dyDescent="0.25">
      <c r="D468" s="8"/>
      <c r="E468" s="8"/>
      <c r="F468" s="3"/>
      <c r="G468" s="9"/>
      <c r="O468" s="3"/>
    </row>
    <row r="469" spans="4:15" x14ac:dyDescent="0.25">
      <c r="D469" s="8"/>
      <c r="E469" s="8"/>
      <c r="F469" s="3"/>
      <c r="G469" s="9"/>
      <c r="O469" s="3"/>
    </row>
    <row r="470" spans="4:15" x14ac:dyDescent="0.25">
      <c r="D470" s="8"/>
      <c r="E470" s="8"/>
      <c r="F470" s="3"/>
      <c r="G470" s="9"/>
      <c r="O470" s="3"/>
    </row>
    <row r="471" spans="4:15" x14ac:dyDescent="0.25">
      <c r="D471" s="8"/>
      <c r="E471" s="8"/>
      <c r="F471" s="3"/>
      <c r="G471" s="9"/>
      <c r="O471" s="3"/>
    </row>
    <row r="472" spans="4:15" x14ac:dyDescent="0.25">
      <c r="D472" s="8"/>
      <c r="E472" s="8"/>
      <c r="F472" s="3"/>
      <c r="G472" s="9"/>
      <c r="O472" s="3"/>
    </row>
    <row r="473" spans="4:15" x14ac:dyDescent="0.25">
      <c r="D473" s="8"/>
      <c r="E473" s="8"/>
      <c r="F473" s="3"/>
      <c r="G473" s="9"/>
      <c r="O473" s="3"/>
    </row>
    <row r="474" spans="4:15" x14ac:dyDescent="0.25">
      <c r="D474" s="8"/>
      <c r="E474" s="8"/>
      <c r="F474" s="3"/>
      <c r="G474" s="9"/>
      <c r="O474" s="3"/>
    </row>
    <row r="475" spans="4:15" x14ac:dyDescent="0.25">
      <c r="D475" s="8"/>
      <c r="E475" s="8"/>
      <c r="F475" s="3"/>
      <c r="G475" s="9"/>
      <c r="O475" s="3"/>
    </row>
    <row r="476" spans="4:15" x14ac:dyDescent="0.25">
      <c r="D476" s="8"/>
      <c r="E476" s="8"/>
      <c r="F476" s="3"/>
      <c r="G476" s="9"/>
      <c r="O476" s="3"/>
    </row>
    <row r="477" spans="4:15" x14ac:dyDescent="0.25">
      <c r="D477" s="8"/>
      <c r="E477" s="8"/>
      <c r="F477" s="3"/>
      <c r="O477" s="3"/>
    </row>
    <row r="478" spans="4:15" x14ac:dyDescent="0.25">
      <c r="D478" s="8"/>
      <c r="E478" s="8"/>
      <c r="F478" s="3"/>
      <c r="G478" s="9"/>
      <c r="O478" s="3"/>
    </row>
    <row r="479" spans="4:15" x14ac:dyDescent="0.25">
      <c r="D479" s="8"/>
      <c r="E479" s="8"/>
      <c r="F479" s="3"/>
      <c r="G479" s="9"/>
      <c r="O479" s="3"/>
    </row>
    <row r="480" spans="4:15" x14ac:dyDescent="0.25">
      <c r="D480" s="8"/>
      <c r="E480" s="8"/>
      <c r="F480" s="3"/>
      <c r="G480" s="9"/>
      <c r="O480" s="3"/>
    </row>
    <row r="481" spans="4:15" x14ac:dyDescent="0.25">
      <c r="D481" s="8"/>
      <c r="E481" s="8"/>
      <c r="F481" s="3"/>
      <c r="G481" s="9"/>
      <c r="O481" s="3"/>
    </row>
    <row r="482" spans="4:15" x14ac:dyDescent="0.25">
      <c r="D482" s="8"/>
      <c r="E482" s="8"/>
      <c r="F482" s="3"/>
      <c r="G482" s="9"/>
      <c r="O482" s="3"/>
    </row>
    <row r="483" spans="4:15" x14ac:dyDescent="0.25">
      <c r="D483" s="8"/>
      <c r="E483" s="8"/>
      <c r="F483" s="3"/>
      <c r="G483" s="9"/>
      <c r="O483" s="3"/>
    </row>
    <row r="484" spans="4:15" x14ac:dyDescent="0.25">
      <c r="D484" s="8"/>
      <c r="E484" s="8"/>
      <c r="F484" s="3"/>
      <c r="G484" s="9"/>
      <c r="O484" s="3"/>
    </row>
    <row r="485" spans="4:15" x14ac:dyDescent="0.25">
      <c r="D485" s="8"/>
      <c r="E485" s="8"/>
      <c r="F485" s="3"/>
      <c r="G485" s="9"/>
      <c r="O485" s="3"/>
    </row>
    <row r="486" spans="4:15" x14ac:dyDescent="0.25">
      <c r="D486" s="8"/>
      <c r="E486" s="8"/>
      <c r="F486" s="3"/>
      <c r="G486" s="9"/>
      <c r="O486" s="3"/>
    </row>
    <row r="487" spans="4:15" x14ac:dyDescent="0.25">
      <c r="D487" s="8"/>
      <c r="E487" s="8"/>
      <c r="F487" s="3"/>
      <c r="G487" s="9"/>
      <c r="O487" s="3"/>
    </row>
    <row r="488" spans="4:15" x14ac:dyDescent="0.25">
      <c r="D488" s="8"/>
      <c r="E488" s="8"/>
      <c r="F488" s="3"/>
      <c r="G488" s="9"/>
      <c r="O488" s="3"/>
    </row>
    <row r="489" spans="4:15" x14ac:dyDescent="0.25">
      <c r="D489" s="8"/>
      <c r="E489" s="8"/>
      <c r="F489" s="3"/>
      <c r="G489" s="9"/>
      <c r="O489" s="3"/>
    </row>
    <row r="490" spans="4:15" x14ac:dyDescent="0.25">
      <c r="D490" s="8"/>
      <c r="E490" s="8"/>
      <c r="F490" s="3"/>
      <c r="G490" s="9"/>
      <c r="O490" s="3"/>
    </row>
    <row r="491" spans="4:15" x14ac:dyDescent="0.25">
      <c r="D491" s="8"/>
      <c r="E491" s="8"/>
      <c r="F491" s="3"/>
      <c r="G491" s="9"/>
      <c r="O491" s="3"/>
    </row>
    <row r="492" spans="4:15" x14ac:dyDescent="0.25">
      <c r="D492" s="8"/>
      <c r="E492" s="8"/>
      <c r="F492" s="3"/>
      <c r="G492" s="9"/>
      <c r="O492" s="3"/>
    </row>
    <row r="493" spans="4:15" x14ac:dyDescent="0.25">
      <c r="D493" s="8"/>
      <c r="E493" s="8"/>
      <c r="F493" s="3"/>
      <c r="G493" s="9"/>
      <c r="O493" s="3"/>
    </row>
    <row r="494" spans="4:15" x14ac:dyDescent="0.25">
      <c r="D494" s="8"/>
      <c r="E494" s="8"/>
      <c r="F494" s="3"/>
      <c r="G494" s="9"/>
      <c r="O494" s="3"/>
    </row>
    <row r="495" spans="4:15" x14ac:dyDescent="0.25">
      <c r="D495" s="8"/>
      <c r="E495" s="8"/>
      <c r="F495" s="3"/>
      <c r="G495" s="9"/>
      <c r="O495" s="3"/>
    </row>
    <row r="496" spans="4:15" x14ac:dyDescent="0.25">
      <c r="D496" s="8"/>
      <c r="E496" s="8"/>
      <c r="F496" s="3"/>
      <c r="G496" s="9"/>
      <c r="O496" s="3"/>
    </row>
    <row r="497" spans="4:15" x14ac:dyDescent="0.25">
      <c r="D497" s="8"/>
      <c r="E497" s="8"/>
      <c r="F497" s="3"/>
      <c r="G497" s="9"/>
      <c r="O497" s="3"/>
    </row>
    <row r="498" spans="4:15" x14ac:dyDescent="0.25">
      <c r="D498" s="8"/>
      <c r="E498" s="8"/>
      <c r="F498" s="3"/>
      <c r="G498" s="9"/>
      <c r="O498" s="3"/>
    </row>
    <row r="499" spans="4:15" x14ac:dyDescent="0.25">
      <c r="D499" s="8"/>
      <c r="E499" s="8"/>
      <c r="F499" s="3"/>
      <c r="G499" s="9"/>
      <c r="O499" s="3"/>
    </row>
    <row r="500" spans="4:15" x14ac:dyDescent="0.25">
      <c r="D500" s="8"/>
      <c r="E500" s="8"/>
      <c r="F500" s="3"/>
      <c r="G500" s="9"/>
      <c r="O500" s="3"/>
    </row>
    <row r="501" spans="4:15" x14ac:dyDescent="0.25">
      <c r="D501" s="8"/>
      <c r="E501" s="8"/>
      <c r="F501" s="3"/>
      <c r="G501" s="9"/>
      <c r="O501" s="3"/>
    </row>
    <row r="502" spans="4:15" x14ac:dyDescent="0.25">
      <c r="D502" s="8"/>
      <c r="E502" s="8"/>
      <c r="F502" s="3"/>
      <c r="O502" s="3"/>
    </row>
    <row r="503" spans="4:15" x14ac:dyDescent="0.25">
      <c r="D503" s="8"/>
      <c r="E503" s="8"/>
      <c r="F503" s="3"/>
      <c r="G503" s="9"/>
      <c r="O503" s="3"/>
    </row>
    <row r="504" spans="4:15" x14ac:dyDescent="0.25">
      <c r="D504" s="8"/>
      <c r="E504" s="8"/>
      <c r="F504" s="3"/>
      <c r="G504" s="9"/>
      <c r="O504" s="3"/>
    </row>
    <row r="505" spans="4:15" x14ac:dyDescent="0.25">
      <c r="D505" s="8"/>
      <c r="E505" s="8"/>
      <c r="F505" s="3"/>
      <c r="G505" s="9"/>
      <c r="O505" s="3"/>
    </row>
    <row r="506" spans="4:15" x14ac:dyDescent="0.25">
      <c r="D506" s="8"/>
      <c r="E506" s="8"/>
      <c r="F506" s="3"/>
      <c r="G506" s="9"/>
      <c r="O506" s="3"/>
    </row>
    <row r="507" spans="4:15" x14ac:dyDescent="0.25">
      <c r="D507" s="8"/>
      <c r="E507" s="8"/>
      <c r="F507" s="3"/>
      <c r="G507" s="9"/>
      <c r="O507" s="3"/>
    </row>
    <row r="508" spans="4:15" x14ac:dyDescent="0.25">
      <c r="D508" s="8"/>
      <c r="E508" s="8"/>
      <c r="F508" s="3"/>
      <c r="G508" s="9"/>
      <c r="O508" s="3"/>
    </row>
    <row r="509" spans="4:15" x14ac:dyDescent="0.25">
      <c r="D509" s="8"/>
      <c r="E509" s="8"/>
      <c r="F509" s="3"/>
      <c r="G509" s="9"/>
      <c r="O509" s="3"/>
    </row>
    <row r="510" spans="4:15" x14ac:dyDescent="0.25">
      <c r="D510" s="8"/>
      <c r="E510" s="8"/>
      <c r="F510" s="3"/>
      <c r="G510" s="9"/>
      <c r="O510" s="3"/>
    </row>
    <row r="511" spans="4:15" x14ac:dyDescent="0.25">
      <c r="D511" s="8"/>
      <c r="E511" s="8"/>
      <c r="F511" s="3"/>
      <c r="G511" s="9"/>
      <c r="O511" s="3"/>
    </row>
    <row r="512" spans="4:15" x14ac:dyDescent="0.25">
      <c r="D512" s="8"/>
      <c r="E512" s="8"/>
      <c r="F512" s="3"/>
      <c r="G512" s="9"/>
      <c r="O512" s="3"/>
    </row>
    <row r="513" spans="4:15" x14ac:dyDescent="0.25">
      <c r="D513" s="8"/>
      <c r="E513" s="8"/>
      <c r="F513" s="3"/>
      <c r="G513" s="9"/>
      <c r="O513" s="3"/>
    </row>
    <row r="514" spans="4:15" x14ac:dyDescent="0.25">
      <c r="D514" s="8"/>
      <c r="E514" s="8"/>
      <c r="F514" s="3"/>
      <c r="G514" s="9"/>
      <c r="O514" s="3"/>
    </row>
    <row r="515" spans="4:15" x14ac:dyDescent="0.25">
      <c r="D515" s="8"/>
      <c r="E515" s="8"/>
      <c r="F515" s="3"/>
      <c r="G515" s="9"/>
      <c r="O515" s="3"/>
    </row>
    <row r="516" spans="4:15" x14ac:dyDescent="0.25">
      <c r="D516" s="8"/>
      <c r="E516" s="8"/>
      <c r="F516" s="3"/>
      <c r="G516" s="9"/>
      <c r="O516" s="3"/>
    </row>
    <row r="517" spans="4:15" x14ac:dyDescent="0.25">
      <c r="D517" s="8"/>
      <c r="E517" s="8"/>
      <c r="F517" s="3"/>
      <c r="G517" s="9"/>
      <c r="O517" s="3"/>
    </row>
    <row r="518" spans="4:15" x14ac:dyDescent="0.25">
      <c r="D518" s="8"/>
      <c r="E518" s="8"/>
      <c r="F518" s="3"/>
      <c r="G518" s="9"/>
      <c r="O518" s="3"/>
    </row>
    <row r="519" spans="4:15" x14ac:dyDescent="0.25">
      <c r="D519" s="8"/>
      <c r="E519" s="8"/>
      <c r="F519" s="3"/>
      <c r="G519" s="9"/>
      <c r="O519" s="3"/>
    </row>
    <row r="520" spans="4:15" x14ac:dyDescent="0.25">
      <c r="D520" s="8"/>
      <c r="E520" s="8"/>
      <c r="F520" s="3"/>
      <c r="G520" s="9"/>
      <c r="O520" s="3"/>
    </row>
    <row r="521" spans="4:15" x14ac:dyDescent="0.25">
      <c r="D521" s="8"/>
      <c r="E521" s="8"/>
      <c r="F521" s="3"/>
      <c r="G521" s="9"/>
      <c r="O521" s="3"/>
    </row>
    <row r="522" spans="4:15" x14ac:dyDescent="0.25">
      <c r="D522" s="8"/>
      <c r="E522" s="8"/>
      <c r="F522" s="3"/>
      <c r="G522" s="9"/>
      <c r="O522" s="3"/>
    </row>
    <row r="523" spans="4:15" x14ac:dyDescent="0.25">
      <c r="D523" s="8"/>
      <c r="E523" s="8"/>
      <c r="F523" s="3"/>
      <c r="G523" s="9"/>
      <c r="O523" s="3"/>
    </row>
    <row r="524" spans="4:15" x14ac:dyDescent="0.25">
      <c r="D524" s="8"/>
      <c r="E524" s="8"/>
      <c r="F524" s="3"/>
      <c r="G524" s="9"/>
      <c r="O524" s="3"/>
    </row>
    <row r="525" spans="4:15" x14ac:dyDescent="0.25">
      <c r="D525" s="8"/>
      <c r="E525" s="8"/>
      <c r="F525" s="3"/>
      <c r="G525" s="9"/>
      <c r="O525" s="3"/>
    </row>
    <row r="526" spans="4:15" x14ac:dyDescent="0.25">
      <c r="D526" s="8"/>
      <c r="E526" s="8"/>
      <c r="F526" s="3"/>
      <c r="G526" s="9"/>
      <c r="O526" s="3"/>
    </row>
    <row r="527" spans="4:15" x14ac:dyDescent="0.25">
      <c r="D527" s="8"/>
      <c r="E527" s="8"/>
      <c r="F527" s="3"/>
      <c r="O527" s="3"/>
    </row>
    <row r="528" spans="4:15" x14ac:dyDescent="0.25">
      <c r="D528" s="8"/>
      <c r="E528" s="8"/>
      <c r="F528" s="3"/>
      <c r="G528" s="9"/>
      <c r="O528" s="3"/>
    </row>
    <row r="529" spans="4:15" x14ac:dyDescent="0.25">
      <c r="D529" s="8"/>
      <c r="E529" s="8"/>
      <c r="F529" s="3"/>
      <c r="G529" s="9"/>
      <c r="O529" s="3"/>
    </row>
    <row r="530" spans="4:15" x14ac:dyDescent="0.25">
      <c r="D530" s="8"/>
      <c r="E530" s="8"/>
      <c r="F530" s="3"/>
      <c r="G530" s="9"/>
      <c r="O530" s="3"/>
    </row>
    <row r="531" spans="4:15" x14ac:dyDescent="0.25">
      <c r="D531" s="8"/>
      <c r="E531" s="8"/>
      <c r="F531" s="3"/>
      <c r="G531" s="9"/>
      <c r="O531" s="3"/>
    </row>
    <row r="532" spans="4:15" x14ac:dyDescent="0.25">
      <c r="D532" s="8"/>
      <c r="E532" s="8"/>
      <c r="F532" s="3"/>
      <c r="G532" s="9"/>
      <c r="O532" s="3"/>
    </row>
    <row r="533" spans="4:15" x14ac:dyDescent="0.25">
      <c r="D533" s="8"/>
      <c r="E533" s="8"/>
      <c r="F533" s="3"/>
      <c r="G533" s="9"/>
      <c r="O533" s="3"/>
    </row>
    <row r="534" spans="4:15" x14ac:dyDescent="0.25">
      <c r="D534" s="8"/>
      <c r="E534" s="8"/>
      <c r="F534" s="3"/>
      <c r="G534" s="9"/>
      <c r="O534" s="3"/>
    </row>
    <row r="535" spans="4:15" x14ac:dyDescent="0.25">
      <c r="D535" s="8"/>
      <c r="E535" s="8"/>
      <c r="F535" s="3"/>
      <c r="G535" s="9"/>
      <c r="O535" s="3"/>
    </row>
    <row r="536" spans="4:15" x14ac:dyDescent="0.25">
      <c r="D536" s="8"/>
      <c r="E536" s="8"/>
      <c r="F536" s="3"/>
      <c r="G536" s="9"/>
      <c r="O536" s="3"/>
    </row>
    <row r="537" spans="4:15" x14ac:dyDescent="0.25">
      <c r="D537" s="8"/>
      <c r="E537" s="8"/>
      <c r="F537" s="3"/>
      <c r="G537" s="9"/>
      <c r="O537" s="3"/>
    </row>
    <row r="538" spans="4:15" x14ac:dyDescent="0.25">
      <c r="D538" s="8"/>
      <c r="E538" s="8"/>
      <c r="F538" s="3"/>
      <c r="G538" s="9"/>
      <c r="O538" s="3"/>
    </row>
    <row r="539" spans="4:15" x14ac:dyDescent="0.25">
      <c r="D539" s="8"/>
      <c r="E539" s="8"/>
      <c r="F539" s="3"/>
      <c r="G539" s="9"/>
      <c r="O539" s="3"/>
    </row>
    <row r="540" spans="4:15" x14ac:dyDescent="0.25">
      <c r="D540" s="8"/>
      <c r="E540" s="8"/>
      <c r="F540" s="3"/>
      <c r="G540" s="9"/>
      <c r="O540" s="3"/>
    </row>
    <row r="541" spans="4:15" x14ac:dyDescent="0.25">
      <c r="D541" s="8"/>
      <c r="E541" s="8"/>
      <c r="F541" s="3"/>
      <c r="G541" s="9"/>
      <c r="O541" s="3"/>
    </row>
    <row r="542" spans="4:15" x14ac:dyDescent="0.25">
      <c r="D542" s="8"/>
      <c r="E542" s="8"/>
      <c r="F542" s="3"/>
      <c r="G542" s="9"/>
      <c r="O542" s="3"/>
    </row>
    <row r="543" spans="4:15" x14ac:dyDescent="0.25">
      <c r="D543" s="8"/>
      <c r="E543" s="8"/>
      <c r="F543" s="3"/>
      <c r="G543" s="9"/>
      <c r="O543" s="3"/>
    </row>
    <row r="544" spans="4:15" x14ac:dyDescent="0.25">
      <c r="D544" s="8"/>
      <c r="E544" s="8"/>
      <c r="F544" s="3"/>
      <c r="G544" s="9"/>
      <c r="O544" s="3"/>
    </row>
    <row r="545" spans="4:15" x14ac:dyDescent="0.25">
      <c r="D545" s="8"/>
      <c r="E545" s="8"/>
      <c r="F545" s="3"/>
      <c r="G545" s="9"/>
      <c r="O545" s="3"/>
    </row>
    <row r="546" spans="4:15" x14ac:dyDescent="0.25">
      <c r="D546" s="8"/>
      <c r="E546" s="8"/>
      <c r="F546" s="3"/>
      <c r="G546" s="9"/>
      <c r="O546" s="3"/>
    </row>
    <row r="547" spans="4:15" x14ac:dyDescent="0.25">
      <c r="D547" s="8"/>
      <c r="E547" s="8"/>
      <c r="F547" s="3"/>
      <c r="G547" s="9"/>
      <c r="O547" s="3"/>
    </row>
    <row r="548" spans="4:15" x14ac:dyDescent="0.25">
      <c r="D548" s="8"/>
      <c r="E548" s="8"/>
      <c r="F548" s="3"/>
      <c r="G548" s="9"/>
      <c r="O548" s="3"/>
    </row>
    <row r="549" spans="4:15" x14ac:dyDescent="0.25">
      <c r="D549" s="8"/>
      <c r="E549" s="8"/>
      <c r="F549" s="3"/>
      <c r="G549" s="9"/>
      <c r="O549" s="3"/>
    </row>
    <row r="550" spans="4:15" x14ac:dyDescent="0.25">
      <c r="D550" s="8"/>
      <c r="E550" s="8"/>
      <c r="F550" s="3"/>
      <c r="G550" s="9"/>
      <c r="O550" s="3"/>
    </row>
    <row r="551" spans="4:15" x14ac:dyDescent="0.25">
      <c r="D551" s="8"/>
      <c r="E551" s="8"/>
      <c r="F551" s="3"/>
      <c r="G551" s="9"/>
      <c r="O551" s="3"/>
    </row>
    <row r="552" spans="4:15" x14ac:dyDescent="0.25">
      <c r="D552" s="8"/>
      <c r="E552" s="8"/>
      <c r="F552" s="3"/>
      <c r="O552" s="3"/>
    </row>
    <row r="553" spans="4:15" x14ac:dyDescent="0.25">
      <c r="D553" s="8"/>
      <c r="E553" s="8"/>
      <c r="F553" s="3"/>
      <c r="G553" s="9"/>
      <c r="O553" s="3"/>
    </row>
    <row r="554" spans="4:15" x14ac:dyDescent="0.25">
      <c r="D554" s="8"/>
      <c r="E554" s="8"/>
      <c r="F554" s="3"/>
      <c r="G554" s="9"/>
      <c r="O554" s="3"/>
    </row>
    <row r="555" spans="4:15" x14ac:dyDescent="0.25">
      <c r="D555" s="8"/>
      <c r="E555" s="8"/>
      <c r="F555" s="3"/>
      <c r="G555" s="9"/>
      <c r="O555" s="3"/>
    </row>
    <row r="556" spans="4:15" x14ac:dyDescent="0.25">
      <c r="D556" s="8"/>
      <c r="E556" s="8"/>
      <c r="F556" s="3"/>
      <c r="G556" s="9"/>
      <c r="O556" s="3"/>
    </row>
    <row r="557" spans="4:15" x14ac:dyDescent="0.25">
      <c r="D557" s="8"/>
      <c r="E557" s="8"/>
      <c r="F557" s="3"/>
      <c r="G557" s="9"/>
      <c r="O557" s="3"/>
    </row>
    <row r="558" spans="4:15" x14ac:dyDescent="0.25">
      <c r="D558" s="8"/>
      <c r="E558" s="8"/>
      <c r="F558" s="3"/>
      <c r="G558" s="9"/>
      <c r="O558" s="3"/>
    </row>
    <row r="559" spans="4:15" x14ac:dyDescent="0.25">
      <c r="D559" s="8"/>
      <c r="E559" s="8"/>
      <c r="F559" s="3"/>
      <c r="G559" s="9"/>
      <c r="O559" s="3"/>
    </row>
    <row r="560" spans="4:15" x14ac:dyDescent="0.25">
      <c r="D560" s="8"/>
      <c r="E560" s="8"/>
      <c r="F560" s="3"/>
      <c r="G560" s="9"/>
      <c r="O560" s="3"/>
    </row>
    <row r="561" spans="4:15" x14ac:dyDescent="0.25">
      <c r="D561" s="8"/>
      <c r="E561" s="8"/>
      <c r="F561" s="3"/>
      <c r="G561" s="9"/>
      <c r="O561" s="3"/>
    </row>
    <row r="562" spans="4:15" x14ac:dyDescent="0.25">
      <c r="D562" s="8"/>
      <c r="E562" s="8"/>
      <c r="F562" s="3"/>
      <c r="G562" s="9"/>
      <c r="O562" s="3"/>
    </row>
    <row r="563" spans="4:15" x14ac:dyDescent="0.25">
      <c r="D563" s="8"/>
      <c r="E563" s="8"/>
      <c r="F563" s="3"/>
      <c r="G563" s="9"/>
      <c r="O563" s="3"/>
    </row>
    <row r="564" spans="4:15" x14ac:dyDescent="0.25">
      <c r="D564" s="8"/>
      <c r="E564" s="8"/>
      <c r="F564" s="3"/>
      <c r="G564" s="9"/>
      <c r="O564" s="3"/>
    </row>
    <row r="565" spans="4:15" x14ac:dyDescent="0.25">
      <c r="D565" s="8"/>
      <c r="E565" s="8"/>
      <c r="F565" s="3"/>
      <c r="G565" s="9"/>
      <c r="O565" s="3"/>
    </row>
    <row r="566" spans="4:15" x14ac:dyDescent="0.25">
      <c r="D566" s="8"/>
      <c r="E566" s="8"/>
      <c r="F566" s="3"/>
      <c r="G566" s="9"/>
      <c r="O566" s="3"/>
    </row>
    <row r="567" spans="4:15" x14ac:dyDescent="0.25">
      <c r="D567" s="8"/>
      <c r="E567" s="8"/>
      <c r="F567" s="3"/>
      <c r="G567" s="9"/>
      <c r="O567" s="3"/>
    </row>
    <row r="568" spans="4:15" x14ac:dyDescent="0.25">
      <c r="D568" s="8"/>
      <c r="E568" s="8"/>
      <c r="F568" s="3"/>
      <c r="G568" s="9"/>
      <c r="O568" s="3"/>
    </row>
    <row r="569" spans="4:15" x14ac:dyDescent="0.25">
      <c r="D569" s="8"/>
      <c r="E569" s="8"/>
      <c r="F569" s="3"/>
      <c r="G569" s="9"/>
      <c r="O569" s="3"/>
    </row>
    <row r="570" spans="4:15" x14ac:dyDescent="0.25">
      <c r="D570" s="8"/>
      <c r="E570" s="8"/>
      <c r="F570" s="3"/>
      <c r="G570" s="9"/>
      <c r="O570" s="3"/>
    </row>
    <row r="571" spans="4:15" x14ac:dyDescent="0.25">
      <c r="D571" s="8"/>
      <c r="E571" s="8"/>
      <c r="F571" s="3"/>
      <c r="G571" s="9"/>
      <c r="O571" s="3"/>
    </row>
    <row r="572" spans="4:15" x14ac:dyDescent="0.25">
      <c r="D572" s="8"/>
      <c r="E572" s="8"/>
      <c r="F572" s="3"/>
      <c r="G572" s="9"/>
      <c r="O572" s="3"/>
    </row>
    <row r="573" spans="4:15" x14ac:dyDescent="0.25">
      <c r="D573" s="8"/>
      <c r="E573" s="8"/>
      <c r="F573" s="3"/>
      <c r="G573" s="9"/>
      <c r="O573" s="3"/>
    </row>
    <row r="574" spans="4:15" x14ac:dyDescent="0.25">
      <c r="D574" s="8"/>
      <c r="E574" s="8"/>
      <c r="F574" s="3"/>
      <c r="G574" s="9"/>
      <c r="O574" s="3"/>
    </row>
    <row r="575" spans="4:15" x14ac:dyDescent="0.25">
      <c r="D575" s="8"/>
      <c r="E575" s="8"/>
      <c r="F575" s="3"/>
      <c r="G575" s="9"/>
      <c r="O575" s="3"/>
    </row>
    <row r="576" spans="4:15" x14ac:dyDescent="0.25">
      <c r="D576" s="8"/>
      <c r="E576" s="8"/>
      <c r="F576" s="3"/>
      <c r="G576" s="9"/>
      <c r="O576" s="3"/>
    </row>
    <row r="577" spans="4:15" x14ac:dyDescent="0.25">
      <c r="D577" s="8"/>
      <c r="E577" s="8"/>
      <c r="F577" s="3"/>
      <c r="O577" s="3"/>
    </row>
    <row r="578" spans="4:15" x14ac:dyDescent="0.25">
      <c r="D578" s="8"/>
      <c r="E578" s="8"/>
      <c r="F578" s="3"/>
      <c r="G578" s="9"/>
      <c r="O578" s="3"/>
    </row>
    <row r="579" spans="4:15" x14ac:dyDescent="0.25">
      <c r="D579" s="8"/>
      <c r="E579" s="8"/>
      <c r="F579" s="3"/>
      <c r="G579" s="9"/>
      <c r="O579" s="3"/>
    </row>
    <row r="580" spans="4:15" x14ac:dyDescent="0.25">
      <c r="D580" s="8"/>
      <c r="E580" s="8"/>
      <c r="F580" s="3"/>
      <c r="G580" s="9"/>
      <c r="O580" s="3"/>
    </row>
    <row r="581" spans="4:15" x14ac:dyDescent="0.25">
      <c r="D581" s="8"/>
      <c r="E581" s="8"/>
      <c r="F581" s="3"/>
      <c r="G581" s="9"/>
      <c r="O581" s="3"/>
    </row>
    <row r="582" spans="4:15" x14ac:dyDescent="0.25">
      <c r="D582" s="8"/>
      <c r="E582" s="8"/>
      <c r="F582" s="3"/>
      <c r="G582" s="9"/>
      <c r="O582" s="3"/>
    </row>
    <row r="583" spans="4:15" x14ac:dyDescent="0.25">
      <c r="D583" s="8"/>
      <c r="E583" s="8"/>
      <c r="F583" s="3"/>
      <c r="G583" s="9"/>
      <c r="O583" s="3"/>
    </row>
    <row r="584" spans="4:15" x14ac:dyDescent="0.25">
      <c r="D584" s="8"/>
      <c r="E584" s="8"/>
      <c r="F584" s="3"/>
      <c r="G584" s="9"/>
      <c r="O584" s="3"/>
    </row>
    <row r="585" spans="4:15" x14ac:dyDescent="0.25">
      <c r="D585" s="8"/>
      <c r="E585" s="8"/>
      <c r="F585" s="3"/>
      <c r="G585" s="9"/>
      <c r="O585" s="3"/>
    </row>
    <row r="586" spans="4:15" x14ac:dyDescent="0.25">
      <c r="D586" s="8"/>
      <c r="E586" s="8"/>
      <c r="F586" s="3"/>
      <c r="G586" s="9"/>
      <c r="O586" s="3"/>
    </row>
    <row r="587" spans="4:15" x14ac:dyDescent="0.25">
      <c r="D587" s="8"/>
      <c r="E587" s="8"/>
      <c r="F587" s="3"/>
      <c r="G587" s="9"/>
      <c r="O587" s="3"/>
    </row>
    <row r="588" spans="4:15" x14ac:dyDescent="0.25">
      <c r="D588" s="8"/>
      <c r="E588" s="8"/>
      <c r="F588" s="3"/>
      <c r="G588" s="9"/>
      <c r="O588" s="3"/>
    </row>
    <row r="589" spans="4:15" x14ac:dyDescent="0.25">
      <c r="D589" s="8"/>
      <c r="E589" s="8"/>
      <c r="F589" s="3"/>
      <c r="G589" s="9"/>
      <c r="O589" s="3"/>
    </row>
    <row r="590" spans="4:15" x14ac:dyDescent="0.25">
      <c r="D590" s="8"/>
      <c r="E590" s="8"/>
      <c r="F590" s="3"/>
      <c r="G590" s="9"/>
      <c r="O590" s="3"/>
    </row>
    <row r="591" spans="4:15" x14ac:dyDescent="0.25">
      <c r="D591" s="8"/>
      <c r="E591" s="8"/>
      <c r="F591" s="3"/>
      <c r="G591" s="9"/>
      <c r="O591" s="3"/>
    </row>
    <row r="592" spans="4:15" x14ac:dyDescent="0.25">
      <c r="D592" s="8"/>
      <c r="E592" s="8"/>
      <c r="F592" s="3"/>
      <c r="G592" s="9"/>
      <c r="O592" s="3"/>
    </row>
    <row r="593" spans="4:15" x14ac:dyDescent="0.25">
      <c r="D593" s="8"/>
      <c r="E593" s="8"/>
      <c r="F593" s="3"/>
      <c r="G593" s="9"/>
      <c r="O593" s="3"/>
    </row>
    <row r="594" spans="4:15" x14ac:dyDescent="0.25">
      <c r="D594" s="8"/>
      <c r="E594" s="8"/>
      <c r="F594" s="3"/>
      <c r="G594" s="9"/>
      <c r="O594" s="3"/>
    </row>
    <row r="595" spans="4:15" x14ac:dyDescent="0.25">
      <c r="D595" s="8"/>
      <c r="E595" s="8"/>
      <c r="F595" s="3"/>
      <c r="G595" s="9"/>
      <c r="O595" s="3"/>
    </row>
    <row r="596" spans="4:15" x14ac:dyDescent="0.25">
      <c r="D596" s="8"/>
      <c r="E596" s="8"/>
      <c r="F596" s="3"/>
      <c r="G596" s="9"/>
      <c r="O596" s="3"/>
    </row>
    <row r="597" spans="4:15" x14ac:dyDescent="0.25">
      <c r="D597" s="8"/>
      <c r="E597" s="8"/>
      <c r="F597" s="3"/>
      <c r="G597" s="9"/>
      <c r="O597" s="3"/>
    </row>
    <row r="598" spans="4:15" x14ac:dyDescent="0.25">
      <c r="D598" s="8"/>
      <c r="E598" s="8"/>
      <c r="F598" s="3"/>
      <c r="G598" s="9"/>
      <c r="O598" s="3"/>
    </row>
    <row r="599" spans="4:15" x14ac:dyDescent="0.25">
      <c r="D599" s="8"/>
      <c r="E599" s="8"/>
      <c r="F599" s="3"/>
      <c r="G599" s="9"/>
      <c r="O599" s="3"/>
    </row>
    <row r="600" spans="4:15" x14ac:dyDescent="0.25">
      <c r="D600" s="8"/>
      <c r="E600" s="8"/>
      <c r="F600" s="3"/>
      <c r="G600" s="9"/>
      <c r="O600" s="3"/>
    </row>
    <row r="601" spans="4:15" x14ac:dyDescent="0.25">
      <c r="D601" s="8"/>
      <c r="E601" s="8"/>
      <c r="F601" s="3"/>
      <c r="G601" s="9"/>
      <c r="O601" s="3"/>
    </row>
    <row r="602" spans="4:15" x14ac:dyDescent="0.25">
      <c r="D602" s="8"/>
      <c r="E602" s="8"/>
      <c r="F602" s="3"/>
      <c r="O602" s="3"/>
    </row>
    <row r="603" spans="4:15" x14ac:dyDescent="0.25">
      <c r="D603" s="8"/>
      <c r="E603" s="8"/>
      <c r="F603" s="3"/>
      <c r="G603" s="9"/>
      <c r="O603" s="3"/>
    </row>
    <row r="604" spans="4:15" x14ac:dyDescent="0.25">
      <c r="D604" s="8"/>
      <c r="E604" s="8"/>
      <c r="F604" s="3"/>
      <c r="G604" s="9"/>
      <c r="O604" s="3"/>
    </row>
    <row r="605" spans="4:15" x14ac:dyDescent="0.25">
      <c r="D605" s="8"/>
      <c r="E605" s="8"/>
      <c r="F605" s="3"/>
      <c r="G605" s="9"/>
      <c r="O605" s="3"/>
    </row>
    <row r="606" spans="4:15" x14ac:dyDescent="0.25">
      <c r="D606" s="8"/>
      <c r="E606" s="8"/>
      <c r="F606" s="3"/>
      <c r="G606" s="9"/>
      <c r="O606" s="3"/>
    </row>
    <row r="607" spans="4:15" x14ac:dyDescent="0.25">
      <c r="D607" s="8"/>
      <c r="E607" s="8"/>
      <c r="F607" s="3"/>
      <c r="G607" s="9"/>
      <c r="O607" s="3"/>
    </row>
    <row r="608" spans="4:15" x14ac:dyDescent="0.25">
      <c r="D608" s="8"/>
      <c r="E608" s="8"/>
      <c r="F608" s="3"/>
      <c r="G608" s="9"/>
      <c r="O608" s="3"/>
    </row>
    <row r="609" spans="4:15" x14ac:dyDescent="0.25">
      <c r="D609" s="8"/>
      <c r="E609" s="8"/>
      <c r="F609" s="3"/>
      <c r="G609" s="9"/>
      <c r="O609" s="3"/>
    </row>
    <row r="610" spans="4:15" x14ac:dyDescent="0.25">
      <c r="D610" s="8"/>
      <c r="E610" s="8"/>
      <c r="F610" s="3"/>
      <c r="G610" s="9"/>
      <c r="O610" s="3"/>
    </row>
    <row r="611" spans="4:15" x14ac:dyDescent="0.25">
      <c r="D611" s="8"/>
      <c r="E611" s="8"/>
      <c r="F611" s="3"/>
      <c r="G611" s="9"/>
      <c r="O611" s="3"/>
    </row>
    <row r="612" spans="4:15" x14ac:dyDescent="0.25">
      <c r="D612" s="8"/>
      <c r="E612" s="8"/>
      <c r="F612" s="3"/>
      <c r="G612" s="9"/>
      <c r="O612" s="3"/>
    </row>
    <row r="613" spans="4:15" x14ac:dyDescent="0.25">
      <c r="D613" s="8"/>
      <c r="E613" s="8"/>
      <c r="F613" s="3"/>
      <c r="G613" s="9"/>
      <c r="O613" s="3"/>
    </row>
    <row r="614" spans="4:15" x14ac:dyDescent="0.25">
      <c r="D614" s="8"/>
      <c r="E614" s="8"/>
      <c r="F614" s="3"/>
      <c r="G614" s="9"/>
      <c r="O614" s="3"/>
    </row>
    <row r="615" spans="4:15" x14ac:dyDescent="0.25">
      <c r="D615" s="8"/>
      <c r="E615" s="8"/>
      <c r="F615" s="3"/>
      <c r="G615" s="9"/>
      <c r="O615" s="3"/>
    </row>
    <row r="616" spans="4:15" x14ac:dyDescent="0.25">
      <c r="D616" s="8"/>
      <c r="E616" s="8"/>
      <c r="F616" s="3"/>
      <c r="G616" s="9"/>
      <c r="O616" s="3"/>
    </row>
    <row r="617" spans="4:15" x14ac:dyDescent="0.25">
      <c r="D617" s="8"/>
      <c r="E617" s="8"/>
      <c r="F617" s="3"/>
      <c r="G617" s="9"/>
      <c r="O617" s="3"/>
    </row>
    <row r="618" spans="4:15" x14ac:dyDescent="0.25">
      <c r="D618" s="8"/>
      <c r="E618" s="8"/>
      <c r="F618" s="3"/>
      <c r="G618" s="9"/>
      <c r="O618" s="3"/>
    </row>
    <row r="619" spans="4:15" x14ac:dyDescent="0.25">
      <c r="D619" s="8"/>
      <c r="E619" s="8"/>
      <c r="F619" s="3"/>
      <c r="G619" s="9"/>
      <c r="O619" s="3"/>
    </row>
    <row r="620" spans="4:15" x14ac:dyDescent="0.25">
      <c r="D620" s="8"/>
      <c r="E620" s="8"/>
      <c r="F620" s="3"/>
      <c r="G620" s="9"/>
      <c r="O620" s="3"/>
    </row>
    <row r="621" spans="4:15" x14ac:dyDescent="0.25">
      <c r="D621" s="8"/>
      <c r="E621" s="8"/>
      <c r="F621" s="3"/>
      <c r="G621" s="9"/>
      <c r="O621" s="3"/>
    </row>
    <row r="622" spans="4:15" x14ac:dyDescent="0.25">
      <c r="D622" s="8"/>
      <c r="E622" s="8"/>
      <c r="F622" s="3"/>
      <c r="G622" s="9"/>
      <c r="O622" s="3"/>
    </row>
    <row r="623" spans="4:15" x14ac:dyDescent="0.25">
      <c r="D623" s="8"/>
      <c r="E623" s="8"/>
      <c r="F623" s="3"/>
      <c r="G623" s="9"/>
      <c r="O623" s="3"/>
    </row>
    <row r="624" spans="4:15" x14ac:dyDescent="0.25">
      <c r="D624" s="8"/>
      <c r="E624" s="8"/>
      <c r="F624" s="3"/>
      <c r="G624" s="9"/>
      <c r="O624" s="3"/>
    </row>
    <row r="625" spans="4:15" x14ac:dyDescent="0.25">
      <c r="D625" s="8"/>
      <c r="E625" s="8"/>
      <c r="F625" s="3"/>
      <c r="G625" s="9"/>
      <c r="O625" s="3"/>
    </row>
    <row r="626" spans="4:15" x14ac:dyDescent="0.25">
      <c r="D626" s="8"/>
      <c r="E626" s="8"/>
      <c r="F626" s="3"/>
      <c r="G626" s="9"/>
      <c r="O626" s="3"/>
    </row>
    <row r="627" spans="4:15" x14ac:dyDescent="0.25">
      <c r="D627" s="8"/>
      <c r="E627" s="8"/>
      <c r="F627" s="3"/>
      <c r="O627" s="3"/>
    </row>
    <row r="628" spans="4:15" x14ac:dyDescent="0.25">
      <c r="D628" s="8"/>
      <c r="E628" s="8"/>
      <c r="F628" s="3"/>
      <c r="G628" s="9"/>
      <c r="O628" s="3"/>
    </row>
    <row r="629" spans="4:15" x14ac:dyDescent="0.25">
      <c r="D629" s="8"/>
      <c r="E629" s="8"/>
      <c r="F629" s="3"/>
      <c r="G629" s="9"/>
      <c r="O629" s="3"/>
    </row>
    <row r="630" spans="4:15" x14ac:dyDescent="0.25">
      <c r="D630" s="8"/>
      <c r="E630" s="8"/>
      <c r="F630" s="3"/>
      <c r="G630" s="9"/>
      <c r="O630" s="3"/>
    </row>
    <row r="631" spans="4:15" x14ac:dyDescent="0.25">
      <c r="D631" s="8"/>
      <c r="E631" s="8"/>
      <c r="F631" s="3"/>
      <c r="G631" s="9"/>
      <c r="O631" s="3"/>
    </row>
    <row r="632" spans="4:15" x14ac:dyDescent="0.25">
      <c r="D632" s="8"/>
      <c r="E632" s="8"/>
      <c r="F632" s="3"/>
      <c r="G632" s="9"/>
      <c r="O632" s="3"/>
    </row>
    <row r="633" spans="4:15" x14ac:dyDescent="0.25">
      <c r="D633" s="8"/>
      <c r="E633" s="8"/>
      <c r="F633" s="3"/>
      <c r="G633" s="9"/>
      <c r="O633" s="3"/>
    </row>
    <row r="634" spans="4:15" x14ac:dyDescent="0.25">
      <c r="D634" s="8"/>
      <c r="E634" s="8"/>
      <c r="F634" s="3"/>
      <c r="G634" s="9"/>
      <c r="O634" s="3"/>
    </row>
    <row r="635" spans="4:15" x14ac:dyDescent="0.25">
      <c r="D635" s="8"/>
      <c r="E635" s="8"/>
      <c r="F635" s="3"/>
      <c r="G635" s="9"/>
      <c r="O635" s="3"/>
    </row>
    <row r="636" spans="4:15" x14ac:dyDescent="0.25">
      <c r="D636" s="8"/>
      <c r="E636" s="8"/>
      <c r="F636" s="3"/>
      <c r="G636" s="9"/>
      <c r="O636" s="3"/>
    </row>
    <row r="637" spans="4:15" x14ac:dyDescent="0.25">
      <c r="D637" s="8"/>
      <c r="E637" s="8"/>
      <c r="F637" s="3"/>
      <c r="G637" s="9"/>
      <c r="O637" s="3"/>
    </row>
    <row r="638" spans="4:15" x14ac:dyDescent="0.25">
      <c r="D638" s="8"/>
      <c r="E638" s="8"/>
      <c r="F638" s="3"/>
      <c r="G638" s="9"/>
      <c r="O638" s="3"/>
    </row>
    <row r="639" spans="4:15" x14ac:dyDescent="0.25">
      <c r="D639" s="8"/>
      <c r="E639" s="8"/>
      <c r="F639" s="3"/>
      <c r="G639" s="9"/>
      <c r="O639" s="3"/>
    </row>
    <row r="640" spans="4:15" x14ac:dyDescent="0.25">
      <c r="D640" s="8"/>
      <c r="E640" s="8"/>
      <c r="F640" s="3"/>
      <c r="G640" s="9"/>
      <c r="O640" s="3"/>
    </row>
    <row r="641" spans="4:15" x14ac:dyDescent="0.25">
      <c r="D641" s="8"/>
      <c r="E641" s="8"/>
      <c r="F641" s="3"/>
      <c r="G641" s="9"/>
      <c r="O641" s="3"/>
    </row>
    <row r="642" spans="4:15" x14ac:dyDescent="0.25">
      <c r="D642" s="8"/>
      <c r="E642" s="8"/>
      <c r="F642" s="3"/>
      <c r="G642" s="9"/>
      <c r="O642" s="3"/>
    </row>
    <row r="643" spans="4:15" x14ac:dyDescent="0.25">
      <c r="D643" s="8"/>
      <c r="E643" s="8"/>
      <c r="F643" s="3"/>
      <c r="G643" s="9"/>
      <c r="O643" s="3"/>
    </row>
    <row r="644" spans="4:15" x14ac:dyDescent="0.25">
      <c r="D644" s="8"/>
      <c r="E644" s="8"/>
      <c r="F644" s="3"/>
      <c r="G644" s="9"/>
      <c r="O644" s="3"/>
    </row>
    <row r="645" spans="4:15" x14ac:dyDescent="0.25">
      <c r="D645" s="8"/>
      <c r="E645" s="8"/>
      <c r="F645" s="3"/>
      <c r="G645" s="9"/>
      <c r="O645" s="3"/>
    </row>
    <row r="646" spans="4:15" x14ac:dyDescent="0.25">
      <c r="D646" s="8"/>
      <c r="E646" s="8"/>
      <c r="F646" s="3"/>
      <c r="G646" s="9"/>
      <c r="O646" s="3"/>
    </row>
    <row r="647" spans="4:15" x14ac:dyDescent="0.25">
      <c r="D647" s="8"/>
      <c r="E647" s="8"/>
      <c r="F647" s="3"/>
      <c r="G647" s="9"/>
      <c r="O647" s="3"/>
    </row>
    <row r="648" spans="4:15" x14ac:dyDescent="0.25">
      <c r="D648" s="8"/>
      <c r="E648" s="8"/>
      <c r="F648" s="3"/>
      <c r="G648" s="9"/>
      <c r="O648" s="3"/>
    </row>
    <row r="649" spans="4:15" x14ac:dyDescent="0.25">
      <c r="D649" s="8"/>
      <c r="E649" s="8"/>
      <c r="F649" s="3"/>
      <c r="G649" s="9"/>
      <c r="O649" s="3"/>
    </row>
    <row r="650" spans="4:15" x14ac:dyDescent="0.25">
      <c r="D650" s="8"/>
      <c r="E650" s="8"/>
      <c r="F650" s="3"/>
      <c r="G650" s="9"/>
      <c r="O650" s="3"/>
    </row>
    <row r="651" spans="4:15" x14ac:dyDescent="0.25">
      <c r="D651" s="8"/>
      <c r="E651" s="8"/>
      <c r="F651" s="3"/>
      <c r="G651" s="9"/>
      <c r="O651" s="3"/>
    </row>
    <row r="652" spans="4:15" x14ac:dyDescent="0.25">
      <c r="D652" s="8"/>
      <c r="E652" s="8"/>
      <c r="F652" s="3"/>
      <c r="O652" s="3"/>
    </row>
    <row r="653" spans="4:15" x14ac:dyDescent="0.25">
      <c r="D653" s="8"/>
      <c r="E653" s="8"/>
      <c r="F653" s="3"/>
      <c r="G653" s="9"/>
      <c r="O653" s="3"/>
    </row>
    <row r="654" spans="4:15" x14ac:dyDescent="0.25">
      <c r="D654" s="8"/>
      <c r="E654" s="8"/>
      <c r="F654" s="3"/>
      <c r="G654" s="9"/>
      <c r="O654" s="3"/>
    </row>
    <row r="655" spans="4:15" x14ac:dyDescent="0.25">
      <c r="D655" s="8"/>
      <c r="E655" s="8"/>
      <c r="F655" s="3"/>
      <c r="G655" s="9"/>
      <c r="O655" s="3"/>
    </row>
    <row r="656" spans="4:15" x14ac:dyDescent="0.25">
      <c r="D656" s="8"/>
      <c r="E656" s="8"/>
      <c r="F656" s="3"/>
      <c r="G656" s="9"/>
      <c r="O656" s="3"/>
    </row>
    <row r="657" spans="4:15" x14ac:dyDescent="0.25">
      <c r="D657" s="8"/>
      <c r="E657" s="8"/>
      <c r="F657" s="3"/>
      <c r="G657" s="9"/>
      <c r="O657" s="3"/>
    </row>
    <row r="658" spans="4:15" x14ac:dyDescent="0.25">
      <c r="D658" s="8"/>
      <c r="E658" s="8"/>
      <c r="F658" s="3"/>
      <c r="G658" s="9"/>
      <c r="O658" s="3"/>
    </row>
    <row r="659" spans="4:15" x14ac:dyDescent="0.25">
      <c r="D659" s="8"/>
      <c r="E659" s="8"/>
      <c r="F659" s="3"/>
      <c r="G659" s="9"/>
      <c r="O659" s="3"/>
    </row>
    <row r="660" spans="4:15" x14ac:dyDescent="0.25">
      <c r="D660" s="8"/>
      <c r="E660" s="8"/>
      <c r="F660" s="3"/>
      <c r="G660" s="9"/>
      <c r="O660" s="3"/>
    </row>
    <row r="661" spans="4:15" x14ac:dyDescent="0.25">
      <c r="D661" s="8"/>
      <c r="E661" s="8"/>
      <c r="F661" s="3"/>
      <c r="G661" s="9"/>
      <c r="O661" s="3"/>
    </row>
    <row r="662" spans="4:15" x14ac:dyDescent="0.25">
      <c r="D662" s="8"/>
      <c r="E662" s="8"/>
      <c r="F662" s="3"/>
      <c r="G662" s="9"/>
      <c r="O662" s="3"/>
    </row>
    <row r="663" spans="4:15" x14ac:dyDescent="0.25">
      <c r="D663" s="8"/>
      <c r="E663" s="8"/>
      <c r="F663" s="3"/>
      <c r="G663" s="9"/>
      <c r="O663" s="3"/>
    </row>
    <row r="664" spans="4:15" x14ac:dyDescent="0.25">
      <c r="D664" s="8"/>
      <c r="E664" s="8"/>
      <c r="F664" s="3"/>
      <c r="G664" s="9"/>
      <c r="O664" s="3"/>
    </row>
    <row r="665" spans="4:15" x14ac:dyDescent="0.25">
      <c r="D665" s="8"/>
      <c r="E665" s="8"/>
      <c r="F665" s="3"/>
      <c r="G665" s="9"/>
      <c r="O665" s="3"/>
    </row>
    <row r="666" spans="4:15" x14ac:dyDescent="0.25">
      <c r="D666" s="8"/>
      <c r="E666" s="8"/>
      <c r="F666" s="3"/>
      <c r="G666" s="9"/>
      <c r="O666" s="3"/>
    </row>
    <row r="667" spans="4:15" x14ac:dyDescent="0.25">
      <c r="D667" s="8"/>
      <c r="E667" s="8"/>
      <c r="F667" s="3"/>
      <c r="G667" s="9"/>
      <c r="O667" s="3"/>
    </row>
    <row r="668" spans="4:15" x14ac:dyDescent="0.25">
      <c r="D668" s="8"/>
      <c r="E668" s="8"/>
      <c r="F668" s="3"/>
      <c r="G668" s="9"/>
      <c r="O668" s="3"/>
    </row>
    <row r="669" spans="4:15" x14ac:dyDescent="0.25">
      <c r="D669" s="8"/>
      <c r="E669" s="8"/>
      <c r="F669" s="3"/>
      <c r="G669" s="9"/>
      <c r="O669" s="3"/>
    </row>
    <row r="670" spans="4:15" x14ac:dyDescent="0.25">
      <c r="D670" s="8"/>
      <c r="E670" s="8"/>
      <c r="F670" s="3"/>
      <c r="G670" s="9"/>
      <c r="O670" s="3"/>
    </row>
    <row r="671" spans="4:15" x14ac:dyDescent="0.25">
      <c r="D671" s="8"/>
      <c r="E671" s="8"/>
      <c r="F671" s="3"/>
      <c r="G671" s="9"/>
      <c r="O671" s="3"/>
    </row>
    <row r="672" spans="4:15" x14ac:dyDescent="0.25">
      <c r="D672" s="8"/>
      <c r="E672" s="8"/>
      <c r="F672" s="3"/>
      <c r="G672" s="9"/>
      <c r="O672" s="3"/>
    </row>
    <row r="673" spans="4:15" x14ac:dyDescent="0.25">
      <c r="D673" s="8"/>
      <c r="E673" s="8"/>
      <c r="F673" s="3"/>
      <c r="G673" s="9"/>
      <c r="O673" s="3"/>
    </row>
    <row r="674" spans="4:15" x14ac:dyDescent="0.25">
      <c r="D674" s="8"/>
      <c r="E674" s="8"/>
      <c r="F674" s="3"/>
      <c r="G674" s="9"/>
      <c r="O674" s="3"/>
    </row>
    <row r="675" spans="4:15" x14ac:dyDescent="0.25">
      <c r="D675" s="8"/>
      <c r="E675" s="8"/>
      <c r="F675" s="3"/>
      <c r="G675" s="9"/>
      <c r="O675" s="3"/>
    </row>
    <row r="676" spans="4:15" x14ac:dyDescent="0.25">
      <c r="D676" s="8"/>
      <c r="E676" s="8"/>
      <c r="F676" s="3"/>
      <c r="G676" s="9"/>
      <c r="O676" s="3"/>
    </row>
    <row r="677" spans="4:15" x14ac:dyDescent="0.25">
      <c r="D677" s="8"/>
      <c r="E677" s="8"/>
      <c r="F677" s="3"/>
      <c r="O677" s="3"/>
    </row>
    <row r="678" spans="4:15" x14ac:dyDescent="0.25">
      <c r="D678" s="8"/>
      <c r="E678" s="8"/>
      <c r="F678" s="3"/>
      <c r="G678" s="9"/>
      <c r="O678" s="3"/>
    </row>
    <row r="679" spans="4:15" x14ac:dyDescent="0.25">
      <c r="D679" s="8"/>
      <c r="E679" s="8"/>
      <c r="F679" s="3"/>
      <c r="G679" s="9"/>
      <c r="O679" s="3"/>
    </row>
    <row r="680" spans="4:15" x14ac:dyDescent="0.25">
      <c r="D680" s="8"/>
      <c r="E680" s="8"/>
      <c r="F680" s="3"/>
      <c r="G680" s="9"/>
      <c r="O680" s="3"/>
    </row>
    <row r="681" spans="4:15" x14ac:dyDescent="0.25">
      <c r="D681" s="8"/>
      <c r="E681" s="8"/>
      <c r="F681" s="3"/>
      <c r="G681" s="9"/>
      <c r="O681" s="3"/>
    </row>
    <row r="682" spans="4:15" x14ac:dyDescent="0.25">
      <c r="D682" s="8"/>
      <c r="E682" s="8"/>
      <c r="F682" s="3"/>
      <c r="G682" s="9"/>
      <c r="O682" s="3"/>
    </row>
    <row r="683" spans="4:15" x14ac:dyDescent="0.25">
      <c r="D683" s="8"/>
      <c r="E683" s="8"/>
      <c r="F683" s="3"/>
      <c r="G683" s="9"/>
      <c r="O683" s="3"/>
    </row>
    <row r="684" spans="4:15" x14ac:dyDescent="0.25">
      <c r="D684" s="8"/>
      <c r="E684" s="8"/>
      <c r="F684" s="3"/>
      <c r="G684" s="9"/>
      <c r="O684" s="3"/>
    </row>
    <row r="685" spans="4:15" x14ac:dyDescent="0.25">
      <c r="D685" s="8"/>
      <c r="E685" s="8"/>
      <c r="F685" s="3"/>
      <c r="G685" s="9"/>
      <c r="O685" s="3"/>
    </row>
    <row r="686" spans="4:15" x14ac:dyDescent="0.25">
      <c r="D686" s="8"/>
      <c r="E686" s="8"/>
      <c r="F686" s="3"/>
      <c r="G686" s="9"/>
      <c r="O686" s="3"/>
    </row>
    <row r="687" spans="4:15" x14ac:dyDescent="0.25">
      <c r="D687" s="8"/>
      <c r="E687" s="8"/>
      <c r="F687" s="3"/>
      <c r="G687" s="9"/>
      <c r="O687" s="3"/>
    </row>
    <row r="688" spans="4:15" x14ac:dyDescent="0.25">
      <c r="D688" s="8"/>
      <c r="E688" s="8"/>
      <c r="F688" s="3"/>
      <c r="G688" s="9"/>
      <c r="O688" s="3"/>
    </row>
    <row r="689" spans="4:15" x14ac:dyDescent="0.25">
      <c r="D689" s="8"/>
      <c r="E689" s="8"/>
      <c r="F689" s="3"/>
      <c r="G689" s="9"/>
      <c r="O689" s="3"/>
    </row>
    <row r="690" spans="4:15" x14ac:dyDescent="0.25">
      <c r="D690" s="8"/>
      <c r="E690" s="8"/>
      <c r="F690" s="3"/>
      <c r="G690" s="9"/>
      <c r="O690" s="3"/>
    </row>
    <row r="691" spans="4:15" x14ac:dyDescent="0.25">
      <c r="D691" s="8"/>
      <c r="E691" s="8"/>
      <c r="F691" s="3"/>
      <c r="G691" s="9"/>
      <c r="O691" s="3"/>
    </row>
    <row r="692" spans="4:15" x14ac:dyDescent="0.25">
      <c r="D692" s="8"/>
      <c r="E692" s="8"/>
      <c r="F692" s="3"/>
      <c r="G692" s="9"/>
      <c r="O692" s="3"/>
    </row>
    <row r="693" spans="4:15" x14ac:dyDescent="0.25">
      <c r="D693" s="8"/>
      <c r="E693" s="8"/>
      <c r="F693" s="3"/>
      <c r="G693" s="9"/>
      <c r="O693" s="3"/>
    </row>
    <row r="694" spans="4:15" x14ac:dyDescent="0.25">
      <c r="D694" s="8"/>
      <c r="E694" s="8"/>
      <c r="F694" s="3"/>
      <c r="G694" s="9"/>
      <c r="O694" s="3"/>
    </row>
    <row r="695" spans="4:15" x14ac:dyDescent="0.25">
      <c r="D695" s="8"/>
      <c r="E695" s="8"/>
      <c r="F695" s="3"/>
      <c r="G695" s="9"/>
      <c r="O695" s="3"/>
    </row>
    <row r="696" spans="4:15" x14ac:dyDescent="0.25">
      <c r="D696" s="8"/>
      <c r="E696" s="8"/>
      <c r="F696" s="3"/>
      <c r="G696" s="9"/>
      <c r="O696" s="3"/>
    </row>
    <row r="697" spans="4:15" x14ac:dyDescent="0.25">
      <c r="D697" s="8"/>
      <c r="E697" s="8"/>
      <c r="F697" s="3"/>
      <c r="G697" s="9"/>
      <c r="O697" s="3"/>
    </row>
    <row r="698" spans="4:15" x14ac:dyDescent="0.25">
      <c r="D698" s="8"/>
      <c r="E698" s="8"/>
      <c r="F698" s="3"/>
      <c r="G698" s="9"/>
      <c r="O698" s="3"/>
    </row>
    <row r="699" spans="4:15" x14ac:dyDescent="0.25">
      <c r="D699" s="8"/>
      <c r="E699" s="8"/>
      <c r="F699" s="3"/>
      <c r="G699" s="9"/>
      <c r="O699" s="3"/>
    </row>
    <row r="700" spans="4:15" x14ac:dyDescent="0.25">
      <c r="D700" s="8"/>
      <c r="E700" s="8"/>
      <c r="F700" s="3"/>
      <c r="G700" s="9"/>
      <c r="O700" s="3"/>
    </row>
    <row r="701" spans="4:15" x14ac:dyDescent="0.25">
      <c r="D701" s="8"/>
      <c r="E701" s="8"/>
      <c r="F701" s="3"/>
      <c r="G701" s="9"/>
      <c r="O701" s="3"/>
    </row>
    <row r="702" spans="4:15" x14ac:dyDescent="0.25">
      <c r="D702" s="8"/>
      <c r="E702" s="8"/>
      <c r="F702" s="3"/>
      <c r="O702" s="3"/>
    </row>
    <row r="703" spans="4:15" x14ac:dyDescent="0.25">
      <c r="D703" s="8"/>
      <c r="E703" s="8"/>
      <c r="F703" s="3"/>
      <c r="G703" s="9"/>
      <c r="O703" s="3"/>
    </row>
    <row r="704" spans="4:15" x14ac:dyDescent="0.25">
      <c r="D704" s="8"/>
      <c r="E704" s="8"/>
      <c r="F704" s="3"/>
      <c r="G704" s="9"/>
      <c r="O704" s="3"/>
    </row>
    <row r="705" spans="4:15" x14ac:dyDescent="0.25">
      <c r="D705" s="8"/>
      <c r="E705" s="8"/>
      <c r="F705" s="3"/>
      <c r="G705" s="9"/>
      <c r="O705" s="3"/>
    </row>
    <row r="706" spans="4:15" x14ac:dyDescent="0.25">
      <c r="D706" s="8"/>
      <c r="E706" s="8"/>
      <c r="F706" s="3"/>
      <c r="G706" s="9"/>
      <c r="O706" s="3"/>
    </row>
    <row r="707" spans="4:15" x14ac:dyDescent="0.25">
      <c r="D707" s="8"/>
      <c r="E707" s="8"/>
      <c r="F707" s="3"/>
      <c r="G707" s="9"/>
      <c r="O707" s="3"/>
    </row>
    <row r="708" spans="4:15" x14ac:dyDescent="0.25">
      <c r="D708" s="8"/>
      <c r="E708" s="8"/>
      <c r="F708" s="3"/>
      <c r="G708" s="9"/>
      <c r="O708" s="3"/>
    </row>
    <row r="709" spans="4:15" x14ac:dyDescent="0.25">
      <c r="D709" s="8"/>
      <c r="E709" s="8"/>
      <c r="F709" s="3"/>
      <c r="G709" s="9"/>
      <c r="O709" s="3"/>
    </row>
    <row r="710" spans="4:15" x14ac:dyDescent="0.25">
      <c r="D710" s="8"/>
      <c r="E710" s="8"/>
      <c r="F710" s="3"/>
      <c r="G710" s="9"/>
      <c r="O710" s="3"/>
    </row>
    <row r="711" spans="4:15" x14ac:dyDescent="0.25">
      <c r="D711" s="8"/>
      <c r="E711" s="8"/>
      <c r="F711" s="3"/>
      <c r="G711" s="9"/>
      <c r="O711" s="3"/>
    </row>
    <row r="712" spans="4:15" x14ac:dyDescent="0.25">
      <c r="D712" s="8"/>
      <c r="E712" s="8"/>
      <c r="F712" s="3"/>
      <c r="G712" s="9"/>
      <c r="O712" s="3"/>
    </row>
    <row r="713" spans="4:15" x14ac:dyDescent="0.25">
      <c r="D713" s="8"/>
      <c r="E713" s="8"/>
      <c r="F713" s="3"/>
      <c r="G713" s="9"/>
      <c r="O713" s="3"/>
    </row>
    <row r="714" spans="4:15" x14ac:dyDescent="0.25">
      <c r="D714" s="8"/>
      <c r="E714" s="8"/>
      <c r="F714" s="3"/>
      <c r="G714" s="9"/>
      <c r="O714" s="3"/>
    </row>
    <row r="715" spans="4:15" x14ac:dyDescent="0.25">
      <c r="D715" s="8"/>
      <c r="E715" s="8"/>
      <c r="F715" s="3"/>
      <c r="G715" s="9"/>
      <c r="O715" s="3"/>
    </row>
    <row r="716" spans="4:15" x14ac:dyDescent="0.25">
      <c r="D716" s="8"/>
      <c r="E716" s="8"/>
      <c r="F716" s="3"/>
      <c r="G716" s="9"/>
      <c r="O716" s="3"/>
    </row>
    <row r="717" spans="4:15" x14ac:dyDescent="0.25">
      <c r="D717" s="8"/>
      <c r="E717" s="8"/>
      <c r="F717" s="3"/>
      <c r="G717" s="9"/>
      <c r="O717" s="3"/>
    </row>
    <row r="718" spans="4:15" x14ac:dyDescent="0.25">
      <c r="D718" s="3"/>
      <c r="F718" s="3"/>
      <c r="G718" s="9"/>
      <c r="O718" s="3"/>
    </row>
    <row r="719" spans="4:15" x14ac:dyDescent="0.25">
      <c r="F719" s="3"/>
      <c r="G719" s="9"/>
      <c r="O719" s="3"/>
    </row>
    <row r="720" spans="4:15" x14ac:dyDescent="0.25">
      <c r="F720" s="3"/>
      <c r="G720" s="9"/>
      <c r="O720" s="3"/>
    </row>
    <row r="721" spans="6:15" x14ac:dyDescent="0.25">
      <c r="F721" s="3"/>
      <c r="G721" s="9"/>
      <c r="O721" s="3"/>
    </row>
    <row r="722" spans="6:15" x14ac:dyDescent="0.25">
      <c r="F722" s="3"/>
      <c r="G722" s="9"/>
      <c r="O722" s="3"/>
    </row>
    <row r="723" spans="6:15" x14ac:dyDescent="0.25">
      <c r="F723" s="3"/>
      <c r="G723" s="9"/>
      <c r="O723" s="3"/>
    </row>
    <row r="724" spans="6:15" x14ac:dyDescent="0.25">
      <c r="F724" s="3"/>
      <c r="G724" s="9"/>
      <c r="O724" s="3"/>
    </row>
    <row r="725" spans="6:15" x14ac:dyDescent="0.25">
      <c r="F725" s="3"/>
      <c r="G725" s="9"/>
      <c r="O725" s="3"/>
    </row>
    <row r="726" spans="6:15" x14ac:dyDescent="0.25">
      <c r="F726" s="3"/>
      <c r="G726" s="9"/>
      <c r="O726" s="3"/>
    </row>
    <row r="727" spans="6:15" x14ac:dyDescent="0.25">
      <c r="F727" s="3"/>
      <c r="O727" s="3"/>
    </row>
    <row r="728" spans="6:15" x14ac:dyDescent="0.25">
      <c r="F728" s="3"/>
      <c r="G728" s="9"/>
      <c r="O728" s="3"/>
    </row>
    <row r="729" spans="6:15" x14ac:dyDescent="0.25">
      <c r="F729" s="3"/>
      <c r="G729" s="9"/>
      <c r="O729" s="3"/>
    </row>
    <row r="730" spans="6:15" x14ac:dyDescent="0.25">
      <c r="F730" s="3"/>
      <c r="G730" s="9"/>
      <c r="O730" s="3"/>
    </row>
    <row r="731" spans="6:15" x14ac:dyDescent="0.25">
      <c r="F731" s="3"/>
      <c r="G731" s="9"/>
      <c r="O731" s="3"/>
    </row>
    <row r="732" spans="6:15" x14ac:dyDescent="0.25">
      <c r="F732" s="3"/>
      <c r="G732" s="9"/>
      <c r="O732" s="3"/>
    </row>
    <row r="733" spans="6:15" x14ac:dyDescent="0.25">
      <c r="F733" s="3"/>
      <c r="G733" s="9"/>
      <c r="O733" s="3"/>
    </row>
    <row r="734" spans="6:15" x14ac:dyDescent="0.25">
      <c r="F73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4"/>
  <sheetViews>
    <sheetView zoomScale="80" zoomScaleNormal="80" workbookViewId="0">
      <selection activeCell="B1" sqref="B1:C1048576"/>
    </sheetView>
  </sheetViews>
  <sheetFormatPr defaultRowHeight="15" x14ac:dyDescent="0.25"/>
  <cols>
    <col min="11" max="11" width="11.85546875" bestFit="1" customWidth="1"/>
    <col min="12" max="12" width="12.42578125" bestFit="1" customWidth="1"/>
    <col min="14" max="14" width="12.28515625" bestFit="1" customWidth="1"/>
    <col min="15" max="15" width="9.5703125" customWidth="1"/>
  </cols>
  <sheetData>
    <row r="1" spans="1:15" x14ac:dyDescent="0.25">
      <c r="B1" s="2">
        <v>45111.75</v>
      </c>
      <c r="C1" s="2">
        <v>45191.473684210527</v>
      </c>
      <c r="I1" s="5"/>
      <c r="K1" t="s">
        <v>17</v>
      </c>
      <c r="L1" s="9">
        <f>C1-B1</f>
        <v>79.723684210526699</v>
      </c>
      <c r="M1" s="9"/>
    </row>
    <row r="2" spans="1:15" x14ac:dyDescent="0.25">
      <c r="A2" t="s">
        <v>0</v>
      </c>
      <c r="B2" t="s">
        <v>1</v>
      </c>
      <c r="C2" t="s">
        <v>1</v>
      </c>
      <c r="D2" s="6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6" t="s">
        <v>10</v>
      </c>
      <c r="J2" s="6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15</v>
      </c>
    </row>
    <row r="3" spans="1:15" x14ac:dyDescent="0.25">
      <c r="A3">
        <v>2</v>
      </c>
      <c r="B3" s="3">
        <v>10.118850000000002</v>
      </c>
      <c r="C3" s="3">
        <v>11.305968421052633</v>
      </c>
      <c r="D3">
        <f>C3-B3</f>
        <v>1.1871184210526309</v>
      </c>
      <c r="E3">
        <f>(D3+D4)/2</f>
        <v>2.5450065789473686</v>
      </c>
      <c r="F3">
        <v>70</v>
      </c>
      <c r="G3">
        <v>7381</v>
      </c>
      <c r="H3">
        <f>E3*F3</f>
        <v>178.15046052631581</v>
      </c>
      <c r="I3">
        <f t="shared" ref="I3:I22" si="0">I4+H3</f>
        <v>621.67961118421101</v>
      </c>
      <c r="J3">
        <f t="shared" ref="J3:J23" si="1">(I3/G3)*1000</f>
        <v>84.227016824849073</v>
      </c>
    </row>
    <row r="4" spans="1:15" x14ac:dyDescent="0.25">
      <c r="A4">
        <v>10</v>
      </c>
      <c r="B4" s="3">
        <v>6.2438999999999991</v>
      </c>
      <c r="C4" s="3">
        <v>10.146794736842105</v>
      </c>
      <c r="D4">
        <f t="shared" ref="D4:D38" si="2">C4-B4</f>
        <v>3.9028947368421063</v>
      </c>
      <c r="E4">
        <f t="shared" ref="E4:E38" si="3">(D4+D5)/2</f>
        <v>3.4434309210526326</v>
      </c>
      <c r="F4">
        <v>70</v>
      </c>
      <c r="G4">
        <v>7338</v>
      </c>
      <c r="H4">
        <f t="shared" ref="H4:H38" si="4">E4*F4</f>
        <v>241.04016447368429</v>
      </c>
      <c r="I4">
        <f t="shared" si="0"/>
        <v>443.52915065789523</v>
      </c>
      <c r="J4">
        <f t="shared" si="1"/>
        <v>60.442784227023061</v>
      </c>
      <c r="K4">
        <f>(B5-B3)/(A5-A3)</f>
        <v>-0.2893541666666668</v>
      </c>
      <c r="L4">
        <f>(C5-C3)/(A5-A3)</f>
        <v>-0.18952923976608188</v>
      </c>
      <c r="M4">
        <f>(K4+L4)/2</f>
        <v>-0.23944170321637434</v>
      </c>
      <c r="N4">
        <f>-J4/(M4*86400*$L$1)</f>
        <v>3.6647433513136125E-5</v>
      </c>
      <c r="O4" s="3">
        <f>N4*10000</f>
        <v>0.36647433513136124</v>
      </c>
    </row>
    <row r="5" spans="1:15" x14ac:dyDescent="0.25">
      <c r="A5">
        <v>20</v>
      </c>
      <c r="B5" s="3">
        <v>4.9104749999999999</v>
      </c>
      <c r="C5" s="3">
        <v>7.8944421052631588</v>
      </c>
      <c r="D5">
        <f t="shared" si="2"/>
        <v>2.9839671052631589</v>
      </c>
      <c r="E5">
        <f t="shared" si="3"/>
        <v>2.157044736842106</v>
      </c>
      <c r="F5">
        <v>70</v>
      </c>
      <c r="G5">
        <v>7252</v>
      </c>
      <c r="H5">
        <f t="shared" si="4"/>
        <v>150.99313157894741</v>
      </c>
      <c r="I5">
        <f t="shared" si="0"/>
        <v>202.48898618421094</v>
      </c>
      <c r="J5">
        <f t="shared" si="1"/>
        <v>27.92181276671414</v>
      </c>
      <c r="K5">
        <f t="shared" ref="K5:K38" si="5">(B6-B4)/(A6-A4)</f>
        <v>-0.10219374999999994</v>
      </c>
      <c r="L5">
        <f t="shared" ref="L5:L38" si="6">(C6-C4)/(A6-A4)</f>
        <v>-0.23083236842105262</v>
      </c>
      <c r="M5">
        <f t="shared" ref="M5:M38" si="7">(K5+L5)/2</f>
        <v>-0.16651305921052628</v>
      </c>
      <c r="N5">
        <f t="shared" ref="N5:N38" si="8">-J5/(M5*86400*$L$1)</f>
        <v>2.4344127169016195E-5</v>
      </c>
      <c r="O5" s="3">
        <f t="shared" ref="O5:O38" si="9">N5*10000</f>
        <v>0.24344127169016194</v>
      </c>
    </row>
    <row r="6" spans="1:15" x14ac:dyDescent="0.25">
      <c r="A6">
        <v>30</v>
      </c>
      <c r="B6" s="3">
        <v>4.2000250000000001</v>
      </c>
      <c r="C6" s="3">
        <v>5.5301473684210531</v>
      </c>
      <c r="D6">
        <f t="shared" si="2"/>
        <v>1.330122368421053</v>
      </c>
      <c r="E6">
        <f t="shared" si="3"/>
        <v>0.8806894736842108</v>
      </c>
      <c r="F6">
        <v>70</v>
      </c>
      <c r="G6">
        <v>7218</v>
      </c>
      <c r="H6">
        <f t="shared" si="4"/>
        <v>61.648263157894753</v>
      </c>
      <c r="I6">
        <f t="shared" si="0"/>
        <v>51.495854605263546</v>
      </c>
      <c r="J6">
        <f t="shared" si="1"/>
        <v>7.1343661132257621</v>
      </c>
      <c r="K6">
        <f t="shared" si="5"/>
        <v>-4.0545000000000012E-2</v>
      </c>
      <c r="L6">
        <f t="shared" si="6"/>
        <v>-0.16818052631578953</v>
      </c>
      <c r="M6">
        <f t="shared" si="7"/>
        <v>-0.10436276315789478</v>
      </c>
      <c r="N6">
        <f t="shared" si="8"/>
        <v>9.9245019257562155E-6</v>
      </c>
      <c r="O6" s="3">
        <f t="shared" si="9"/>
        <v>9.9245019257562156E-2</v>
      </c>
    </row>
    <row r="7" spans="1:15" x14ac:dyDescent="0.25">
      <c r="A7">
        <v>40</v>
      </c>
      <c r="B7" s="3">
        <v>4.0995749999999997</v>
      </c>
      <c r="C7" s="3">
        <v>4.5308315789473683</v>
      </c>
      <c r="D7">
        <f t="shared" si="2"/>
        <v>0.43125657894736857</v>
      </c>
      <c r="E7">
        <f t="shared" si="3"/>
        <v>0.32784802631578991</v>
      </c>
      <c r="F7">
        <v>70</v>
      </c>
      <c r="G7">
        <v>7128.25</v>
      </c>
      <c r="H7">
        <f t="shared" si="4"/>
        <v>22.949361842105294</v>
      </c>
      <c r="I7">
        <f t="shared" si="0"/>
        <v>-10.152408552631204</v>
      </c>
      <c r="J7">
        <f t="shared" si="1"/>
        <v>-1.4242497881852072</v>
      </c>
      <c r="K7">
        <f t="shared" si="5"/>
        <v>-9.9387500000000188E-3</v>
      </c>
      <c r="L7">
        <f t="shared" si="6"/>
        <v>-6.5222894736842105E-2</v>
      </c>
      <c r="M7">
        <f t="shared" si="7"/>
        <v>-3.7580822368421064E-2</v>
      </c>
      <c r="N7">
        <f t="shared" si="8"/>
        <v>-5.5019771379441228E-6</v>
      </c>
      <c r="O7" s="3">
        <f t="shared" si="9"/>
        <v>-5.501977137944123E-2</v>
      </c>
    </row>
    <row r="8" spans="1:15" x14ac:dyDescent="0.25">
      <c r="A8">
        <v>50</v>
      </c>
      <c r="B8" s="3">
        <v>4.0012499999999998</v>
      </c>
      <c r="C8" s="3">
        <v>4.225689473684211</v>
      </c>
      <c r="D8">
        <f t="shared" si="2"/>
        <v>0.22443947368421124</v>
      </c>
      <c r="E8">
        <f t="shared" si="3"/>
        <v>0.18031842105263163</v>
      </c>
      <c r="F8">
        <v>65</v>
      </c>
      <c r="G8">
        <v>6875.5</v>
      </c>
      <c r="H8">
        <f t="shared" si="4"/>
        <v>11.720697368421057</v>
      </c>
      <c r="I8">
        <f t="shared" si="0"/>
        <v>-33.101770394736498</v>
      </c>
      <c r="J8">
        <f t="shared" si="1"/>
        <v>-4.8144528244835278</v>
      </c>
      <c r="K8">
        <f t="shared" si="5"/>
        <v>-6.4462499999999867E-3</v>
      </c>
      <c r="L8">
        <f t="shared" si="6"/>
        <v>-2.1199210526315813E-2</v>
      </c>
      <c r="M8">
        <f t="shared" si="7"/>
        <v>-1.38227302631579E-2</v>
      </c>
      <c r="N8">
        <f t="shared" si="8"/>
        <v>-5.0565231461440165E-5</v>
      </c>
      <c r="O8" s="3">
        <f t="shared" si="9"/>
        <v>-0.50565231461440163</v>
      </c>
    </row>
    <row r="9" spans="1:15" x14ac:dyDescent="0.25">
      <c r="A9">
        <v>60</v>
      </c>
      <c r="B9" s="3">
        <v>3.97065</v>
      </c>
      <c r="C9" s="3">
        <v>4.106847368421052</v>
      </c>
      <c r="D9">
        <f t="shared" si="2"/>
        <v>0.13619736842105201</v>
      </c>
      <c r="E9">
        <f t="shared" si="3"/>
        <v>0.10820394736842087</v>
      </c>
      <c r="F9">
        <v>65</v>
      </c>
      <c r="G9">
        <v>6622.75</v>
      </c>
      <c r="H9">
        <f t="shared" si="4"/>
        <v>7.0332565789473565</v>
      </c>
      <c r="I9">
        <f>I10+H9</f>
        <v>-44.822467763157555</v>
      </c>
      <c r="J9">
        <f>(I9/G9)*1000</f>
        <v>-6.76795406185611</v>
      </c>
      <c r="K9">
        <f t="shared" si="5"/>
        <v>-3.0974999999999974E-3</v>
      </c>
      <c r="L9">
        <f t="shared" si="6"/>
        <v>-1.0308947368421074E-2</v>
      </c>
      <c r="M9">
        <f t="shared" si="7"/>
        <v>-6.7032236842105358E-3</v>
      </c>
      <c r="N9">
        <f t="shared" si="8"/>
        <v>-1.4657928119513782E-4</v>
      </c>
      <c r="O9" s="3">
        <f>N9*10000</f>
        <v>-1.4657928119513781</v>
      </c>
    </row>
    <row r="10" spans="1:15" x14ac:dyDescent="0.25">
      <c r="A10">
        <v>70</v>
      </c>
      <c r="B10" s="3">
        <v>3.9392999999999998</v>
      </c>
      <c r="C10" s="3">
        <v>4.0195105263157895</v>
      </c>
      <c r="D10">
        <f t="shared" si="2"/>
        <v>8.0210526315789732E-2</v>
      </c>
      <c r="E10">
        <f t="shared" si="3"/>
        <v>6.0028289473684104E-2</v>
      </c>
      <c r="F10">
        <v>65</v>
      </c>
      <c r="G10">
        <v>6370</v>
      </c>
      <c r="H10">
        <f>E10*F10</f>
        <v>3.9018388157894668</v>
      </c>
      <c r="I10">
        <f t="shared" si="0"/>
        <v>-51.855724342104914</v>
      </c>
      <c r="J10">
        <f t="shared" si="1"/>
        <v>-8.1406160662645082</v>
      </c>
      <c r="K10">
        <f t="shared" si="5"/>
        <v>-2.6487499999999996E-3</v>
      </c>
      <c r="L10">
        <f t="shared" si="6"/>
        <v>-7.4663157894736768E-3</v>
      </c>
      <c r="M10">
        <f t="shared" si="7"/>
        <v>-5.0575328947368384E-3</v>
      </c>
      <c r="N10">
        <f t="shared" si="8"/>
        <v>-2.3367779925762285E-4</v>
      </c>
      <c r="O10" s="3">
        <f t="shared" si="9"/>
        <v>-2.3367779925762284</v>
      </c>
    </row>
    <row r="11" spans="1:15" x14ac:dyDescent="0.25">
      <c r="A11">
        <v>80</v>
      </c>
      <c r="B11" s="3">
        <v>3.917675</v>
      </c>
      <c r="C11" s="3">
        <v>3.9575210526315785</v>
      </c>
      <c r="D11">
        <f t="shared" si="2"/>
        <v>3.9846052631578477E-2</v>
      </c>
      <c r="E11">
        <f>(D11+D12)/2</f>
        <v>2.7800657894736958E-2</v>
      </c>
      <c r="F11">
        <v>65</v>
      </c>
      <c r="G11">
        <v>6223</v>
      </c>
      <c r="H11">
        <f t="shared" si="4"/>
        <v>1.8070427631579022</v>
      </c>
      <c r="I11">
        <f t="shared" si="0"/>
        <v>-55.757563157894381</v>
      </c>
      <c r="J11">
        <f t="shared" si="1"/>
        <v>-8.9599169464718589</v>
      </c>
      <c r="K11">
        <f t="shared" si="5"/>
        <v>-2.3824999999999762E-3</v>
      </c>
      <c r="L11">
        <f t="shared" si="6"/>
        <v>-5.6052631578946913E-3</v>
      </c>
      <c r="M11">
        <f t="shared" si="7"/>
        <v>-3.993881578947334E-3</v>
      </c>
      <c r="N11">
        <f t="shared" si="8"/>
        <v>-3.2569245491273469E-4</v>
      </c>
      <c r="O11" s="3">
        <f t="shared" si="9"/>
        <v>-3.2569245491273469</v>
      </c>
    </row>
    <row r="12" spans="1:15" x14ac:dyDescent="0.25">
      <c r="A12">
        <v>90</v>
      </c>
      <c r="B12" s="3">
        <v>3.8916500000000003</v>
      </c>
      <c r="C12" s="3">
        <v>3.9074052631578957</v>
      </c>
      <c r="D12">
        <f t="shared" si="2"/>
        <v>1.5755263157895438E-2</v>
      </c>
      <c r="E12">
        <f t="shared" si="3"/>
        <v>8.0934210526322214E-3</v>
      </c>
      <c r="F12">
        <v>65</v>
      </c>
      <c r="G12">
        <v>6076</v>
      </c>
      <c r="H12">
        <f t="shared" si="4"/>
        <v>0.52607236842109439</v>
      </c>
      <c r="I12">
        <f t="shared" si="0"/>
        <v>-57.564605921052284</v>
      </c>
      <c r="J12">
        <f t="shared" si="1"/>
        <v>-9.4740957737084077</v>
      </c>
      <c r="K12">
        <f t="shared" si="5"/>
        <v>-2.6037499999999937E-3</v>
      </c>
      <c r="L12">
        <f t="shared" si="6"/>
        <v>-4.5744736842104668E-3</v>
      </c>
      <c r="M12">
        <f t="shared" si="7"/>
        <v>-3.58911184210523E-3</v>
      </c>
      <c r="N12">
        <f t="shared" si="8"/>
        <v>-3.8322133211508104E-4</v>
      </c>
      <c r="O12" s="3">
        <f t="shared" si="9"/>
        <v>-3.8322133211508103</v>
      </c>
    </row>
    <row r="13" spans="1:15" x14ac:dyDescent="0.25">
      <c r="A13">
        <v>100</v>
      </c>
      <c r="B13" s="3">
        <v>3.8656000000000001</v>
      </c>
      <c r="C13" s="3">
        <v>3.8660315789473692</v>
      </c>
      <c r="D13">
        <f t="shared" si="2"/>
        <v>4.315789473690046E-4</v>
      </c>
      <c r="E13">
        <f t="shared" si="3"/>
        <v>-1.4037499999999703E-2</v>
      </c>
      <c r="F13">
        <v>315</v>
      </c>
      <c r="G13">
        <v>5919</v>
      </c>
      <c r="H13">
        <f t="shared" si="4"/>
        <v>-4.4218124999999064</v>
      </c>
      <c r="I13">
        <f t="shared" si="0"/>
        <v>-58.090678289473381</v>
      </c>
      <c r="J13">
        <f t="shared" si="1"/>
        <v>-9.814272392207025</v>
      </c>
      <c r="K13">
        <f t="shared" si="5"/>
        <v>-2.0412500000000092E-3</v>
      </c>
      <c r="L13">
        <f t="shared" si="6"/>
        <v>-2.7789473684210735E-3</v>
      </c>
      <c r="M13">
        <f t="shared" si="7"/>
        <v>-2.4100986842105414E-3</v>
      </c>
      <c r="N13">
        <f t="shared" si="8"/>
        <v>-5.911833296644636E-4</v>
      </c>
      <c r="O13" s="3">
        <f t="shared" si="9"/>
        <v>-5.9118332966446356</v>
      </c>
    </row>
    <row r="14" spans="1:15" x14ac:dyDescent="0.25">
      <c r="A14">
        <v>150</v>
      </c>
      <c r="B14" s="3">
        <v>3.7691749999999997</v>
      </c>
      <c r="C14" s="3">
        <v>3.7406684210526313</v>
      </c>
      <c r="D14">
        <f t="shared" si="2"/>
        <v>-2.8506578947368411E-2</v>
      </c>
      <c r="E14">
        <f t="shared" si="3"/>
        <v>-2.6184868421052832E-2</v>
      </c>
      <c r="F14">
        <v>311</v>
      </c>
      <c r="G14">
        <v>5762</v>
      </c>
      <c r="H14">
        <f t="shared" si="4"/>
        <v>-8.1434940789474304</v>
      </c>
      <c r="I14">
        <f t="shared" si="0"/>
        <v>-53.668865789473472</v>
      </c>
      <c r="J14">
        <f t="shared" si="1"/>
        <v>-9.3142772977218797</v>
      </c>
      <c r="K14">
        <f t="shared" si="5"/>
        <v>-1.8460000000000011E-3</v>
      </c>
      <c r="L14">
        <f t="shared" si="6"/>
        <v>-2.0889473684210635E-3</v>
      </c>
      <c r="M14">
        <f t="shared" si="7"/>
        <v>-1.9674736842105324E-3</v>
      </c>
      <c r="N14">
        <f t="shared" si="8"/>
        <v>-6.8728858105111628E-4</v>
      </c>
      <c r="O14" s="3">
        <f t="shared" si="9"/>
        <v>-6.8728858105111623</v>
      </c>
    </row>
    <row r="15" spans="1:15" x14ac:dyDescent="0.25">
      <c r="A15">
        <v>200</v>
      </c>
      <c r="B15" s="3">
        <v>3.681</v>
      </c>
      <c r="C15" s="3">
        <v>3.6571368421052628</v>
      </c>
      <c r="D15">
        <f t="shared" si="2"/>
        <v>-2.3863157894737252E-2</v>
      </c>
      <c r="E15">
        <f t="shared" si="3"/>
        <v>-2.6259210526315524E-2</v>
      </c>
      <c r="F15">
        <v>305</v>
      </c>
      <c r="G15">
        <v>5461</v>
      </c>
      <c r="H15">
        <f t="shared" si="4"/>
        <v>-8.0090592105262353</v>
      </c>
      <c r="I15">
        <f t="shared" si="0"/>
        <v>-45.525371710526045</v>
      </c>
      <c r="J15">
        <f t="shared" si="1"/>
        <v>-8.3364533438062711</v>
      </c>
      <c r="K15">
        <f t="shared" si="5"/>
        <v>-1.3802499999999984E-3</v>
      </c>
      <c r="L15">
        <f t="shared" si="6"/>
        <v>-1.3817368421052522E-3</v>
      </c>
      <c r="M15">
        <f t="shared" si="7"/>
        <v>-1.3809934210526253E-3</v>
      </c>
      <c r="N15">
        <f t="shared" si="8"/>
        <v>-8.7637223840642908E-4</v>
      </c>
      <c r="O15" s="3">
        <f t="shared" si="9"/>
        <v>-8.763722384064291</v>
      </c>
    </row>
    <row r="16" spans="1:15" x14ac:dyDescent="0.25">
      <c r="A16">
        <v>250</v>
      </c>
      <c r="B16" s="3">
        <v>3.6311499999999999</v>
      </c>
      <c r="C16" s="3">
        <v>3.6024947368421061</v>
      </c>
      <c r="D16">
        <f t="shared" si="2"/>
        <v>-2.8655263157893796E-2</v>
      </c>
      <c r="E16">
        <f t="shared" si="3"/>
        <v>-2.4771052631578083E-2</v>
      </c>
      <c r="F16">
        <v>298</v>
      </c>
      <c r="G16">
        <v>5186</v>
      </c>
      <c r="H16">
        <f t="shared" si="4"/>
        <v>-7.3817736842102688</v>
      </c>
      <c r="I16">
        <f t="shared" si="0"/>
        <v>-37.516312499999813</v>
      </c>
      <c r="J16">
        <f t="shared" si="1"/>
        <v>-7.2341520439644835</v>
      </c>
      <c r="K16">
        <f t="shared" si="5"/>
        <v>-9.8450000000000143E-4</v>
      </c>
      <c r="L16">
        <f t="shared" si="6"/>
        <v>-9.5473684210525269E-4</v>
      </c>
      <c r="M16">
        <f t="shared" si="7"/>
        <v>-9.6961842105262701E-4</v>
      </c>
      <c r="N16">
        <f t="shared" si="8"/>
        <v>-1.0831426870749562E-3</v>
      </c>
      <c r="O16" s="3">
        <f t="shared" si="9"/>
        <v>-10.831426870749562</v>
      </c>
    </row>
    <row r="17" spans="1:15" x14ac:dyDescent="0.25">
      <c r="A17">
        <v>300</v>
      </c>
      <c r="B17" s="3">
        <v>3.5825499999999999</v>
      </c>
      <c r="C17" s="3">
        <v>3.5616631578947375</v>
      </c>
      <c r="D17">
        <f t="shared" si="2"/>
        <v>-2.0886842105262371E-2</v>
      </c>
      <c r="E17">
        <f t="shared" si="3"/>
        <v>-1.9986842105262692E-2</v>
      </c>
      <c r="F17">
        <v>289</v>
      </c>
      <c r="G17">
        <v>4893</v>
      </c>
      <c r="H17">
        <f t="shared" si="4"/>
        <v>-5.7761973684209185</v>
      </c>
      <c r="I17">
        <f t="shared" si="0"/>
        <v>-30.134538815789547</v>
      </c>
      <c r="J17">
        <f t="shared" si="1"/>
        <v>-6.1587040293867865</v>
      </c>
      <c r="K17">
        <f t="shared" si="5"/>
        <v>-8.2300000000000038E-4</v>
      </c>
      <c r="L17">
        <f t="shared" si="6"/>
        <v>-7.2731578947369255E-4</v>
      </c>
      <c r="M17">
        <f t="shared" si="7"/>
        <v>-7.7515789473684652E-4</v>
      </c>
      <c r="N17">
        <f t="shared" si="8"/>
        <v>-1.1534480956161641E-3</v>
      </c>
      <c r="O17" s="3">
        <f t="shared" si="9"/>
        <v>-11.534480956161641</v>
      </c>
    </row>
    <row r="18" spans="1:15" x14ac:dyDescent="0.25">
      <c r="A18">
        <v>350</v>
      </c>
      <c r="B18" s="3">
        <v>3.5488499999999998</v>
      </c>
      <c r="C18" s="3">
        <v>3.5297631578947368</v>
      </c>
      <c r="D18">
        <f t="shared" si="2"/>
        <v>-1.9086842105263013E-2</v>
      </c>
      <c r="E18">
        <f t="shared" si="3"/>
        <v>-1.8603289473684059E-2</v>
      </c>
      <c r="F18">
        <v>284</v>
      </c>
      <c r="G18">
        <v>4615</v>
      </c>
      <c r="H18">
        <f t="shared" si="4"/>
        <v>-5.2833342105262728</v>
      </c>
      <c r="I18">
        <f t="shared" si="0"/>
        <v>-24.358341447368627</v>
      </c>
      <c r="J18">
        <f t="shared" si="1"/>
        <v>-5.2780804869704498</v>
      </c>
      <c r="K18">
        <f t="shared" si="5"/>
        <v>-6.4525000000000162E-4</v>
      </c>
      <c r="L18">
        <f t="shared" si="6"/>
        <v>-6.1757894736842896E-4</v>
      </c>
      <c r="M18">
        <f t="shared" si="7"/>
        <v>-6.3141447368421529E-4</v>
      </c>
      <c r="N18">
        <f t="shared" si="8"/>
        <v>-1.2135575404058382E-3</v>
      </c>
      <c r="O18" s="3">
        <f t="shared" si="9"/>
        <v>-12.135575404058383</v>
      </c>
    </row>
    <row r="19" spans="1:15" x14ac:dyDescent="0.25">
      <c r="A19">
        <v>400</v>
      </c>
      <c r="B19" s="3">
        <v>3.5180249999999997</v>
      </c>
      <c r="C19" s="3">
        <v>3.4999052631578946</v>
      </c>
      <c r="D19">
        <f t="shared" si="2"/>
        <v>-1.8119736842105105E-2</v>
      </c>
      <c r="E19">
        <f t="shared" si="3"/>
        <v>-1.8173684210526453E-2</v>
      </c>
      <c r="F19">
        <v>279</v>
      </c>
      <c r="G19">
        <v>4306</v>
      </c>
      <c r="H19">
        <f t="shared" si="4"/>
        <v>-5.0704578947368804</v>
      </c>
      <c r="I19">
        <f t="shared" si="0"/>
        <v>-19.075007236842353</v>
      </c>
      <c r="J19">
        <f t="shared" si="1"/>
        <v>-4.4298669848681733</v>
      </c>
      <c r="K19">
        <f t="shared" si="5"/>
        <v>-5.3674999999999697E-4</v>
      </c>
      <c r="L19">
        <f t="shared" si="6"/>
        <v>-5.2815789473684485E-4</v>
      </c>
      <c r="M19">
        <f t="shared" si="7"/>
        <v>-5.3245394736842091E-4</v>
      </c>
      <c r="N19">
        <f t="shared" si="8"/>
        <v>-1.2078347829578629E-3</v>
      </c>
      <c r="O19" s="3">
        <f t="shared" si="9"/>
        <v>-12.078347829578629</v>
      </c>
    </row>
    <row r="20" spans="1:15" x14ac:dyDescent="0.25">
      <c r="A20">
        <v>450</v>
      </c>
      <c r="B20" s="3">
        <v>3.4951750000000001</v>
      </c>
      <c r="C20" s="3">
        <v>3.4769473684210523</v>
      </c>
      <c r="D20">
        <f t="shared" si="2"/>
        <v>-1.8227631578947801E-2</v>
      </c>
      <c r="E20">
        <f t="shared" si="3"/>
        <v>-1.5511842105263351E-2</v>
      </c>
      <c r="F20">
        <v>271</v>
      </c>
      <c r="G20">
        <v>3966</v>
      </c>
      <c r="H20">
        <f t="shared" si="4"/>
        <v>-4.2037092105263678</v>
      </c>
      <c r="I20">
        <f t="shared" si="0"/>
        <v>-14.004549342105472</v>
      </c>
      <c r="J20">
        <f t="shared" si="1"/>
        <v>-3.531152128619635</v>
      </c>
      <c r="K20">
        <f t="shared" si="5"/>
        <v>-4.814999999999969E-4</v>
      </c>
      <c r="L20">
        <f t="shared" si="6"/>
        <v>-4.282631578947349E-4</v>
      </c>
      <c r="M20">
        <f t="shared" si="7"/>
        <v>-4.5488157894736593E-4</v>
      </c>
      <c r="N20">
        <f t="shared" si="8"/>
        <v>-1.126981989727355E-3</v>
      </c>
      <c r="O20" s="3">
        <f t="shared" si="9"/>
        <v>-11.26981989727355</v>
      </c>
    </row>
    <row r="21" spans="1:15" x14ac:dyDescent="0.25">
      <c r="A21">
        <v>500</v>
      </c>
      <c r="B21" s="3">
        <v>3.469875</v>
      </c>
      <c r="C21" s="3">
        <v>3.4570789473684211</v>
      </c>
      <c r="D21">
        <f t="shared" si="2"/>
        <v>-1.2796052631578902E-2</v>
      </c>
      <c r="E21">
        <f t="shared" si="3"/>
        <v>-1.1217763157894911E-2</v>
      </c>
      <c r="F21">
        <v>262</v>
      </c>
      <c r="G21">
        <v>3571</v>
      </c>
      <c r="H21">
        <f t="shared" si="4"/>
        <v>-2.9390539473684667</v>
      </c>
      <c r="I21">
        <f t="shared" si="0"/>
        <v>-9.8008401315791041</v>
      </c>
      <c r="J21">
        <f t="shared" si="1"/>
        <v>-2.7445645845922999</v>
      </c>
      <c r="K21">
        <f t="shared" si="5"/>
        <v>-4.6625000000000139E-4</v>
      </c>
      <c r="L21">
        <f t="shared" si="6"/>
        <v>-3.8036842105263255E-4</v>
      </c>
      <c r="M21">
        <f t="shared" si="7"/>
        <v>-4.2330921052631694E-4</v>
      </c>
      <c r="N21">
        <f t="shared" si="8"/>
        <v>-9.4127090380706751E-4</v>
      </c>
      <c r="O21" s="3">
        <f t="shared" si="9"/>
        <v>-9.412709038070675</v>
      </c>
    </row>
    <row r="22" spans="1:15" x14ac:dyDescent="0.25">
      <c r="A22">
        <v>550</v>
      </c>
      <c r="B22" s="3">
        <v>3.44855</v>
      </c>
      <c r="C22" s="3">
        <v>3.4389105263157891</v>
      </c>
      <c r="D22">
        <f t="shared" si="2"/>
        <v>-9.6394736842109197E-3</v>
      </c>
      <c r="E22">
        <f t="shared" si="3"/>
        <v>-9.1743421052632446E-3</v>
      </c>
      <c r="F22">
        <v>251</v>
      </c>
      <c r="G22">
        <v>3239</v>
      </c>
      <c r="H22">
        <f t="shared" si="4"/>
        <v>-2.3027598684210746</v>
      </c>
      <c r="I22">
        <f t="shared" si="0"/>
        <v>-6.8617861842106382</v>
      </c>
      <c r="J22">
        <f t="shared" si="1"/>
        <v>-2.1184890966997956</v>
      </c>
      <c r="K22">
        <f t="shared" si="5"/>
        <v>-3.6049999999999917E-4</v>
      </c>
      <c r="L22">
        <f t="shared" si="6"/>
        <v>-3.1963157894736581E-4</v>
      </c>
      <c r="M22">
        <f t="shared" si="7"/>
        <v>-3.4006578947368246E-4</v>
      </c>
      <c r="N22">
        <f t="shared" si="8"/>
        <v>-9.0440339973071437E-4</v>
      </c>
      <c r="O22" s="3">
        <f t="shared" si="9"/>
        <v>-9.0440339973071442</v>
      </c>
    </row>
    <row r="23" spans="1:15" x14ac:dyDescent="0.25">
      <c r="A23">
        <v>600</v>
      </c>
      <c r="B23" s="3">
        <v>3.4338250000000001</v>
      </c>
      <c r="C23" s="3">
        <v>3.4251157894736846</v>
      </c>
      <c r="D23">
        <f t="shared" si="2"/>
        <v>-8.7092105263155695E-3</v>
      </c>
      <c r="E23">
        <f t="shared" si="3"/>
        <v>-8.9269736842105818E-3</v>
      </c>
      <c r="F23">
        <v>240</v>
      </c>
      <c r="G23">
        <v>2767</v>
      </c>
      <c r="H23">
        <f t="shared" si="4"/>
        <v>-2.1424736842105396</v>
      </c>
      <c r="I23">
        <f>I24+H23</f>
        <v>-4.5590263157895636</v>
      </c>
      <c r="J23">
        <f t="shared" si="1"/>
        <v>-1.6476423259087689</v>
      </c>
      <c r="K23">
        <f t="shared" si="5"/>
        <v>-2.6799999999999714E-4</v>
      </c>
      <c r="L23">
        <f t="shared" si="6"/>
        <v>-2.6305263157894388E-4</v>
      </c>
      <c r="M23">
        <f t="shared" si="7"/>
        <v>-2.6552631578947051E-4</v>
      </c>
      <c r="N23">
        <f t="shared" si="8"/>
        <v>-9.0085370202992688E-4</v>
      </c>
      <c r="O23" s="3">
        <f t="shared" si="9"/>
        <v>-9.0085370202992685</v>
      </c>
    </row>
    <row r="24" spans="1:15" x14ac:dyDescent="0.25">
      <c r="A24">
        <v>650</v>
      </c>
      <c r="B24" s="3">
        <v>3.4217500000000003</v>
      </c>
      <c r="C24" s="3">
        <v>3.4126052631578947</v>
      </c>
      <c r="D24">
        <f t="shared" si="2"/>
        <v>-9.1447368421055941E-3</v>
      </c>
      <c r="E24">
        <f t="shared" si="3"/>
        <v>-1.0552631578947702E-2</v>
      </c>
      <c r="F24">
        <v>229</v>
      </c>
      <c r="G24">
        <v>2129</v>
      </c>
      <c r="H24">
        <f t="shared" si="4"/>
        <v>-2.416552631579024</v>
      </c>
      <c r="I24">
        <f>H24</f>
        <v>-2.416552631579024</v>
      </c>
      <c r="J24">
        <f>(I24/G24)*1000</f>
        <v>-1.1350646461150888</v>
      </c>
      <c r="K24">
        <f t="shared" si="5"/>
        <v>-2.0675000000000221E-4</v>
      </c>
      <c r="L24">
        <f t="shared" si="6"/>
        <v>-2.3926315789474462E-4</v>
      </c>
      <c r="M24">
        <f t="shared" si="7"/>
        <v>-2.2300657894737343E-4</v>
      </c>
      <c r="N24">
        <f t="shared" si="8"/>
        <v>-7.3892748160078823E-4</v>
      </c>
      <c r="O24" s="3">
        <f t="shared" si="9"/>
        <v>-7.3892748160078821</v>
      </c>
    </row>
    <row r="25" spans="1:15" x14ac:dyDescent="0.25">
      <c r="A25">
        <v>700</v>
      </c>
      <c r="B25" s="3">
        <v>3.4131499999999999</v>
      </c>
      <c r="C25" s="3">
        <v>3.4011894736842101</v>
      </c>
      <c r="D25">
        <f t="shared" si="2"/>
        <v>-1.196052631578981E-2</v>
      </c>
      <c r="E25">
        <f t="shared" si="3"/>
        <v>-1.0711842105263436E-2</v>
      </c>
      <c r="F25" s="3">
        <v>216</v>
      </c>
      <c r="G25">
        <v>2130</v>
      </c>
      <c r="H25">
        <f t="shared" si="4"/>
        <v>-2.3137578947369022</v>
      </c>
      <c r="I25">
        <f t="shared" ref="I25:I38" si="10">H25</f>
        <v>-2.3137578947369022</v>
      </c>
      <c r="J25">
        <f t="shared" ref="J25:J38" si="11">(I25/G25)*1000</f>
        <v>-1.0862713120830527</v>
      </c>
      <c r="K25">
        <f t="shared" si="5"/>
        <v>-1.9950000000000577E-4</v>
      </c>
      <c r="L25">
        <f t="shared" si="6"/>
        <v>-2.0268421052632046E-4</v>
      </c>
      <c r="M25">
        <f t="shared" si="7"/>
        <v>-2.0109210526316311E-4</v>
      </c>
      <c r="N25">
        <f t="shared" si="8"/>
        <v>-7.8422771541348277E-4</v>
      </c>
      <c r="O25" s="3">
        <f t="shared" si="9"/>
        <v>-7.8422771541348277</v>
      </c>
    </row>
    <row r="26" spans="1:15" x14ac:dyDescent="0.25">
      <c r="A26">
        <v>750</v>
      </c>
      <c r="B26" s="3">
        <v>3.4017999999999997</v>
      </c>
      <c r="C26" s="3">
        <v>3.3923368421052627</v>
      </c>
      <c r="D26">
        <f t="shared" si="2"/>
        <v>-9.463157894737062E-3</v>
      </c>
      <c r="E26">
        <f t="shared" si="3"/>
        <v>-9.0967105263157766E-3</v>
      </c>
      <c r="F26" s="3">
        <v>205</v>
      </c>
      <c r="G26">
        <v>2131</v>
      </c>
      <c r="H26">
        <f t="shared" si="4"/>
        <v>-1.8648256578947342</v>
      </c>
      <c r="I26">
        <f t="shared" si="10"/>
        <v>-1.8648256578947342</v>
      </c>
      <c r="J26">
        <f t="shared" si="11"/>
        <v>-0.87509416137716289</v>
      </c>
      <c r="K26">
        <f t="shared" si="5"/>
        <v>-1.992499999999975E-4</v>
      </c>
      <c r="L26">
        <f t="shared" si="6"/>
        <v>-1.669473684210443E-4</v>
      </c>
      <c r="M26">
        <f t="shared" si="7"/>
        <v>-1.830986842105209E-4</v>
      </c>
      <c r="N26">
        <f t="shared" si="8"/>
        <v>-6.9385458134967688E-4</v>
      </c>
      <c r="O26" s="3">
        <f t="shared" si="9"/>
        <v>-6.938545813496769</v>
      </c>
    </row>
    <row r="27" spans="1:15" x14ac:dyDescent="0.25">
      <c r="A27">
        <v>800</v>
      </c>
      <c r="B27" s="3">
        <v>3.3932250000000002</v>
      </c>
      <c r="C27" s="3">
        <v>3.3844947368421057</v>
      </c>
      <c r="D27">
        <f t="shared" si="2"/>
        <v>-8.7302631578944911E-3</v>
      </c>
      <c r="E27">
        <f t="shared" si="3"/>
        <v>-7.3598684210529619E-3</v>
      </c>
      <c r="F27" s="3">
        <v>192</v>
      </c>
      <c r="G27">
        <v>2132</v>
      </c>
      <c r="H27">
        <f t="shared" si="4"/>
        <v>-1.4130947368421687</v>
      </c>
      <c r="I27">
        <f t="shared" si="10"/>
        <v>-1.4130947368421687</v>
      </c>
      <c r="J27">
        <f t="shared" si="11"/>
        <v>-0.66280240940064195</v>
      </c>
      <c r="K27">
        <f t="shared" si="5"/>
        <v>-1.5499999999999848E-4</v>
      </c>
      <c r="L27">
        <f t="shared" si="6"/>
        <v>-1.2026315789474217E-4</v>
      </c>
      <c r="M27">
        <f t="shared" si="7"/>
        <v>-1.3763157894737033E-4</v>
      </c>
      <c r="N27">
        <f t="shared" si="8"/>
        <v>-6.9914118056291826E-4</v>
      </c>
      <c r="O27" s="3">
        <f t="shared" si="9"/>
        <v>-6.9914118056291823</v>
      </c>
    </row>
    <row r="28" spans="1:15" x14ac:dyDescent="0.25">
      <c r="A28">
        <v>850</v>
      </c>
      <c r="B28" s="3">
        <v>3.3862999999999999</v>
      </c>
      <c r="C28" s="3">
        <v>3.3803105263157884</v>
      </c>
      <c r="D28">
        <f t="shared" si="2"/>
        <v>-5.9894736842114327E-3</v>
      </c>
      <c r="E28">
        <f t="shared" si="3"/>
        <v>-5.5197368421056048E-3</v>
      </c>
      <c r="F28" s="3">
        <v>181</v>
      </c>
      <c r="G28">
        <v>2133</v>
      </c>
      <c r="H28">
        <f t="shared" si="4"/>
        <v>-0.99907236842111447</v>
      </c>
      <c r="I28">
        <f t="shared" si="10"/>
        <v>-0.99907236842111447</v>
      </c>
      <c r="J28">
        <f t="shared" si="11"/>
        <v>-0.46838835837839404</v>
      </c>
      <c r="K28">
        <f t="shared" si="5"/>
        <v>-1.1775000000000091E-4</v>
      </c>
      <c r="L28">
        <f t="shared" si="6"/>
        <v>-8.0947368421053765E-5</v>
      </c>
      <c r="M28">
        <f t="shared" si="7"/>
        <v>-9.9348684210527345E-5</v>
      </c>
      <c r="N28">
        <f t="shared" si="8"/>
        <v>-6.8445180005259013E-4</v>
      </c>
      <c r="O28" s="3">
        <f t="shared" si="9"/>
        <v>-6.844518000525901</v>
      </c>
    </row>
    <row r="29" spans="1:15" x14ac:dyDescent="0.25">
      <c r="A29">
        <v>900</v>
      </c>
      <c r="B29" s="3">
        <v>3.3814500000000001</v>
      </c>
      <c r="C29" s="3">
        <v>3.3764000000000003</v>
      </c>
      <c r="D29">
        <f t="shared" si="2"/>
        <v>-5.0499999999997769E-3</v>
      </c>
      <c r="E29">
        <f t="shared" si="3"/>
        <v>-5.0539473684207969E-3</v>
      </c>
      <c r="F29" s="3">
        <v>177</v>
      </c>
      <c r="G29">
        <v>2134</v>
      </c>
      <c r="H29">
        <f t="shared" si="4"/>
        <v>-0.89454868421048106</v>
      </c>
      <c r="I29">
        <f t="shared" si="10"/>
        <v>-0.89454868421048106</v>
      </c>
      <c r="J29">
        <f t="shared" si="11"/>
        <v>-0.41918869925514579</v>
      </c>
      <c r="K29">
        <f t="shared" si="5"/>
        <v>-7.6999999999998185E-5</v>
      </c>
      <c r="L29">
        <f t="shared" si="6"/>
        <v>-6.7684210526302023E-5</v>
      </c>
      <c r="M29">
        <f t="shared" si="7"/>
        <v>-7.2342105263150104E-5</v>
      </c>
      <c r="N29">
        <f t="shared" si="8"/>
        <v>-8.4123497444819082E-4</v>
      </c>
      <c r="O29" s="3">
        <f t="shared" si="9"/>
        <v>-8.412349744481908</v>
      </c>
    </row>
    <row r="30" spans="1:15" x14ac:dyDescent="0.25">
      <c r="A30">
        <v>950</v>
      </c>
      <c r="B30" s="3">
        <v>3.3786</v>
      </c>
      <c r="C30" s="3">
        <v>3.3735421052631582</v>
      </c>
      <c r="D30">
        <f t="shared" si="2"/>
        <v>-5.057894736841817E-3</v>
      </c>
      <c r="E30">
        <f t="shared" si="3"/>
        <v>-4.0988003095971948E-3</v>
      </c>
      <c r="F30" s="3">
        <v>172</v>
      </c>
      <c r="G30">
        <v>2135</v>
      </c>
      <c r="H30">
        <f t="shared" si="4"/>
        <v>-0.7049936532507175</v>
      </c>
      <c r="I30">
        <f t="shared" si="10"/>
        <v>-0.7049936532507175</v>
      </c>
      <c r="J30">
        <f t="shared" si="11"/>
        <v>-0.33020780011743206</v>
      </c>
      <c r="K30">
        <f t="shared" si="5"/>
        <v>-7.0750000000003861E-5</v>
      </c>
      <c r="L30">
        <f t="shared" si="6"/>
        <v>-5.1647058823531822E-5</v>
      </c>
      <c r="M30">
        <f t="shared" si="7"/>
        <v>-6.1198529411767835E-5</v>
      </c>
      <c r="N30">
        <f t="shared" si="8"/>
        <v>-7.8333086476038922E-4</v>
      </c>
      <c r="O30" s="3">
        <f t="shared" si="9"/>
        <v>-7.833308647603892</v>
      </c>
    </row>
    <row r="31" spans="1:15" x14ac:dyDescent="0.25">
      <c r="A31">
        <v>1000</v>
      </c>
      <c r="B31" s="3">
        <v>3.3743749999999997</v>
      </c>
      <c r="C31" s="3">
        <v>3.3712352941176471</v>
      </c>
      <c r="D31">
        <f t="shared" si="2"/>
        <v>-3.1397058823525725E-3</v>
      </c>
      <c r="E31">
        <f t="shared" si="3"/>
        <v>-2.9640196078430936E-3</v>
      </c>
      <c r="F31" s="3">
        <v>167</v>
      </c>
      <c r="G31">
        <v>2136</v>
      </c>
      <c r="H31">
        <f t="shared" si="4"/>
        <v>-0.49499127450979663</v>
      </c>
      <c r="I31">
        <f t="shared" si="10"/>
        <v>-0.49499127450979663</v>
      </c>
      <c r="J31">
        <f t="shared" si="11"/>
        <v>-0.2317374880663842</v>
      </c>
      <c r="K31">
        <f t="shared" si="5"/>
        <v>-6.7249999999998694E-5</v>
      </c>
      <c r="L31">
        <f t="shared" si="6"/>
        <v>-4.4554385964916678E-5</v>
      </c>
      <c r="M31">
        <f t="shared" si="7"/>
        <v>-5.5902192982457686E-5</v>
      </c>
      <c r="N31">
        <f t="shared" si="8"/>
        <v>-6.0181962713345624E-4</v>
      </c>
      <c r="O31" s="3">
        <f t="shared" si="9"/>
        <v>-6.0181962713345625</v>
      </c>
    </row>
    <row r="32" spans="1:15" x14ac:dyDescent="0.25">
      <c r="A32">
        <v>1050</v>
      </c>
      <c r="B32" s="3">
        <v>3.3718750000000002</v>
      </c>
      <c r="C32" s="3">
        <v>3.3690866666666666</v>
      </c>
      <c r="D32">
        <f t="shared" si="2"/>
        <v>-2.7883333333336147E-3</v>
      </c>
      <c r="E32">
        <f t="shared" si="3"/>
        <v>-3.0691666666669004E-3</v>
      </c>
      <c r="F32" s="3">
        <v>160</v>
      </c>
      <c r="G32">
        <v>2137</v>
      </c>
      <c r="H32">
        <f t="shared" si="4"/>
        <v>-0.49106666666670407</v>
      </c>
      <c r="I32">
        <f t="shared" si="10"/>
        <v>-0.49106666666670407</v>
      </c>
      <c r="J32">
        <f t="shared" si="11"/>
        <v>-0.22979254406490598</v>
      </c>
      <c r="K32">
        <f t="shared" si="5"/>
        <v>-3.4499999999995092E-5</v>
      </c>
      <c r="L32">
        <f t="shared" si="6"/>
        <v>-3.6602941176471224E-5</v>
      </c>
      <c r="M32">
        <f t="shared" si="7"/>
        <v>-3.5551470588233162E-5</v>
      </c>
      <c r="N32">
        <f t="shared" si="8"/>
        <v>-9.3837679700581528E-4</v>
      </c>
      <c r="O32" s="3">
        <f t="shared" si="9"/>
        <v>-9.3837679700581536</v>
      </c>
    </row>
    <row r="33" spans="1:15" x14ac:dyDescent="0.25">
      <c r="A33">
        <v>1100</v>
      </c>
      <c r="B33" s="3">
        <v>3.3709250000000002</v>
      </c>
      <c r="C33" s="3">
        <v>3.367575</v>
      </c>
      <c r="D33">
        <f t="shared" si="2"/>
        <v>-3.3500000000001862E-3</v>
      </c>
      <c r="E33">
        <f t="shared" si="3"/>
        <v>-3.5654761904762022E-3</v>
      </c>
      <c r="F33" s="3">
        <v>151</v>
      </c>
      <c r="G33">
        <v>2138</v>
      </c>
      <c r="H33">
        <f t="shared" si="4"/>
        <v>-0.53838690476190654</v>
      </c>
      <c r="I33">
        <f t="shared" si="10"/>
        <v>-0.53838690476190654</v>
      </c>
      <c r="J33">
        <f t="shared" si="11"/>
        <v>-0.25181800971090107</v>
      </c>
      <c r="K33">
        <f t="shared" si="5"/>
        <v>-1.4083333333334558E-5</v>
      </c>
      <c r="L33">
        <f t="shared" si="6"/>
        <v>-2.4009523809520593E-5</v>
      </c>
      <c r="M33">
        <f t="shared" si="7"/>
        <v>-1.9046428571427574E-5</v>
      </c>
      <c r="N33">
        <f t="shared" si="8"/>
        <v>-1.9194293532344368E-3</v>
      </c>
      <c r="O33" s="3">
        <f t="shared" si="9"/>
        <v>-19.194293532344368</v>
      </c>
    </row>
    <row r="34" spans="1:15" x14ac:dyDescent="0.25">
      <c r="A34">
        <v>1150</v>
      </c>
      <c r="B34" s="3">
        <v>3.3704666666666667</v>
      </c>
      <c r="C34" s="3">
        <v>3.3666857142857145</v>
      </c>
      <c r="D34">
        <f t="shared" si="2"/>
        <v>-3.7809523809522183E-3</v>
      </c>
      <c r="E34">
        <f t="shared" si="3"/>
        <v>-1.7738095238093443E-3</v>
      </c>
      <c r="F34" s="3">
        <v>145</v>
      </c>
      <c r="G34">
        <v>2139</v>
      </c>
      <c r="H34">
        <f t="shared" si="4"/>
        <v>-0.25720238095235493</v>
      </c>
      <c r="I34">
        <f t="shared" si="10"/>
        <v>-0.25720238095235493</v>
      </c>
      <c r="J34">
        <f t="shared" si="11"/>
        <v>-0.12024421736902989</v>
      </c>
      <c r="K34">
        <f t="shared" si="5"/>
        <v>-2.7583333333334181E-5</v>
      </c>
      <c r="L34">
        <f t="shared" si="6"/>
        <v>8.2500000000029771E-6</v>
      </c>
      <c r="M34">
        <f t="shared" si="7"/>
        <v>-9.6666666666656028E-6</v>
      </c>
      <c r="N34">
        <f t="shared" si="8"/>
        <v>-1.8058694627445448E-3</v>
      </c>
      <c r="O34" s="3">
        <f t="shared" si="9"/>
        <v>-18.058694627445448</v>
      </c>
    </row>
    <row r="35" spans="1:15" x14ac:dyDescent="0.25">
      <c r="A35">
        <v>1200</v>
      </c>
      <c r="B35" s="3">
        <v>3.3681666666666668</v>
      </c>
      <c r="C35" s="3">
        <v>3.3684000000000003</v>
      </c>
      <c r="D35">
        <f t="shared" si="2"/>
        <v>2.3333333333352968E-4</v>
      </c>
      <c r="E35">
        <f t="shared" si="3"/>
        <v>4.7500000000022524E-4</v>
      </c>
      <c r="F35" s="3">
        <v>137</v>
      </c>
      <c r="G35">
        <v>2140</v>
      </c>
      <c r="H35">
        <f t="shared" si="4"/>
        <v>6.5075000000030858E-2</v>
      </c>
      <c r="I35">
        <f t="shared" si="10"/>
        <v>6.5075000000030858E-2</v>
      </c>
      <c r="J35">
        <f t="shared" si="11"/>
        <v>3.040887850468732E-2</v>
      </c>
      <c r="K35">
        <f t="shared" si="5"/>
        <v>-5.2166666666666473E-5</v>
      </c>
      <c r="L35">
        <f t="shared" si="6"/>
        <v>-7.1904761904750816E-6</v>
      </c>
      <c r="M35">
        <f t="shared" si="7"/>
        <v>-2.9678571428570778E-5</v>
      </c>
      <c r="N35">
        <f t="shared" si="8"/>
        <v>1.4874977185292621E-4</v>
      </c>
      <c r="O35" s="3">
        <f t="shared" si="9"/>
        <v>1.4874977185292622</v>
      </c>
    </row>
    <row r="36" spans="1:15" x14ac:dyDescent="0.25">
      <c r="A36">
        <v>1250</v>
      </c>
      <c r="B36" s="3">
        <v>3.3652500000000001</v>
      </c>
      <c r="C36" s="3">
        <v>3.365966666666667</v>
      </c>
      <c r="D36">
        <f t="shared" si="2"/>
        <v>7.166666666669208E-4</v>
      </c>
      <c r="E36">
        <f t="shared" si="3"/>
        <v>-9.166666666660106E-5</v>
      </c>
      <c r="F36" s="3">
        <v>124</v>
      </c>
      <c r="G36">
        <v>2141</v>
      </c>
      <c r="H36">
        <f t="shared" si="4"/>
        <v>-1.1366666666658531E-2</v>
      </c>
      <c r="I36">
        <f t="shared" si="10"/>
        <v>-1.1366666666658531E-2</v>
      </c>
      <c r="J36">
        <f t="shared" si="11"/>
        <v>-5.3090456173089827E-3</v>
      </c>
      <c r="K36">
        <f t="shared" si="5"/>
        <v>-1.7666666666666942E-5</v>
      </c>
      <c r="L36">
        <f t="shared" si="6"/>
        <v>-2.9000000000003466E-5</v>
      </c>
      <c r="M36">
        <f t="shared" si="7"/>
        <v>-2.3333333333335206E-5</v>
      </c>
      <c r="N36">
        <f t="shared" si="8"/>
        <v>-3.3032281352697838E-5</v>
      </c>
      <c r="O36" s="3">
        <f t="shared" si="9"/>
        <v>-0.3303228135269784</v>
      </c>
    </row>
    <row r="37" spans="1:15" x14ac:dyDescent="0.25">
      <c r="A37">
        <v>1300</v>
      </c>
      <c r="B37" s="3">
        <v>3.3664000000000001</v>
      </c>
      <c r="C37" s="3">
        <v>3.3654999999999999</v>
      </c>
      <c r="D37">
        <f t="shared" si="2"/>
        <v>-9.0000000000012292E-4</v>
      </c>
      <c r="E37">
        <f t="shared" si="3"/>
        <v>7.5000000000047251E-5</v>
      </c>
      <c r="F37" s="3">
        <v>101</v>
      </c>
      <c r="G37">
        <v>2142</v>
      </c>
      <c r="H37">
        <f t="shared" si="4"/>
        <v>7.5750000000047724E-3</v>
      </c>
      <c r="I37">
        <f t="shared" si="10"/>
        <v>7.5750000000047724E-3</v>
      </c>
      <c r="J37">
        <f t="shared" si="11"/>
        <v>3.5364145658285588E-3</v>
      </c>
      <c r="K37">
        <f t="shared" si="5"/>
        <v>1.5000000000009451E-6</v>
      </c>
      <c r="L37">
        <f t="shared" si="6"/>
        <v>4.833333333333911E-6</v>
      </c>
      <c r="M37">
        <f t="shared" si="7"/>
        <v>3.1666666666674282E-6</v>
      </c>
      <c r="N37">
        <f t="shared" si="8"/>
        <v>-1.6212863168783313E-4</v>
      </c>
      <c r="O37" s="3">
        <f t="shared" si="9"/>
        <v>-1.6212863168783314</v>
      </c>
    </row>
    <row r="38" spans="1:15" x14ac:dyDescent="0.25">
      <c r="A38">
        <v>1350</v>
      </c>
      <c r="B38" s="3">
        <v>3.3654000000000002</v>
      </c>
      <c r="C38" s="3">
        <v>3.3664500000000004</v>
      </c>
      <c r="D38">
        <f t="shared" si="2"/>
        <v>1.0500000000002174E-3</v>
      </c>
      <c r="E38">
        <f t="shared" si="3"/>
        <v>5.2500000000010871E-4</v>
      </c>
      <c r="F38" s="3">
        <v>67</v>
      </c>
      <c r="G38">
        <v>2143</v>
      </c>
      <c r="H38">
        <f t="shared" si="4"/>
        <v>3.5175000000007284E-2</v>
      </c>
      <c r="I38">
        <f t="shared" si="10"/>
        <v>3.5175000000007284E-2</v>
      </c>
      <c r="J38">
        <f t="shared" si="11"/>
        <v>1.641390573962076E-2</v>
      </c>
      <c r="K38">
        <f t="shared" si="5"/>
        <v>-4.7000000000001488E-5</v>
      </c>
      <c r="L38">
        <f t="shared" si="6"/>
        <v>-1.0599999999999721E-4</v>
      </c>
      <c r="M38">
        <f t="shared" si="7"/>
        <v>-7.6499999999999352E-5</v>
      </c>
      <c r="N38">
        <f t="shared" si="8"/>
        <v>3.114937930938001E-5</v>
      </c>
      <c r="O38" s="3">
        <f t="shared" si="9"/>
        <v>0.3114937930938001</v>
      </c>
    </row>
    <row r="39" spans="1:15" x14ac:dyDescent="0.25">
      <c r="A39">
        <v>1400</v>
      </c>
      <c r="B39" s="3">
        <v>3.3616999999999999</v>
      </c>
      <c r="C39" s="3">
        <v>3.3549000000000002</v>
      </c>
      <c r="F39" s="3">
        <v>25.9</v>
      </c>
      <c r="O39" s="3"/>
    </row>
    <row r="40" spans="1:15" x14ac:dyDescent="0.25">
      <c r="B40" s="3"/>
      <c r="C40" s="3"/>
      <c r="D40" s="8"/>
      <c r="E40" s="8"/>
      <c r="F40" s="3"/>
      <c r="G40" s="9"/>
      <c r="O40" s="3"/>
    </row>
    <row r="41" spans="1:15" x14ac:dyDescent="0.25">
      <c r="B41" s="3"/>
      <c r="C41" s="3"/>
      <c r="D41" s="8"/>
      <c r="E41" s="8"/>
      <c r="F41" s="3"/>
      <c r="G41" s="9"/>
      <c r="O41" s="3"/>
    </row>
    <row r="42" spans="1:15" x14ac:dyDescent="0.25">
      <c r="B42" s="3"/>
      <c r="C42" s="3"/>
      <c r="D42" s="8"/>
      <c r="E42" s="8"/>
      <c r="F42" s="3"/>
      <c r="G42" s="9"/>
      <c r="O42" s="3"/>
    </row>
    <row r="43" spans="1:15" x14ac:dyDescent="0.25">
      <c r="B43" s="3"/>
      <c r="C43" s="3"/>
      <c r="D43" s="8"/>
      <c r="E43" s="8"/>
      <c r="F43" s="3"/>
      <c r="G43" s="9"/>
      <c r="O43" s="3"/>
    </row>
    <row r="44" spans="1:15" x14ac:dyDescent="0.25">
      <c r="B44" s="3"/>
      <c r="C44" s="3"/>
      <c r="D44" s="8"/>
      <c r="E44" s="8"/>
      <c r="F44" s="3"/>
      <c r="G44" s="9"/>
      <c r="O44" s="3"/>
    </row>
    <row r="45" spans="1:15" x14ac:dyDescent="0.25">
      <c r="B45" s="3"/>
      <c r="C45" s="3"/>
      <c r="D45" s="8"/>
      <c r="E45" s="8"/>
      <c r="F45" s="3"/>
      <c r="G45" s="9"/>
      <c r="O45" s="3"/>
    </row>
    <row r="46" spans="1:15" x14ac:dyDescent="0.25">
      <c r="B46" s="3"/>
      <c r="C46" s="3"/>
      <c r="D46" s="8"/>
      <c r="E46" s="8"/>
      <c r="F46" s="3"/>
      <c r="G46" s="9"/>
      <c r="O46" s="3"/>
    </row>
    <row r="47" spans="1:15" x14ac:dyDescent="0.25">
      <c r="B47" s="3"/>
      <c r="C47" s="3"/>
      <c r="D47" s="8"/>
      <c r="E47" s="8"/>
      <c r="F47" s="3"/>
      <c r="G47" s="9"/>
      <c r="O47" s="3"/>
    </row>
    <row r="48" spans="1:15" x14ac:dyDescent="0.25">
      <c r="B48" s="3"/>
      <c r="C48" s="3"/>
      <c r="D48" s="8"/>
      <c r="E48" s="8"/>
      <c r="F48" s="3"/>
      <c r="G48" s="9"/>
      <c r="O48" s="3"/>
    </row>
    <row r="49" spans="2:15" x14ac:dyDescent="0.25">
      <c r="B49" s="3"/>
      <c r="C49" s="3"/>
      <c r="D49" s="8"/>
      <c r="E49" s="8"/>
      <c r="F49" s="3"/>
      <c r="G49" s="9"/>
      <c r="O49" s="3"/>
    </row>
    <row r="50" spans="2:15" x14ac:dyDescent="0.25">
      <c r="B50" s="3"/>
      <c r="C50" s="3"/>
      <c r="D50" s="8"/>
      <c r="E50" s="8"/>
      <c r="F50" s="3"/>
      <c r="G50" s="9"/>
      <c r="O50" s="3"/>
    </row>
    <row r="51" spans="2:15" x14ac:dyDescent="0.25">
      <c r="B51" s="3"/>
      <c r="C51" s="3"/>
      <c r="D51" s="8"/>
      <c r="E51" s="8"/>
      <c r="F51" s="3"/>
      <c r="G51" s="9"/>
      <c r="O51" s="3"/>
    </row>
    <row r="52" spans="2:15" x14ac:dyDescent="0.25">
      <c r="B52" s="3"/>
      <c r="C52" s="3"/>
      <c r="D52" s="8"/>
      <c r="E52" s="8"/>
      <c r="F52" s="3"/>
      <c r="O52" s="3"/>
    </row>
    <row r="53" spans="2:15" x14ac:dyDescent="0.25">
      <c r="B53" s="3"/>
      <c r="C53" s="3"/>
      <c r="D53" s="8"/>
      <c r="E53" s="8"/>
      <c r="F53" s="3"/>
      <c r="G53" s="9"/>
      <c r="O53" s="3"/>
    </row>
    <row r="54" spans="2:15" x14ac:dyDescent="0.25">
      <c r="B54" s="3"/>
      <c r="C54" s="3"/>
      <c r="D54" s="8"/>
      <c r="E54" s="8"/>
      <c r="F54" s="3"/>
      <c r="G54" s="9"/>
      <c r="O54" s="3"/>
    </row>
    <row r="55" spans="2:15" x14ac:dyDescent="0.25">
      <c r="B55" s="3"/>
      <c r="C55" s="3"/>
      <c r="D55" s="8"/>
      <c r="E55" s="8"/>
      <c r="F55" s="3"/>
      <c r="G55" s="9"/>
      <c r="O55" s="3"/>
    </row>
    <row r="56" spans="2:15" x14ac:dyDescent="0.25">
      <c r="B56" s="3"/>
      <c r="C56" s="3"/>
      <c r="D56" s="8"/>
      <c r="E56" s="8"/>
      <c r="F56" s="3"/>
      <c r="G56" s="9"/>
      <c r="O56" s="3"/>
    </row>
    <row r="57" spans="2:15" x14ac:dyDescent="0.25">
      <c r="B57" s="3"/>
      <c r="C57" s="3"/>
      <c r="D57" s="8"/>
      <c r="E57" s="8"/>
      <c r="F57" s="3"/>
      <c r="G57" s="9"/>
      <c r="O57" s="3"/>
    </row>
    <row r="58" spans="2:15" x14ac:dyDescent="0.25">
      <c r="D58" s="8"/>
      <c r="E58" s="8"/>
      <c r="F58" s="3"/>
      <c r="G58" s="9"/>
      <c r="O58" s="3"/>
    </row>
    <row r="59" spans="2:15" x14ac:dyDescent="0.25">
      <c r="D59" s="8"/>
      <c r="E59" s="8"/>
      <c r="F59" s="3"/>
      <c r="G59" s="9"/>
      <c r="O59" s="3"/>
    </row>
    <row r="60" spans="2:15" x14ac:dyDescent="0.25">
      <c r="D60" s="8"/>
      <c r="E60" s="8"/>
      <c r="F60" s="3"/>
      <c r="G60" s="9"/>
      <c r="O60" s="3"/>
    </row>
    <row r="61" spans="2:15" x14ac:dyDescent="0.25">
      <c r="D61" s="8"/>
      <c r="E61" s="8"/>
      <c r="F61" s="3"/>
      <c r="G61" s="9"/>
      <c r="O61" s="3"/>
    </row>
    <row r="62" spans="2:15" x14ac:dyDescent="0.25">
      <c r="D62" s="8"/>
      <c r="E62" s="8"/>
      <c r="F62" s="3"/>
      <c r="G62" s="9"/>
      <c r="O62" s="3"/>
    </row>
    <row r="63" spans="2:15" x14ac:dyDescent="0.25">
      <c r="D63" s="8"/>
      <c r="E63" s="8"/>
      <c r="F63" s="3"/>
      <c r="G63" s="9"/>
      <c r="O63" s="3"/>
    </row>
    <row r="64" spans="2:15" x14ac:dyDescent="0.25">
      <c r="D64" s="8"/>
      <c r="E64" s="8"/>
      <c r="F64" s="3"/>
      <c r="G64" s="9"/>
      <c r="O64" s="3"/>
    </row>
    <row r="65" spans="4:15" x14ac:dyDescent="0.25">
      <c r="D65" s="8"/>
      <c r="E65" s="8"/>
      <c r="F65" s="3"/>
      <c r="G65" s="9"/>
      <c r="O65" s="3"/>
    </row>
    <row r="66" spans="4:15" x14ac:dyDescent="0.25">
      <c r="D66" s="8"/>
      <c r="E66" s="8"/>
      <c r="F66" s="3"/>
      <c r="G66" s="9"/>
      <c r="O66" s="3"/>
    </row>
    <row r="67" spans="4:15" x14ac:dyDescent="0.25">
      <c r="D67" s="8"/>
      <c r="E67" s="8"/>
      <c r="F67" s="3"/>
      <c r="G67" s="9"/>
      <c r="O67" s="3"/>
    </row>
    <row r="68" spans="4:15" x14ac:dyDescent="0.25">
      <c r="D68" s="8"/>
      <c r="E68" s="8"/>
      <c r="F68" s="3"/>
      <c r="G68" s="9"/>
      <c r="O68" s="3"/>
    </row>
    <row r="69" spans="4:15" x14ac:dyDescent="0.25">
      <c r="D69" s="8"/>
      <c r="E69" s="8"/>
      <c r="F69" s="3"/>
      <c r="G69" s="9"/>
      <c r="O69" s="3"/>
    </row>
    <row r="70" spans="4:15" x14ac:dyDescent="0.25">
      <c r="D70" s="8"/>
      <c r="E70" s="8"/>
      <c r="F70" s="3"/>
      <c r="G70" s="9"/>
      <c r="O70" s="3"/>
    </row>
    <row r="71" spans="4:15" x14ac:dyDescent="0.25">
      <c r="D71" s="8"/>
      <c r="E71" s="8"/>
      <c r="F71" s="3"/>
      <c r="G71" s="9"/>
      <c r="O71" s="3"/>
    </row>
    <row r="72" spans="4:15" x14ac:dyDescent="0.25">
      <c r="D72" s="8"/>
      <c r="E72" s="8"/>
      <c r="F72" s="3"/>
      <c r="G72" s="9"/>
      <c r="O72" s="3"/>
    </row>
    <row r="73" spans="4:15" x14ac:dyDescent="0.25">
      <c r="D73" s="8"/>
      <c r="E73" s="8"/>
      <c r="F73" s="3"/>
      <c r="G73" s="9"/>
      <c r="O73" s="3"/>
    </row>
    <row r="74" spans="4:15" x14ac:dyDescent="0.25">
      <c r="D74" s="8"/>
      <c r="E74" s="8"/>
      <c r="F74" s="3"/>
      <c r="G74" s="9"/>
      <c r="O74" s="3"/>
    </row>
    <row r="75" spans="4:15" x14ac:dyDescent="0.25">
      <c r="D75" s="8"/>
      <c r="E75" s="8"/>
      <c r="F75" s="3"/>
      <c r="G75" s="9"/>
      <c r="O75" s="3"/>
    </row>
    <row r="76" spans="4:15" x14ac:dyDescent="0.25">
      <c r="D76" s="8"/>
      <c r="E76" s="8"/>
      <c r="F76" s="3"/>
      <c r="G76" s="9"/>
      <c r="O76" s="3"/>
    </row>
    <row r="77" spans="4:15" x14ac:dyDescent="0.25">
      <c r="D77" s="8"/>
      <c r="E77" s="8"/>
      <c r="F77" s="3"/>
      <c r="O77" s="3"/>
    </row>
    <row r="78" spans="4:15" x14ac:dyDescent="0.25">
      <c r="D78" s="8"/>
      <c r="E78" s="8"/>
      <c r="F78" s="3"/>
      <c r="G78" s="9"/>
      <c r="O78" s="3"/>
    </row>
    <row r="79" spans="4:15" x14ac:dyDescent="0.25">
      <c r="D79" s="8"/>
      <c r="E79" s="8"/>
      <c r="F79" s="3"/>
      <c r="G79" s="9"/>
      <c r="O79" s="3"/>
    </row>
    <row r="80" spans="4:15" x14ac:dyDescent="0.25">
      <c r="D80" s="8"/>
      <c r="E80" s="8"/>
      <c r="F80" s="3"/>
      <c r="G80" s="9"/>
      <c r="O80" s="3"/>
    </row>
    <row r="81" spans="4:15" x14ac:dyDescent="0.25">
      <c r="D81" s="8"/>
      <c r="E81" s="8"/>
      <c r="F81" s="3"/>
      <c r="G81" s="9"/>
      <c r="O81" s="3"/>
    </row>
    <row r="82" spans="4:15" x14ac:dyDescent="0.25">
      <c r="D82" s="8"/>
      <c r="E82" s="8"/>
      <c r="F82" s="3"/>
      <c r="G82" s="9"/>
      <c r="O82" s="3"/>
    </row>
    <row r="83" spans="4:15" x14ac:dyDescent="0.25">
      <c r="D83" s="8"/>
      <c r="E83" s="8"/>
      <c r="F83" s="3"/>
      <c r="G83" s="9"/>
      <c r="O83" s="3"/>
    </row>
    <row r="84" spans="4:15" x14ac:dyDescent="0.25">
      <c r="D84" s="8"/>
      <c r="E84" s="8"/>
      <c r="F84" s="3"/>
      <c r="G84" s="9"/>
      <c r="O84" s="3"/>
    </row>
    <row r="85" spans="4:15" x14ac:dyDescent="0.25">
      <c r="D85" s="8"/>
      <c r="E85" s="8"/>
      <c r="F85" s="3"/>
      <c r="G85" s="9"/>
      <c r="O85" s="3"/>
    </row>
    <row r="86" spans="4:15" x14ac:dyDescent="0.25">
      <c r="D86" s="8"/>
      <c r="E86" s="8"/>
      <c r="F86" s="3"/>
      <c r="G86" s="9"/>
      <c r="O86" s="3"/>
    </row>
    <row r="87" spans="4:15" x14ac:dyDescent="0.25">
      <c r="D87" s="8"/>
      <c r="E87" s="8"/>
      <c r="F87" s="3"/>
      <c r="G87" s="9"/>
      <c r="O87" s="3"/>
    </row>
    <row r="88" spans="4:15" x14ac:dyDescent="0.25">
      <c r="D88" s="8"/>
      <c r="E88" s="8"/>
      <c r="F88" s="3"/>
      <c r="G88" s="9"/>
      <c r="O88" s="3"/>
    </row>
    <row r="89" spans="4:15" x14ac:dyDescent="0.25">
      <c r="D89" s="8"/>
      <c r="E89" s="8"/>
      <c r="F89" s="3"/>
      <c r="G89" s="9"/>
      <c r="O89" s="3"/>
    </row>
    <row r="90" spans="4:15" x14ac:dyDescent="0.25">
      <c r="D90" s="8"/>
      <c r="E90" s="8"/>
      <c r="F90" s="3"/>
      <c r="G90" s="9"/>
      <c r="O90" s="3"/>
    </row>
    <row r="91" spans="4:15" x14ac:dyDescent="0.25">
      <c r="D91" s="8"/>
      <c r="E91" s="8"/>
      <c r="F91" s="3"/>
      <c r="G91" s="9"/>
      <c r="O91" s="3"/>
    </row>
    <row r="92" spans="4:15" x14ac:dyDescent="0.25">
      <c r="D92" s="8"/>
      <c r="E92" s="8"/>
      <c r="F92" s="3"/>
      <c r="G92" s="9"/>
      <c r="O92" s="3"/>
    </row>
    <row r="93" spans="4:15" x14ac:dyDescent="0.25">
      <c r="D93" s="8"/>
      <c r="E93" s="8"/>
      <c r="F93" s="3"/>
      <c r="G93" s="9"/>
      <c r="O93" s="3"/>
    </row>
    <row r="94" spans="4:15" x14ac:dyDescent="0.25">
      <c r="D94" s="8"/>
      <c r="E94" s="8"/>
      <c r="F94" s="3"/>
      <c r="G94" s="9"/>
      <c r="O94" s="3"/>
    </row>
    <row r="95" spans="4:15" x14ac:dyDescent="0.25">
      <c r="D95" s="8"/>
      <c r="E95" s="8"/>
      <c r="F95" s="3"/>
      <c r="G95" s="9"/>
      <c r="O95" s="3"/>
    </row>
    <row r="96" spans="4:15" x14ac:dyDescent="0.25">
      <c r="D96" s="8"/>
      <c r="E96" s="8"/>
      <c r="F96" s="3"/>
      <c r="G96" s="9"/>
      <c r="O96" s="3"/>
    </row>
    <row r="97" spans="4:15" x14ac:dyDescent="0.25">
      <c r="D97" s="8"/>
      <c r="E97" s="8"/>
      <c r="F97" s="3"/>
      <c r="G97" s="9"/>
      <c r="O97" s="3"/>
    </row>
    <row r="98" spans="4:15" x14ac:dyDescent="0.25">
      <c r="D98" s="8"/>
      <c r="E98" s="8"/>
      <c r="F98" s="3"/>
      <c r="G98" s="9"/>
      <c r="O98" s="3"/>
    </row>
    <row r="99" spans="4:15" x14ac:dyDescent="0.25">
      <c r="D99" s="8"/>
      <c r="E99" s="8"/>
      <c r="F99" s="3"/>
      <c r="G99" s="9"/>
      <c r="O99" s="3"/>
    </row>
    <row r="100" spans="4:15" x14ac:dyDescent="0.25">
      <c r="D100" s="8"/>
      <c r="E100" s="8"/>
      <c r="F100" s="3"/>
      <c r="G100" s="9"/>
      <c r="O100" s="3"/>
    </row>
    <row r="101" spans="4:15" x14ac:dyDescent="0.25">
      <c r="D101" s="8"/>
      <c r="E101" s="8"/>
      <c r="F101" s="3"/>
      <c r="G101" s="9"/>
      <c r="O101" s="3"/>
    </row>
    <row r="102" spans="4:15" x14ac:dyDescent="0.25">
      <c r="D102" s="8"/>
      <c r="E102" s="8"/>
      <c r="F102" s="3"/>
      <c r="O102" s="3"/>
    </row>
    <row r="103" spans="4:15" x14ac:dyDescent="0.25">
      <c r="D103" s="8"/>
      <c r="E103" s="8"/>
      <c r="F103" s="3"/>
      <c r="G103" s="9"/>
      <c r="O103" s="3"/>
    </row>
    <row r="104" spans="4:15" x14ac:dyDescent="0.25">
      <c r="D104" s="8"/>
      <c r="E104" s="8"/>
      <c r="F104" s="3"/>
      <c r="G104" s="9"/>
      <c r="O104" s="3"/>
    </row>
    <row r="105" spans="4:15" x14ac:dyDescent="0.25">
      <c r="D105" s="8"/>
      <c r="E105" s="8"/>
      <c r="F105" s="3"/>
      <c r="G105" s="9"/>
      <c r="O105" s="3"/>
    </row>
    <row r="106" spans="4:15" x14ac:dyDescent="0.25">
      <c r="D106" s="8"/>
      <c r="E106" s="8"/>
      <c r="F106" s="3"/>
      <c r="G106" s="9"/>
      <c r="O106" s="3"/>
    </row>
    <row r="107" spans="4:15" x14ac:dyDescent="0.25">
      <c r="D107" s="8"/>
      <c r="E107" s="8"/>
      <c r="F107" s="3"/>
      <c r="G107" s="9"/>
      <c r="O107" s="3"/>
    </row>
    <row r="108" spans="4:15" x14ac:dyDescent="0.25">
      <c r="D108" s="8"/>
      <c r="E108" s="8"/>
      <c r="F108" s="3"/>
      <c r="G108" s="9"/>
      <c r="O108" s="3"/>
    </row>
    <row r="109" spans="4:15" x14ac:dyDescent="0.25">
      <c r="D109" s="8"/>
      <c r="E109" s="8"/>
      <c r="F109" s="3"/>
      <c r="G109" s="9"/>
      <c r="O109" s="3"/>
    </row>
    <row r="110" spans="4:15" x14ac:dyDescent="0.25">
      <c r="D110" s="8"/>
      <c r="E110" s="8"/>
      <c r="F110" s="3"/>
      <c r="G110" s="9"/>
      <c r="O110" s="3"/>
    </row>
    <row r="111" spans="4:15" x14ac:dyDescent="0.25">
      <c r="D111" s="8"/>
      <c r="E111" s="8"/>
      <c r="F111" s="3"/>
      <c r="G111" s="9"/>
      <c r="O111" s="3"/>
    </row>
    <row r="112" spans="4:15" x14ac:dyDescent="0.25">
      <c r="D112" s="8"/>
      <c r="E112" s="8"/>
      <c r="F112" s="3"/>
      <c r="G112" s="9"/>
      <c r="O112" s="3"/>
    </row>
    <row r="113" spans="4:15" x14ac:dyDescent="0.25">
      <c r="D113" s="8"/>
      <c r="E113" s="8"/>
      <c r="F113" s="3"/>
      <c r="G113" s="9"/>
      <c r="O113" s="3"/>
    </row>
    <row r="114" spans="4:15" x14ac:dyDescent="0.25">
      <c r="D114" s="8"/>
      <c r="E114" s="8"/>
      <c r="F114" s="3"/>
      <c r="G114" s="9"/>
      <c r="O114" s="3"/>
    </row>
    <row r="115" spans="4:15" x14ac:dyDescent="0.25">
      <c r="D115" s="8"/>
      <c r="E115" s="8"/>
      <c r="F115" s="3"/>
      <c r="G115" s="9"/>
      <c r="O115" s="3"/>
    </row>
    <row r="116" spans="4:15" x14ac:dyDescent="0.25">
      <c r="D116" s="8"/>
      <c r="E116" s="8"/>
      <c r="F116" s="3"/>
      <c r="G116" s="9"/>
      <c r="O116" s="3"/>
    </row>
    <row r="117" spans="4:15" x14ac:dyDescent="0.25">
      <c r="D117" s="8"/>
      <c r="E117" s="8"/>
      <c r="F117" s="3"/>
      <c r="G117" s="9"/>
      <c r="O117" s="3"/>
    </row>
    <row r="118" spans="4:15" x14ac:dyDescent="0.25">
      <c r="D118" s="8"/>
      <c r="E118" s="8"/>
      <c r="F118" s="3"/>
      <c r="G118" s="9"/>
      <c r="O118" s="3"/>
    </row>
    <row r="119" spans="4:15" x14ac:dyDescent="0.25">
      <c r="D119" s="8"/>
      <c r="E119" s="8"/>
      <c r="F119" s="3"/>
      <c r="G119" s="9"/>
      <c r="O119" s="3"/>
    </row>
    <row r="120" spans="4:15" x14ac:dyDescent="0.25">
      <c r="D120" s="8"/>
      <c r="E120" s="8"/>
      <c r="F120" s="3"/>
      <c r="G120" s="9"/>
      <c r="O120" s="3"/>
    </row>
    <row r="121" spans="4:15" x14ac:dyDescent="0.25">
      <c r="D121" s="8"/>
      <c r="E121" s="8"/>
      <c r="F121" s="3"/>
      <c r="G121" s="9"/>
      <c r="O121" s="3"/>
    </row>
    <row r="122" spans="4:15" x14ac:dyDescent="0.25">
      <c r="D122" s="8"/>
      <c r="E122" s="8"/>
      <c r="F122" s="3"/>
      <c r="G122" s="9"/>
      <c r="O122" s="3"/>
    </row>
    <row r="123" spans="4:15" x14ac:dyDescent="0.25">
      <c r="D123" s="8"/>
      <c r="E123" s="8"/>
      <c r="F123" s="3"/>
      <c r="G123" s="9"/>
      <c r="O123" s="3"/>
    </row>
    <row r="124" spans="4:15" x14ac:dyDescent="0.25">
      <c r="D124" s="8"/>
      <c r="E124" s="8"/>
      <c r="F124" s="3"/>
      <c r="G124" s="9"/>
      <c r="O124" s="3"/>
    </row>
    <row r="125" spans="4:15" x14ac:dyDescent="0.25">
      <c r="D125" s="8"/>
      <c r="E125" s="8"/>
      <c r="F125" s="3"/>
      <c r="G125" s="9"/>
      <c r="O125" s="3"/>
    </row>
    <row r="126" spans="4:15" x14ac:dyDescent="0.25">
      <c r="D126" s="8"/>
      <c r="E126" s="8"/>
      <c r="F126" s="3"/>
      <c r="G126" s="9"/>
      <c r="O126" s="3"/>
    </row>
    <row r="127" spans="4:15" x14ac:dyDescent="0.25">
      <c r="D127" s="8"/>
      <c r="E127" s="8"/>
      <c r="F127" s="3"/>
      <c r="O127" s="3"/>
    </row>
    <row r="128" spans="4:15" x14ac:dyDescent="0.25">
      <c r="D128" s="8"/>
      <c r="E128" s="8"/>
      <c r="F128" s="3"/>
      <c r="G128" s="9"/>
      <c r="O128" s="3"/>
    </row>
    <row r="129" spans="4:15" x14ac:dyDescent="0.25">
      <c r="D129" s="8"/>
      <c r="E129" s="8"/>
      <c r="F129" s="3"/>
      <c r="G129" s="9"/>
      <c r="O129" s="3"/>
    </row>
    <row r="130" spans="4:15" x14ac:dyDescent="0.25">
      <c r="D130" s="8"/>
      <c r="E130" s="8"/>
      <c r="F130" s="3"/>
      <c r="G130" s="9"/>
      <c r="O130" s="3"/>
    </row>
    <row r="131" spans="4:15" x14ac:dyDescent="0.25">
      <c r="D131" s="8"/>
      <c r="E131" s="8"/>
      <c r="F131" s="3"/>
      <c r="G131" s="9"/>
      <c r="O131" s="3"/>
    </row>
    <row r="132" spans="4:15" x14ac:dyDescent="0.25">
      <c r="D132" s="8"/>
      <c r="E132" s="8"/>
      <c r="F132" s="3"/>
      <c r="G132" s="9"/>
      <c r="O132" s="3"/>
    </row>
    <row r="133" spans="4:15" x14ac:dyDescent="0.25">
      <c r="D133" s="8"/>
      <c r="E133" s="8"/>
      <c r="F133" s="3"/>
      <c r="G133" s="9"/>
      <c r="O133" s="3"/>
    </row>
    <row r="134" spans="4:15" x14ac:dyDescent="0.25">
      <c r="D134" s="8"/>
      <c r="E134" s="8"/>
      <c r="F134" s="3"/>
      <c r="G134" s="9"/>
      <c r="O134" s="3"/>
    </row>
    <row r="135" spans="4:15" x14ac:dyDescent="0.25">
      <c r="D135" s="8"/>
      <c r="E135" s="8"/>
      <c r="F135" s="3"/>
      <c r="G135" s="9"/>
      <c r="O135" s="3"/>
    </row>
    <row r="136" spans="4:15" x14ac:dyDescent="0.25">
      <c r="D136" s="8"/>
      <c r="E136" s="8"/>
      <c r="F136" s="3"/>
      <c r="G136" s="9"/>
      <c r="O136" s="3"/>
    </row>
    <row r="137" spans="4:15" x14ac:dyDescent="0.25">
      <c r="D137" s="8"/>
      <c r="E137" s="8"/>
      <c r="F137" s="3"/>
      <c r="G137" s="9"/>
      <c r="O137" s="3"/>
    </row>
    <row r="138" spans="4:15" x14ac:dyDescent="0.25">
      <c r="D138" s="8"/>
      <c r="E138" s="8"/>
      <c r="F138" s="3"/>
      <c r="G138" s="9"/>
      <c r="O138" s="3"/>
    </row>
    <row r="139" spans="4:15" x14ac:dyDescent="0.25">
      <c r="D139" s="8"/>
      <c r="E139" s="8"/>
      <c r="F139" s="3"/>
      <c r="G139" s="9"/>
      <c r="O139" s="3"/>
    </row>
    <row r="140" spans="4:15" x14ac:dyDescent="0.25">
      <c r="D140" s="8"/>
      <c r="E140" s="8"/>
      <c r="F140" s="3"/>
      <c r="G140" s="9"/>
      <c r="O140" s="3"/>
    </row>
    <row r="141" spans="4:15" x14ac:dyDescent="0.25">
      <c r="D141" s="8"/>
      <c r="E141" s="8"/>
      <c r="F141" s="3"/>
      <c r="G141" s="9"/>
      <c r="O141" s="3"/>
    </row>
    <row r="142" spans="4:15" x14ac:dyDescent="0.25">
      <c r="D142" s="8"/>
      <c r="E142" s="8"/>
      <c r="F142" s="3"/>
      <c r="G142" s="9"/>
      <c r="O142" s="3"/>
    </row>
    <row r="143" spans="4:15" x14ac:dyDescent="0.25">
      <c r="D143" s="8"/>
      <c r="E143" s="8"/>
      <c r="F143" s="3"/>
      <c r="G143" s="9"/>
      <c r="O143" s="3"/>
    </row>
    <row r="144" spans="4:15" x14ac:dyDescent="0.25">
      <c r="D144" s="8"/>
      <c r="E144" s="8"/>
      <c r="F144" s="3"/>
      <c r="G144" s="9"/>
      <c r="O144" s="3"/>
    </row>
    <row r="145" spans="4:15" x14ac:dyDescent="0.25">
      <c r="D145" s="8"/>
      <c r="E145" s="8"/>
      <c r="F145" s="3"/>
      <c r="G145" s="9"/>
      <c r="O145" s="3"/>
    </row>
    <row r="146" spans="4:15" x14ac:dyDescent="0.25">
      <c r="D146" s="8"/>
      <c r="E146" s="8"/>
      <c r="F146" s="3"/>
      <c r="G146" s="9"/>
      <c r="O146" s="3"/>
    </row>
    <row r="147" spans="4:15" x14ac:dyDescent="0.25">
      <c r="D147" s="8"/>
      <c r="E147" s="8"/>
      <c r="F147" s="3"/>
      <c r="G147" s="9"/>
      <c r="O147" s="3"/>
    </row>
    <row r="148" spans="4:15" x14ac:dyDescent="0.25">
      <c r="D148" s="8"/>
      <c r="E148" s="8"/>
      <c r="F148" s="3"/>
      <c r="G148" s="9"/>
      <c r="O148" s="3"/>
    </row>
    <row r="149" spans="4:15" x14ac:dyDescent="0.25">
      <c r="D149" s="8"/>
      <c r="E149" s="8"/>
      <c r="F149" s="3"/>
      <c r="G149" s="9"/>
      <c r="O149" s="3"/>
    </row>
    <row r="150" spans="4:15" x14ac:dyDescent="0.25">
      <c r="D150" s="8"/>
      <c r="E150" s="8"/>
      <c r="F150" s="3"/>
      <c r="G150" s="9"/>
      <c r="O150" s="3"/>
    </row>
    <row r="151" spans="4:15" x14ac:dyDescent="0.25">
      <c r="D151" s="8"/>
      <c r="E151" s="8"/>
      <c r="F151" s="3"/>
      <c r="G151" s="9"/>
      <c r="O151" s="3"/>
    </row>
    <row r="152" spans="4:15" x14ac:dyDescent="0.25">
      <c r="D152" s="8"/>
      <c r="E152" s="8"/>
      <c r="F152" s="3"/>
      <c r="O152" s="3"/>
    </row>
    <row r="153" spans="4:15" x14ac:dyDescent="0.25">
      <c r="D153" s="8"/>
      <c r="E153" s="8"/>
      <c r="F153" s="3"/>
      <c r="G153" s="9"/>
      <c r="O153" s="3"/>
    </row>
    <row r="154" spans="4:15" x14ac:dyDescent="0.25">
      <c r="D154" s="8"/>
      <c r="E154" s="8"/>
      <c r="F154" s="3"/>
      <c r="G154" s="9"/>
      <c r="O154" s="3"/>
    </row>
    <row r="155" spans="4:15" x14ac:dyDescent="0.25">
      <c r="D155" s="8"/>
      <c r="E155" s="8"/>
      <c r="F155" s="3"/>
      <c r="G155" s="9"/>
      <c r="O155" s="3"/>
    </row>
    <row r="156" spans="4:15" x14ac:dyDescent="0.25">
      <c r="D156" s="8"/>
      <c r="E156" s="8"/>
      <c r="F156" s="3"/>
      <c r="G156" s="9"/>
      <c r="O156" s="3"/>
    </row>
    <row r="157" spans="4:15" x14ac:dyDescent="0.25">
      <c r="D157" s="8"/>
      <c r="E157" s="8"/>
      <c r="F157" s="3"/>
      <c r="G157" s="9"/>
      <c r="O157" s="3"/>
    </row>
    <row r="158" spans="4:15" x14ac:dyDescent="0.25">
      <c r="D158" s="8"/>
      <c r="E158" s="8"/>
      <c r="F158" s="3"/>
      <c r="G158" s="9"/>
      <c r="O158" s="3"/>
    </row>
    <row r="159" spans="4:15" x14ac:dyDescent="0.25">
      <c r="D159" s="8"/>
      <c r="E159" s="8"/>
      <c r="F159" s="3"/>
      <c r="G159" s="9"/>
      <c r="O159" s="3"/>
    </row>
    <row r="160" spans="4:15" x14ac:dyDescent="0.25">
      <c r="D160" s="8"/>
      <c r="E160" s="8"/>
      <c r="F160" s="3"/>
      <c r="G160" s="9"/>
      <c r="O160" s="3"/>
    </row>
    <row r="161" spans="4:15" x14ac:dyDescent="0.25">
      <c r="D161" s="8"/>
      <c r="E161" s="8"/>
      <c r="F161" s="3"/>
      <c r="G161" s="9"/>
      <c r="O161" s="3"/>
    </row>
    <row r="162" spans="4:15" x14ac:dyDescent="0.25">
      <c r="D162" s="8"/>
      <c r="E162" s="8"/>
      <c r="F162" s="3"/>
      <c r="G162" s="9"/>
      <c r="O162" s="3"/>
    </row>
    <row r="163" spans="4:15" x14ac:dyDescent="0.25">
      <c r="D163" s="8"/>
      <c r="E163" s="8"/>
      <c r="F163" s="3"/>
      <c r="G163" s="9"/>
      <c r="O163" s="3"/>
    </row>
    <row r="164" spans="4:15" x14ac:dyDescent="0.25">
      <c r="D164" s="8"/>
      <c r="E164" s="8"/>
      <c r="F164" s="3"/>
      <c r="G164" s="9"/>
      <c r="O164" s="3"/>
    </row>
    <row r="165" spans="4:15" x14ac:dyDescent="0.25">
      <c r="D165" s="8"/>
      <c r="E165" s="8"/>
      <c r="F165" s="3"/>
      <c r="G165" s="9"/>
      <c r="O165" s="3"/>
    </row>
    <row r="166" spans="4:15" x14ac:dyDescent="0.25">
      <c r="D166" s="8"/>
      <c r="E166" s="8"/>
      <c r="F166" s="3"/>
      <c r="G166" s="9"/>
      <c r="O166" s="3"/>
    </row>
    <row r="167" spans="4:15" x14ac:dyDescent="0.25">
      <c r="D167" s="8"/>
      <c r="E167" s="8"/>
      <c r="F167" s="3"/>
      <c r="G167" s="9"/>
      <c r="O167" s="3"/>
    </row>
    <row r="168" spans="4:15" x14ac:dyDescent="0.25">
      <c r="D168" s="8"/>
      <c r="E168" s="8"/>
      <c r="F168" s="3"/>
      <c r="G168" s="9"/>
      <c r="O168" s="3"/>
    </row>
    <row r="169" spans="4:15" x14ac:dyDescent="0.25">
      <c r="D169" s="8"/>
      <c r="E169" s="8"/>
      <c r="F169" s="3"/>
      <c r="G169" s="9"/>
      <c r="O169" s="3"/>
    </row>
    <row r="170" spans="4:15" x14ac:dyDescent="0.25">
      <c r="D170" s="8"/>
      <c r="E170" s="8"/>
      <c r="F170" s="3"/>
      <c r="G170" s="9"/>
      <c r="O170" s="3"/>
    </row>
    <row r="171" spans="4:15" x14ac:dyDescent="0.25">
      <c r="D171" s="8"/>
      <c r="E171" s="8"/>
      <c r="F171" s="3"/>
      <c r="G171" s="9"/>
      <c r="O171" s="3"/>
    </row>
    <row r="172" spans="4:15" x14ac:dyDescent="0.25">
      <c r="D172" s="8"/>
      <c r="E172" s="8"/>
      <c r="F172" s="3"/>
      <c r="G172" s="9"/>
      <c r="O172" s="3"/>
    </row>
    <row r="173" spans="4:15" x14ac:dyDescent="0.25">
      <c r="D173" s="8"/>
      <c r="E173" s="8"/>
      <c r="F173" s="3"/>
      <c r="G173" s="9"/>
      <c r="O173" s="3"/>
    </row>
    <row r="174" spans="4:15" x14ac:dyDescent="0.25">
      <c r="D174" s="8"/>
      <c r="E174" s="8"/>
      <c r="F174" s="3"/>
      <c r="G174" s="9"/>
      <c r="O174" s="3"/>
    </row>
    <row r="175" spans="4:15" x14ac:dyDescent="0.25">
      <c r="D175" s="8"/>
      <c r="E175" s="8"/>
      <c r="F175" s="3"/>
      <c r="G175" s="9"/>
      <c r="O175" s="3"/>
    </row>
    <row r="176" spans="4:15" x14ac:dyDescent="0.25">
      <c r="D176" s="8"/>
      <c r="E176" s="8"/>
      <c r="F176" s="3"/>
      <c r="G176" s="9"/>
      <c r="O176" s="3"/>
    </row>
    <row r="177" spans="4:15" x14ac:dyDescent="0.25">
      <c r="D177" s="8"/>
      <c r="E177" s="8"/>
      <c r="F177" s="3"/>
      <c r="O177" s="3"/>
    </row>
    <row r="178" spans="4:15" x14ac:dyDescent="0.25">
      <c r="D178" s="8"/>
      <c r="E178" s="8"/>
      <c r="F178" s="3"/>
      <c r="G178" s="9"/>
      <c r="O178" s="3"/>
    </row>
    <row r="179" spans="4:15" x14ac:dyDescent="0.25">
      <c r="D179" s="8"/>
      <c r="E179" s="8"/>
      <c r="F179" s="3"/>
      <c r="G179" s="9"/>
      <c r="O179" s="3"/>
    </row>
    <row r="180" spans="4:15" x14ac:dyDescent="0.25">
      <c r="D180" s="8"/>
      <c r="E180" s="8"/>
      <c r="F180" s="3"/>
      <c r="G180" s="9"/>
      <c r="O180" s="3"/>
    </row>
    <row r="181" spans="4:15" x14ac:dyDescent="0.25">
      <c r="D181" s="8"/>
      <c r="E181" s="8"/>
      <c r="F181" s="3"/>
      <c r="G181" s="9"/>
      <c r="O181" s="3"/>
    </row>
    <row r="182" spans="4:15" x14ac:dyDescent="0.25">
      <c r="D182" s="8"/>
      <c r="E182" s="8"/>
      <c r="F182" s="3"/>
      <c r="G182" s="9"/>
      <c r="O182" s="3"/>
    </row>
    <row r="183" spans="4:15" x14ac:dyDescent="0.25">
      <c r="D183" s="8"/>
      <c r="E183" s="8"/>
      <c r="F183" s="3"/>
      <c r="G183" s="9"/>
      <c r="O183" s="3"/>
    </row>
    <row r="184" spans="4:15" x14ac:dyDescent="0.25">
      <c r="D184" s="8"/>
      <c r="E184" s="8"/>
      <c r="F184" s="3"/>
      <c r="G184" s="9"/>
      <c r="O184" s="3"/>
    </row>
    <row r="185" spans="4:15" x14ac:dyDescent="0.25">
      <c r="D185" s="8"/>
      <c r="E185" s="8"/>
      <c r="F185" s="3"/>
      <c r="G185" s="9"/>
      <c r="O185" s="3"/>
    </row>
    <row r="186" spans="4:15" x14ac:dyDescent="0.25">
      <c r="D186" s="8"/>
      <c r="E186" s="8"/>
      <c r="F186" s="3"/>
      <c r="G186" s="9"/>
      <c r="O186" s="3"/>
    </row>
    <row r="187" spans="4:15" x14ac:dyDescent="0.25">
      <c r="D187" s="8"/>
      <c r="E187" s="8"/>
      <c r="F187" s="3"/>
      <c r="G187" s="9"/>
      <c r="O187" s="3"/>
    </row>
    <row r="188" spans="4:15" x14ac:dyDescent="0.25">
      <c r="D188" s="8"/>
      <c r="E188" s="8"/>
      <c r="F188" s="3"/>
      <c r="G188" s="9"/>
      <c r="O188" s="3"/>
    </row>
    <row r="189" spans="4:15" x14ac:dyDescent="0.25">
      <c r="D189" s="8"/>
      <c r="E189" s="8"/>
      <c r="F189" s="3"/>
      <c r="G189" s="9"/>
      <c r="O189" s="3"/>
    </row>
    <row r="190" spans="4:15" x14ac:dyDescent="0.25">
      <c r="D190" s="8"/>
      <c r="E190" s="8"/>
      <c r="F190" s="3"/>
      <c r="G190" s="9"/>
      <c r="O190" s="3"/>
    </row>
    <row r="191" spans="4:15" x14ac:dyDescent="0.25">
      <c r="D191" s="8"/>
      <c r="E191" s="8"/>
      <c r="F191" s="3"/>
      <c r="G191" s="9"/>
      <c r="O191" s="3"/>
    </row>
    <row r="192" spans="4:15" x14ac:dyDescent="0.25">
      <c r="D192" s="8"/>
      <c r="E192" s="8"/>
      <c r="F192" s="3"/>
      <c r="G192" s="9"/>
      <c r="O192" s="3"/>
    </row>
    <row r="193" spans="4:15" x14ac:dyDescent="0.25">
      <c r="D193" s="8"/>
      <c r="E193" s="8"/>
      <c r="F193" s="3"/>
      <c r="G193" s="9"/>
      <c r="O193" s="3"/>
    </row>
    <row r="194" spans="4:15" x14ac:dyDescent="0.25">
      <c r="D194" s="8"/>
      <c r="E194" s="8"/>
      <c r="F194" s="3"/>
      <c r="G194" s="9"/>
      <c r="O194" s="3"/>
    </row>
    <row r="195" spans="4:15" x14ac:dyDescent="0.25">
      <c r="D195" s="8"/>
      <c r="E195" s="8"/>
      <c r="F195" s="3"/>
      <c r="G195" s="9"/>
      <c r="O195" s="3"/>
    </row>
    <row r="196" spans="4:15" x14ac:dyDescent="0.25">
      <c r="D196" s="8"/>
      <c r="E196" s="8"/>
      <c r="F196" s="3"/>
      <c r="G196" s="9"/>
      <c r="O196" s="3"/>
    </row>
    <row r="197" spans="4:15" x14ac:dyDescent="0.25">
      <c r="D197" s="8"/>
      <c r="E197" s="8"/>
      <c r="F197" s="3"/>
      <c r="G197" s="9"/>
      <c r="O197" s="3"/>
    </row>
    <row r="198" spans="4:15" x14ac:dyDescent="0.25">
      <c r="D198" s="8"/>
      <c r="E198" s="8"/>
      <c r="F198" s="3"/>
      <c r="G198" s="9"/>
      <c r="O198" s="3"/>
    </row>
    <row r="199" spans="4:15" x14ac:dyDescent="0.25">
      <c r="D199" s="8"/>
      <c r="E199" s="8"/>
      <c r="F199" s="3"/>
      <c r="G199" s="9"/>
      <c r="O199" s="3"/>
    </row>
    <row r="200" spans="4:15" x14ac:dyDescent="0.25">
      <c r="D200" s="8"/>
      <c r="E200" s="8"/>
      <c r="F200" s="3"/>
      <c r="G200" s="9"/>
      <c r="O200" s="3"/>
    </row>
    <row r="201" spans="4:15" x14ac:dyDescent="0.25">
      <c r="D201" s="8"/>
      <c r="E201" s="8"/>
      <c r="F201" s="3"/>
      <c r="G201" s="9"/>
      <c r="O201" s="3"/>
    </row>
    <row r="202" spans="4:15" x14ac:dyDescent="0.25">
      <c r="D202" s="8"/>
      <c r="E202" s="8"/>
      <c r="F202" s="3"/>
      <c r="O202" s="3"/>
    </row>
    <row r="203" spans="4:15" x14ac:dyDescent="0.25">
      <c r="D203" s="8"/>
      <c r="E203" s="8"/>
      <c r="F203" s="3"/>
      <c r="G203" s="9"/>
      <c r="O203" s="3"/>
    </row>
    <row r="204" spans="4:15" x14ac:dyDescent="0.25">
      <c r="D204" s="8"/>
      <c r="E204" s="8"/>
      <c r="F204" s="3"/>
      <c r="G204" s="9"/>
      <c r="O204" s="3"/>
    </row>
    <row r="205" spans="4:15" x14ac:dyDescent="0.25">
      <c r="D205" s="8"/>
      <c r="E205" s="8"/>
      <c r="F205" s="3"/>
      <c r="G205" s="9"/>
      <c r="O205" s="3"/>
    </row>
    <row r="206" spans="4:15" x14ac:dyDescent="0.25">
      <c r="D206" s="8"/>
      <c r="E206" s="8"/>
      <c r="F206" s="3"/>
      <c r="G206" s="9"/>
      <c r="O206" s="3"/>
    </row>
    <row r="207" spans="4:15" x14ac:dyDescent="0.25">
      <c r="D207" s="8"/>
      <c r="E207" s="8"/>
      <c r="F207" s="3"/>
      <c r="G207" s="9"/>
      <c r="O207" s="3"/>
    </row>
    <row r="208" spans="4:15" x14ac:dyDescent="0.25">
      <c r="D208" s="8"/>
      <c r="E208" s="8"/>
      <c r="F208" s="3"/>
      <c r="G208" s="9"/>
      <c r="O208" s="3"/>
    </row>
    <row r="209" spans="4:15" x14ac:dyDescent="0.25">
      <c r="D209" s="8"/>
      <c r="E209" s="8"/>
      <c r="F209" s="3"/>
      <c r="G209" s="9"/>
      <c r="O209" s="3"/>
    </row>
    <row r="210" spans="4:15" x14ac:dyDescent="0.25">
      <c r="D210" s="8"/>
      <c r="E210" s="8"/>
      <c r="F210" s="3"/>
      <c r="G210" s="9"/>
      <c r="O210" s="3"/>
    </row>
    <row r="211" spans="4:15" x14ac:dyDescent="0.25">
      <c r="D211" s="8"/>
      <c r="E211" s="8"/>
      <c r="F211" s="3"/>
      <c r="G211" s="9"/>
      <c r="O211" s="3"/>
    </row>
    <row r="212" spans="4:15" x14ac:dyDescent="0.25">
      <c r="D212" s="8"/>
      <c r="E212" s="8"/>
      <c r="F212" s="3"/>
      <c r="G212" s="9"/>
      <c r="O212" s="3"/>
    </row>
    <row r="213" spans="4:15" x14ac:dyDescent="0.25">
      <c r="D213" s="8"/>
      <c r="E213" s="8"/>
      <c r="F213" s="3"/>
      <c r="G213" s="9"/>
      <c r="O213" s="3"/>
    </row>
    <row r="214" spans="4:15" x14ac:dyDescent="0.25">
      <c r="D214" s="8"/>
      <c r="E214" s="8"/>
      <c r="F214" s="3"/>
      <c r="G214" s="9"/>
      <c r="O214" s="3"/>
    </row>
    <row r="215" spans="4:15" x14ac:dyDescent="0.25">
      <c r="D215" s="8"/>
      <c r="E215" s="8"/>
      <c r="F215" s="3"/>
      <c r="G215" s="9"/>
      <c r="O215" s="3"/>
    </row>
    <row r="216" spans="4:15" x14ac:dyDescent="0.25">
      <c r="D216" s="8"/>
      <c r="E216" s="8"/>
      <c r="F216" s="3"/>
      <c r="G216" s="9"/>
      <c r="O216" s="3"/>
    </row>
    <row r="217" spans="4:15" x14ac:dyDescent="0.25">
      <c r="D217" s="8"/>
      <c r="E217" s="8"/>
      <c r="F217" s="3"/>
      <c r="G217" s="9"/>
      <c r="O217" s="3"/>
    </row>
    <row r="218" spans="4:15" x14ac:dyDescent="0.25">
      <c r="D218" s="8"/>
      <c r="E218" s="8"/>
      <c r="F218" s="3"/>
      <c r="G218" s="9"/>
      <c r="O218" s="3"/>
    </row>
    <row r="219" spans="4:15" x14ac:dyDescent="0.25">
      <c r="D219" s="8"/>
      <c r="E219" s="8"/>
      <c r="F219" s="3"/>
      <c r="G219" s="9"/>
      <c r="O219" s="3"/>
    </row>
    <row r="220" spans="4:15" x14ac:dyDescent="0.25">
      <c r="D220" s="8"/>
      <c r="E220" s="8"/>
      <c r="F220" s="3"/>
      <c r="G220" s="9"/>
      <c r="O220" s="3"/>
    </row>
    <row r="221" spans="4:15" x14ac:dyDescent="0.25">
      <c r="D221" s="8"/>
      <c r="E221" s="8"/>
      <c r="F221" s="3"/>
      <c r="G221" s="9"/>
      <c r="O221" s="3"/>
    </row>
    <row r="222" spans="4:15" x14ac:dyDescent="0.25">
      <c r="D222" s="8"/>
      <c r="E222" s="8"/>
      <c r="F222" s="3"/>
      <c r="G222" s="9"/>
      <c r="O222" s="3"/>
    </row>
    <row r="223" spans="4:15" x14ac:dyDescent="0.25">
      <c r="D223" s="8"/>
      <c r="E223" s="8"/>
      <c r="F223" s="3"/>
      <c r="G223" s="9"/>
      <c r="O223" s="3"/>
    </row>
    <row r="224" spans="4:15" x14ac:dyDescent="0.25">
      <c r="D224" s="8"/>
      <c r="E224" s="8"/>
      <c r="F224" s="3"/>
      <c r="G224" s="9"/>
      <c r="O224" s="3"/>
    </row>
    <row r="225" spans="4:15" x14ac:dyDescent="0.25">
      <c r="D225" s="8"/>
      <c r="E225" s="8"/>
      <c r="F225" s="3"/>
      <c r="G225" s="9"/>
      <c r="O225" s="3"/>
    </row>
    <row r="226" spans="4:15" x14ac:dyDescent="0.25">
      <c r="D226" s="8"/>
      <c r="E226" s="8"/>
      <c r="F226" s="3"/>
      <c r="G226" s="9"/>
      <c r="O226" s="3"/>
    </row>
    <row r="227" spans="4:15" x14ac:dyDescent="0.25">
      <c r="D227" s="8"/>
      <c r="E227" s="8"/>
      <c r="F227" s="3"/>
      <c r="O227" s="3"/>
    </row>
    <row r="228" spans="4:15" x14ac:dyDescent="0.25">
      <c r="D228" s="8"/>
      <c r="E228" s="8"/>
      <c r="F228" s="3"/>
      <c r="G228" s="9"/>
      <c r="O228" s="3"/>
    </row>
    <row r="229" spans="4:15" x14ac:dyDescent="0.25">
      <c r="D229" s="8"/>
      <c r="E229" s="8"/>
      <c r="F229" s="3"/>
      <c r="G229" s="9"/>
      <c r="O229" s="3"/>
    </row>
    <row r="230" spans="4:15" x14ac:dyDescent="0.25">
      <c r="D230" s="8"/>
      <c r="E230" s="8"/>
      <c r="F230" s="3"/>
      <c r="G230" s="9"/>
      <c r="O230" s="3"/>
    </row>
    <row r="231" spans="4:15" x14ac:dyDescent="0.25">
      <c r="D231" s="8"/>
      <c r="E231" s="8"/>
      <c r="F231" s="3"/>
      <c r="G231" s="9"/>
      <c r="O231" s="3"/>
    </row>
    <row r="232" spans="4:15" x14ac:dyDescent="0.25">
      <c r="D232" s="8"/>
      <c r="E232" s="8"/>
      <c r="F232" s="3"/>
      <c r="G232" s="9"/>
      <c r="O232" s="3"/>
    </row>
    <row r="233" spans="4:15" x14ac:dyDescent="0.25">
      <c r="D233" s="8"/>
      <c r="E233" s="8"/>
      <c r="F233" s="3"/>
      <c r="G233" s="9"/>
      <c r="O233" s="3"/>
    </row>
    <row r="234" spans="4:15" x14ac:dyDescent="0.25">
      <c r="D234" s="8"/>
      <c r="E234" s="8"/>
      <c r="F234" s="3"/>
      <c r="G234" s="9"/>
      <c r="O234" s="3"/>
    </row>
    <row r="235" spans="4:15" x14ac:dyDescent="0.25">
      <c r="D235" s="8"/>
      <c r="E235" s="8"/>
      <c r="F235" s="3"/>
      <c r="G235" s="9"/>
      <c r="O235" s="3"/>
    </row>
    <row r="236" spans="4:15" x14ac:dyDescent="0.25">
      <c r="D236" s="8"/>
      <c r="E236" s="8"/>
      <c r="F236" s="3"/>
      <c r="G236" s="9"/>
      <c r="O236" s="3"/>
    </row>
    <row r="237" spans="4:15" x14ac:dyDescent="0.25">
      <c r="D237" s="8"/>
      <c r="E237" s="8"/>
      <c r="F237" s="3"/>
      <c r="G237" s="9"/>
      <c r="O237" s="3"/>
    </row>
    <row r="238" spans="4:15" x14ac:dyDescent="0.25">
      <c r="D238" s="8"/>
      <c r="E238" s="8"/>
      <c r="F238" s="3"/>
      <c r="G238" s="9"/>
      <c r="O238" s="3"/>
    </row>
    <row r="239" spans="4:15" x14ac:dyDescent="0.25">
      <c r="D239" s="8"/>
      <c r="E239" s="8"/>
      <c r="F239" s="3"/>
      <c r="G239" s="9"/>
      <c r="O239" s="3"/>
    </row>
    <row r="240" spans="4:15" x14ac:dyDescent="0.25">
      <c r="D240" s="8"/>
      <c r="E240" s="8"/>
      <c r="F240" s="3"/>
      <c r="G240" s="9"/>
      <c r="O240" s="3"/>
    </row>
    <row r="241" spans="4:15" x14ac:dyDescent="0.25">
      <c r="D241" s="8"/>
      <c r="E241" s="8"/>
      <c r="F241" s="3"/>
      <c r="G241" s="9"/>
      <c r="O241" s="3"/>
    </row>
    <row r="242" spans="4:15" x14ac:dyDescent="0.25">
      <c r="D242" s="8"/>
      <c r="E242" s="8"/>
      <c r="F242" s="3"/>
      <c r="G242" s="9"/>
      <c r="O242" s="3"/>
    </row>
    <row r="243" spans="4:15" x14ac:dyDescent="0.25">
      <c r="D243" s="8"/>
      <c r="E243" s="8"/>
      <c r="F243" s="3"/>
      <c r="G243" s="9"/>
      <c r="O243" s="3"/>
    </row>
    <row r="244" spans="4:15" x14ac:dyDescent="0.25">
      <c r="D244" s="8"/>
      <c r="E244" s="8"/>
      <c r="F244" s="3"/>
      <c r="G244" s="9"/>
      <c r="O244" s="3"/>
    </row>
    <row r="245" spans="4:15" x14ac:dyDescent="0.25">
      <c r="D245" s="8"/>
      <c r="E245" s="8"/>
      <c r="F245" s="3"/>
      <c r="G245" s="9"/>
      <c r="O245" s="3"/>
    </row>
    <row r="246" spans="4:15" x14ac:dyDescent="0.25">
      <c r="D246" s="8"/>
      <c r="E246" s="8"/>
      <c r="F246" s="3"/>
      <c r="G246" s="9"/>
      <c r="O246" s="3"/>
    </row>
    <row r="247" spans="4:15" x14ac:dyDescent="0.25">
      <c r="D247" s="8"/>
      <c r="E247" s="8"/>
      <c r="F247" s="3"/>
      <c r="G247" s="9"/>
      <c r="O247" s="3"/>
    </row>
    <row r="248" spans="4:15" x14ac:dyDescent="0.25">
      <c r="D248" s="8"/>
      <c r="E248" s="8"/>
      <c r="F248" s="3"/>
      <c r="G248" s="9"/>
      <c r="O248" s="3"/>
    </row>
    <row r="249" spans="4:15" x14ac:dyDescent="0.25">
      <c r="D249" s="8"/>
      <c r="E249" s="8"/>
      <c r="F249" s="3"/>
      <c r="G249" s="9"/>
      <c r="O249" s="3"/>
    </row>
    <row r="250" spans="4:15" x14ac:dyDescent="0.25">
      <c r="D250" s="8"/>
      <c r="E250" s="8"/>
      <c r="F250" s="3"/>
      <c r="G250" s="9"/>
      <c r="O250" s="3"/>
    </row>
    <row r="251" spans="4:15" x14ac:dyDescent="0.25">
      <c r="D251" s="8"/>
      <c r="E251" s="8"/>
      <c r="F251" s="3"/>
      <c r="G251" s="9"/>
      <c r="O251" s="3"/>
    </row>
    <row r="252" spans="4:15" x14ac:dyDescent="0.25">
      <c r="D252" s="8"/>
      <c r="E252" s="8"/>
      <c r="F252" s="3"/>
      <c r="O252" s="3"/>
    </row>
    <row r="253" spans="4:15" x14ac:dyDescent="0.25">
      <c r="D253" s="8"/>
      <c r="E253" s="8"/>
      <c r="F253" s="3"/>
      <c r="G253" s="9"/>
      <c r="O253" s="3"/>
    </row>
    <row r="254" spans="4:15" x14ac:dyDescent="0.25">
      <c r="D254" s="8"/>
      <c r="E254" s="8"/>
      <c r="F254" s="3"/>
      <c r="G254" s="9"/>
      <c r="O254" s="3"/>
    </row>
    <row r="255" spans="4:15" x14ac:dyDescent="0.25">
      <c r="D255" s="8"/>
      <c r="E255" s="8"/>
      <c r="F255" s="3"/>
      <c r="G255" s="9"/>
      <c r="O255" s="3"/>
    </row>
    <row r="256" spans="4:15" x14ac:dyDescent="0.25">
      <c r="D256" s="8"/>
      <c r="E256" s="8"/>
      <c r="F256" s="3"/>
      <c r="G256" s="9"/>
      <c r="O256" s="3"/>
    </row>
    <row r="257" spans="4:15" x14ac:dyDescent="0.25">
      <c r="D257" s="8"/>
      <c r="E257" s="8"/>
      <c r="F257" s="3"/>
      <c r="G257" s="9"/>
      <c r="O257" s="3"/>
    </row>
    <row r="258" spans="4:15" x14ac:dyDescent="0.25">
      <c r="D258" s="8"/>
      <c r="E258" s="8"/>
      <c r="F258" s="3"/>
      <c r="G258" s="9"/>
      <c r="O258" s="3"/>
    </row>
    <row r="259" spans="4:15" x14ac:dyDescent="0.25">
      <c r="D259" s="8"/>
      <c r="E259" s="8"/>
      <c r="F259" s="3"/>
      <c r="G259" s="9"/>
      <c r="O259" s="3"/>
    </row>
    <row r="260" spans="4:15" x14ac:dyDescent="0.25">
      <c r="D260" s="8"/>
      <c r="E260" s="8"/>
      <c r="F260" s="3"/>
      <c r="G260" s="9"/>
      <c r="O260" s="3"/>
    </row>
    <row r="261" spans="4:15" x14ac:dyDescent="0.25">
      <c r="D261" s="8"/>
      <c r="E261" s="8"/>
      <c r="F261" s="3"/>
      <c r="G261" s="9"/>
      <c r="O261" s="3"/>
    </row>
    <row r="262" spans="4:15" x14ac:dyDescent="0.25">
      <c r="D262" s="8"/>
      <c r="E262" s="8"/>
      <c r="F262" s="3"/>
      <c r="G262" s="9"/>
      <c r="O262" s="3"/>
    </row>
    <row r="263" spans="4:15" x14ac:dyDescent="0.25">
      <c r="D263" s="8"/>
      <c r="E263" s="8"/>
      <c r="F263" s="3"/>
      <c r="G263" s="9"/>
      <c r="O263" s="3"/>
    </row>
    <row r="264" spans="4:15" x14ac:dyDescent="0.25">
      <c r="D264" s="8"/>
      <c r="E264" s="8"/>
      <c r="F264" s="3"/>
      <c r="G264" s="9"/>
      <c r="O264" s="3"/>
    </row>
    <row r="265" spans="4:15" x14ac:dyDescent="0.25">
      <c r="D265" s="8"/>
      <c r="E265" s="8"/>
      <c r="F265" s="3"/>
      <c r="G265" s="9"/>
      <c r="O265" s="3"/>
    </row>
    <row r="266" spans="4:15" x14ac:dyDescent="0.25">
      <c r="D266" s="8"/>
      <c r="E266" s="8"/>
      <c r="F266" s="3"/>
      <c r="G266" s="9"/>
      <c r="O266" s="3"/>
    </row>
    <row r="267" spans="4:15" x14ac:dyDescent="0.25">
      <c r="D267" s="8"/>
      <c r="E267" s="8"/>
      <c r="F267" s="3"/>
      <c r="G267" s="9"/>
      <c r="O267" s="3"/>
    </row>
    <row r="268" spans="4:15" x14ac:dyDescent="0.25">
      <c r="D268" s="8"/>
      <c r="E268" s="8"/>
      <c r="F268" s="3"/>
      <c r="G268" s="9"/>
      <c r="O268" s="3"/>
    </row>
    <row r="269" spans="4:15" x14ac:dyDescent="0.25">
      <c r="D269" s="8"/>
      <c r="E269" s="8"/>
      <c r="F269" s="3"/>
      <c r="G269" s="9"/>
      <c r="O269" s="3"/>
    </row>
    <row r="270" spans="4:15" x14ac:dyDescent="0.25">
      <c r="D270" s="8"/>
      <c r="E270" s="8"/>
      <c r="F270" s="3"/>
      <c r="G270" s="9"/>
      <c r="O270" s="3"/>
    </row>
    <row r="271" spans="4:15" x14ac:dyDescent="0.25">
      <c r="D271" s="8"/>
      <c r="E271" s="8"/>
      <c r="F271" s="3"/>
      <c r="G271" s="9"/>
      <c r="O271" s="3"/>
    </row>
    <row r="272" spans="4:15" x14ac:dyDescent="0.25">
      <c r="D272" s="8"/>
      <c r="E272" s="8"/>
      <c r="F272" s="3"/>
      <c r="G272" s="9"/>
      <c r="O272" s="3"/>
    </row>
    <row r="273" spans="4:15" x14ac:dyDescent="0.25">
      <c r="D273" s="8"/>
      <c r="E273" s="8"/>
      <c r="F273" s="3"/>
      <c r="G273" s="9"/>
      <c r="O273" s="3"/>
    </row>
    <row r="274" spans="4:15" x14ac:dyDescent="0.25">
      <c r="D274" s="8"/>
      <c r="E274" s="8"/>
      <c r="F274" s="3"/>
      <c r="G274" s="9"/>
      <c r="O274" s="3"/>
    </row>
    <row r="275" spans="4:15" x14ac:dyDescent="0.25">
      <c r="D275" s="8"/>
      <c r="E275" s="8"/>
      <c r="F275" s="3"/>
      <c r="G275" s="9"/>
      <c r="O275" s="3"/>
    </row>
    <row r="276" spans="4:15" x14ac:dyDescent="0.25">
      <c r="D276" s="8"/>
      <c r="E276" s="8"/>
      <c r="F276" s="3"/>
      <c r="G276" s="9"/>
      <c r="O276" s="3"/>
    </row>
    <row r="277" spans="4:15" x14ac:dyDescent="0.25">
      <c r="D277" s="8"/>
      <c r="E277" s="8"/>
      <c r="F277" s="3"/>
      <c r="O277" s="3"/>
    </row>
    <row r="278" spans="4:15" x14ac:dyDescent="0.25">
      <c r="D278" s="8"/>
      <c r="E278" s="8"/>
      <c r="F278" s="3"/>
      <c r="G278" s="9"/>
      <c r="O278" s="3"/>
    </row>
    <row r="279" spans="4:15" x14ac:dyDescent="0.25">
      <c r="D279" s="8"/>
      <c r="E279" s="8"/>
      <c r="F279" s="3"/>
      <c r="G279" s="9"/>
      <c r="O279" s="3"/>
    </row>
    <row r="280" spans="4:15" x14ac:dyDescent="0.25">
      <c r="D280" s="8"/>
      <c r="E280" s="8"/>
      <c r="F280" s="3"/>
      <c r="G280" s="9"/>
      <c r="O280" s="3"/>
    </row>
    <row r="281" spans="4:15" x14ac:dyDescent="0.25">
      <c r="D281" s="8"/>
      <c r="E281" s="8"/>
      <c r="F281" s="3"/>
      <c r="G281" s="9"/>
      <c r="O281" s="3"/>
    </row>
    <row r="282" spans="4:15" x14ac:dyDescent="0.25">
      <c r="D282" s="8"/>
      <c r="E282" s="8"/>
      <c r="F282" s="3"/>
      <c r="G282" s="9"/>
      <c r="O282" s="3"/>
    </row>
    <row r="283" spans="4:15" x14ac:dyDescent="0.25">
      <c r="D283" s="8"/>
      <c r="E283" s="8"/>
      <c r="F283" s="3"/>
      <c r="G283" s="9"/>
      <c r="O283" s="3"/>
    </row>
    <row r="284" spans="4:15" x14ac:dyDescent="0.25">
      <c r="D284" s="8"/>
      <c r="E284" s="8"/>
      <c r="F284" s="3"/>
      <c r="G284" s="9"/>
      <c r="O284" s="3"/>
    </row>
    <row r="285" spans="4:15" x14ac:dyDescent="0.25">
      <c r="D285" s="8"/>
      <c r="E285" s="8"/>
      <c r="F285" s="3"/>
      <c r="G285" s="9"/>
      <c r="O285" s="3"/>
    </row>
    <row r="286" spans="4:15" x14ac:dyDescent="0.25">
      <c r="D286" s="8"/>
      <c r="E286" s="8"/>
      <c r="F286" s="3"/>
      <c r="G286" s="9"/>
      <c r="O286" s="3"/>
    </row>
    <row r="287" spans="4:15" x14ac:dyDescent="0.25">
      <c r="D287" s="8"/>
      <c r="E287" s="8"/>
      <c r="F287" s="3"/>
      <c r="G287" s="9"/>
      <c r="O287" s="3"/>
    </row>
    <row r="288" spans="4:15" x14ac:dyDescent="0.25">
      <c r="D288" s="8"/>
      <c r="E288" s="8"/>
      <c r="F288" s="3"/>
      <c r="G288" s="9"/>
      <c r="O288" s="3"/>
    </row>
    <row r="289" spans="4:15" x14ac:dyDescent="0.25">
      <c r="D289" s="8"/>
      <c r="E289" s="8"/>
      <c r="F289" s="3"/>
      <c r="G289" s="9"/>
      <c r="O289" s="3"/>
    </row>
    <row r="290" spans="4:15" x14ac:dyDescent="0.25">
      <c r="D290" s="8"/>
      <c r="E290" s="8"/>
      <c r="F290" s="3"/>
      <c r="G290" s="9"/>
      <c r="O290" s="3"/>
    </row>
    <row r="291" spans="4:15" x14ac:dyDescent="0.25">
      <c r="D291" s="8"/>
      <c r="E291" s="8"/>
      <c r="F291" s="3"/>
      <c r="G291" s="9"/>
      <c r="O291" s="3"/>
    </row>
    <row r="292" spans="4:15" x14ac:dyDescent="0.25">
      <c r="D292" s="8"/>
      <c r="E292" s="8"/>
      <c r="F292" s="3"/>
      <c r="G292" s="9"/>
      <c r="O292" s="3"/>
    </row>
    <row r="293" spans="4:15" x14ac:dyDescent="0.25">
      <c r="D293" s="8"/>
      <c r="E293" s="8"/>
      <c r="F293" s="3"/>
      <c r="G293" s="9"/>
      <c r="O293" s="3"/>
    </row>
    <row r="294" spans="4:15" x14ac:dyDescent="0.25">
      <c r="D294" s="8"/>
      <c r="E294" s="8"/>
      <c r="F294" s="3"/>
      <c r="G294" s="9"/>
      <c r="O294" s="3"/>
    </row>
    <row r="295" spans="4:15" x14ac:dyDescent="0.25">
      <c r="D295" s="8"/>
      <c r="E295" s="8"/>
      <c r="F295" s="3"/>
      <c r="G295" s="9"/>
      <c r="O295" s="3"/>
    </row>
    <row r="296" spans="4:15" x14ac:dyDescent="0.25">
      <c r="D296" s="8"/>
      <c r="E296" s="8"/>
      <c r="F296" s="3"/>
      <c r="G296" s="9"/>
      <c r="O296" s="3"/>
    </row>
    <row r="297" spans="4:15" x14ac:dyDescent="0.25">
      <c r="D297" s="8"/>
      <c r="E297" s="8"/>
      <c r="F297" s="3"/>
      <c r="G297" s="9"/>
      <c r="O297" s="3"/>
    </row>
    <row r="298" spans="4:15" x14ac:dyDescent="0.25">
      <c r="D298" s="8"/>
      <c r="E298" s="8"/>
      <c r="F298" s="3"/>
      <c r="G298" s="9"/>
      <c r="O298" s="3"/>
    </row>
    <row r="299" spans="4:15" x14ac:dyDescent="0.25">
      <c r="D299" s="8"/>
      <c r="E299" s="8"/>
      <c r="F299" s="3"/>
      <c r="G299" s="9"/>
      <c r="O299" s="3"/>
    </row>
    <row r="300" spans="4:15" x14ac:dyDescent="0.25">
      <c r="D300" s="8"/>
      <c r="E300" s="8"/>
      <c r="F300" s="3"/>
      <c r="G300" s="9"/>
      <c r="O300" s="3"/>
    </row>
    <row r="301" spans="4:15" x14ac:dyDescent="0.25">
      <c r="D301" s="8"/>
      <c r="E301" s="8"/>
      <c r="F301" s="3"/>
      <c r="G301" s="9"/>
      <c r="O301" s="3"/>
    </row>
    <row r="302" spans="4:15" x14ac:dyDescent="0.25">
      <c r="D302" s="8"/>
      <c r="E302" s="8"/>
      <c r="F302" s="3"/>
      <c r="O302" s="3"/>
    </row>
    <row r="303" spans="4:15" x14ac:dyDescent="0.25">
      <c r="D303" s="8"/>
      <c r="E303" s="8"/>
      <c r="F303" s="3"/>
      <c r="G303" s="9"/>
      <c r="O303" s="3"/>
    </row>
    <row r="304" spans="4:15" x14ac:dyDescent="0.25">
      <c r="D304" s="8"/>
      <c r="E304" s="8"/>
      <c r="F304" s="3"/>
      <c r="G304" s="9"/>
      <c r="O304" s="3"/>
    </row>
    <row r="305" spans="4:15" x14ac:dyDescent="0.25">
      <c r="D305" s="8"/>
      <c r="E305" s="8"/>
      <c r="F305" s="3"/>
      <c r="G305" s="9"/>
      <c r="O305" s="3"/>
    </row>
    <row r="306" spans="4:15" x14ac:dyDescent="0.25">
      <c r="D306" s="8"/>
      <c r="E306" s="8"/>
      <c r="F306" s="3"/>
      <c r="G306" s="9"/>
      <c r="O306" s="3"/>
    </row>
    <row r="307" spans="4:15" x14ac:dyDescent="0.25">
      <c r="D307" s="8"/>
      <c r="E307" s="8"/>
      <c r="F307" s="3"/>
      <c r="G307" s="9"/>
      <c r="O307" s="3"/>
    </row>
    <row r="308" spans="4:15" x14ac:dyDescent="0.25">
      <c r="D308" s="8"/>
      <c r="E308" s="8"/>
      <c r="F308" s="3"/>
      <c r="G308" s="9"/>
      <c r="O308" s="3"/>
    </row>
    <row r="309" spans="4:15" x14ac:dyDescent="0.25">
      <c r="D309" s="8"/>
      <c r="E309" s="8"/>
      <c r="F309" s="3"/>
      <c r="G309" s="9"/>
      <c r="O309" s="3"/>
    </row>
    <row r="310" spans="4:15" x14ac:dyDescent="0.25">
      <c r="D310" s="8"/>
      <c r="E310" s="8"/>
      <c r="F310" s="3"/>
      <c r="G310" s="9"/>
      <c r="O310" s="3"/>
    </row>
    <row r="311" spans="4:15" x14ac:dyDescent="0.25">
      <c r="D311" s="8"/>
      <c r="E311" s="8"/>
      <c r="F311" s="3"/>
      <c r="G311" s="9"/>
      <c r="O311" s="3"/>
    </row>
    <row r="312" spans="4:15" x14ac:dyDescent="0.25">
      <c r="D312" s="8"/>
      <c r="E312" s="8"/>
      <c r="F312" s="3"/>
      <c r="G312" s="9"/>
      <c r="O312" s="3"/>
    </row>
    <row r="313" spans="4:15" x14ac:dyDescent="0.25">
      <c r="D313" s="8"/>
      <c r="E313" s="8"/>
      <c r="F313" s="3"/>
      <c r="G313" s="9"/>
      <c r="O313" s="3"/>
    </row>
    <row r="314" spans="4:15" x14ac:dyDescent="0.25">
      <c r="D314" s="8"/>
      <c r="E314" s="8"/>
      <c r="F314" s="3"/>
      <c r="G314" s="9"/>
      <c r="O314" s="3"/>
    </row>
    <row r="315" spans="4:15" x14ac:dyDescent="0.25">
      <c r="D315" s="8"/>
      <c r="E315" s="8"/>
      <c r="F315" s="3"/>
      <c r="G315" s="9"/>
      <c r="O315" s="3"/>
    </row>
    <row r="316" spans="4:15" x14ac:dyDescent="0.25">
      <c r="D316" s="8"/>
      <c r="E316" s="8"/>
      <c r="F316" s="3"/>
      <c r="G316" s="9"/>
      <c r="O316" s="3"/>
    </row>
    <row r="317" spans="4:15" x14ac:dyDescent="0.25">
      <c r="D317" s="8"/>
      <c r="E317" s="8"/>
      <c r="F317" s="3"/>
      <c r="G317" s="9"/>
      <c r="O317" s="3"/>
    </row>
    <row r="318" spans="4:15" x14ac:dyDescent="0.25">
      <c r="D318" s="8"/>
      <c r="E318" s="8"/>
      <c r="F318" s="3"/>
      <c r="G318" s="9"/>
      <c r="O318" s="3"/>
    </row>
    <row r="319" spans="4:15" x14ac:dyDescent="0.25">
      <c r="D319" s="8"/>
      <c r="E319" s="8"/>
      <c r="F319" s="3"/>
      <c r="G319" s="9"/>
      <c r="O319" s="3"/>
    </row>
    <row r="320" spans="4:15" x14ac:dyDescent="0.25">
      <c r="D320" s="8"/>
      <c r="E320" s="8"/>
      <c r="F320" s="3"/>
      <c r="G320" s="9"/>
      <c r="O320" s="3"/>
    </row>
    <row r="321" spans="4:15" x14ac:dyDescent="0.25">
      <c r="D321" s="8"/>
      <c r="E321" s="8"/>
      <c r="F321" s="3"/>
      <c r="G321" s="9"/>
      <c r="O321" s="3"/>
    </row>
    <row r="322" spans="4:15" x14ac:dyDescent="0.25">
      <c r="D322" s="8"/>
      <c r="E322" s="8"/>
      <c r="F322" s="3"/>
      <c r="G322" s="9"/>
      <c r="O322" s="3"/>
    </row>
    <row r="323" spans="4:15" x14ac:dyDescent="0.25">
      <c r="D323" s="8"/>
      <c r="E323" s="8"/>
      <c r="F323" s="3"/>
      <c r="G323" s="9"/>
      <c r="O323" s="3"/>
    </row>
    <row r="324" spans="4:15" x14ac:dyDescent="0.25">
      <c r="D324" s="8"/>
      <c r="E324" s="8"/>
      <c r="F324" s="3"/>
      <c r="G324" s="9"/>
      <c r="O324" s="3"/>
    </row>
    <row r="325" spans="4:15" x14ac:dyDescent="0.25">
      <c r="D325" s="8"/>
      <c r="E325" s="8"/>
      <c r="F325" s="3"/>
      <c r="G325" s="9"/>
      <c r="O325" s="3"/>
    </row>
    <row r="326" spans="4:15" x14ac:dyDescent="0.25">
      <c r="D326" s="8"/>
      <c r="E326" s="8"/>
      <c r="F326" s="3"/>
      <c r="G326" s="9"/>
      <c r="O326" s="3"/>
    </row>
    <row r="327" spans="4:15" x14ac:dyDescent="0.25">
      <c r="D327" s="8"/>
      <c r="E327" s="8"/>
      <c r="F327" s="3"/>
      <c r="O327" s="3"/>
    </row>
    <row r="328" spans="4:15" x14ac:dyDescent="0.25">
      <c r="D328" s="8"/>
      <c r="E328" s="8"/>
      <c r="F328" s="3"/>
      <c r="G328" s="9"/>
      <c r="O328" s="3"/>
    </row>
    <row r="329" spans="4:15" x14ac:dyDescent="0.25">
      <c r="D329" s="8"/>
      <c r="E329" s="8"/>
      <c r="F329" s="3"/>
      <c r="G329" s="9"/>
      <c r="O329" s="3"/>
    </row>
    <row r="330" spans="4:15" x14ac:dyDescent="0.25">
      <c r="D330" s="8"/>
      <c r="E330" s="8"/>
      <c r="F330" s="3"/>
      <c r="G330" s="9"/>
      <c r="O330" s="3"/>
    </row>
    <row r="331" spans="4:15" x14ac:dyDescent="0.25">
      <c r="D331" s="8"/>
      <c r="E331" s="8"/>
      <c r="F331" s="3"/>
      <c r="G331" s="9"/>
      <c r="O331" s="3"/>
    </row>
    <row r="332" spans="4:15" x14ac:dyDescent="0.25">
      <c r="D332" s="8"/>
      <c r="E332" s="8"/>
      <c r="F332" s="3"/>
      <c r="G332" s="9"/>
      <c r="O332" s="3"/>
    </row>
    <row r="333" spans="4:15" x14ac:dyDescent="0.25">
      <c r="D333" s="8"/>
      <c r="E333" s="8"/>
      <c r="F333" s="3"/>
      <c r="G333" s="9"/>
      <c r="O333" s="3"/>
    </row>
    <row r="334" spans="4:15" x14ac:dyDescent="0.25">
      <c r="D334" s="8"/>
      <c r="E334" s="8"/>
      <c r="F334" s="3"/>
      <c r="G334" s="9"/>
      <c r="O334" s="3"/>
    </row>
    <row r="335" spans="4:15" x14ac:dyDescent="0.25">
      <c r="D335" s="8"/>
      <c r="E335" s="8"/>
      <c r="F335" s="3"/>
      <c r="G335" s="9"/>
      <c r="O335" s="3"/>
    </row>
    <row r="336" spans="4:15" x14ac:dyDescent="0.25">
      <c r="D336" s="8"/>
      <c r="E336" s="8"/>
      <c r="F336" s="3"/>
      <c r="G336" s="9"/>
      <c r="O336" s="3"/>
    </row>
    <row r="337" spans="4:15" x14ac:dyDescent="0.25">
      <c r="D337" s="8"/>
      <c r="E337" s="8"/>
      <c r="F337" s="3"/>
      <c r="G337" s="9"/>
      <c r="O337" s="3"/>
    </row>
    <row r="338" spans="4:15" x14ac:dyDescent="0.25">
      <c r="D338" s="8"/>
      <c r="E338" s="8"/>
      <c r="F338" s="3"/>
      <c r="G338" s="9"/>
      <c r="O338" s="3"/>
    </row>
    <row r="339" spans="4:15" x14ac:dyDescent="0.25">
      <c r="D339" s="8"/>
      <c r="E339" s="8"/>
      <c r="F339" s="3"/>
      <c r="G339" s="9"/>
      <c r="O339" s="3"/>
    </row>
    <row r="340" spans="4:15" x14ac:dyDescent="0.25">
      <c r="D340" s="8"/>
      <c r="E340" s="8"/>
      <c r="F340" s="3"/>
      <c r="G340" s="9"/>
      <c r="O340" s="3"/>
    </row>
    <row r="341" spans="4:15" x14ac:dyDescent="0.25">
      <c r="D341" s="8"/>
      <c r="E341" s="8"/>
      <c r="F341" s="3"/>
      <c r="G341" s="9"/>
      <c r="O341" s="3"/>
    </row>
    <row r="342" spans="4:15" x14ac:dyDescent="0.25">
      <c r="D342" s="8"/>
      <c r="E342" s="8"/>
      <c r="F342" s="3"/>
      <c r="G342" s="9"/>
      <c r="O342" s="3"/>
    </row>
    <row r="343" spans="4:15" x14ac:dyDescent="0.25">
      <c r="D343" s="8"/>
      <c r="E343" s="8"/>
      <c r="F343" s="3"/>
      <c r="G343" s="9"/>
      <c r="O343" s="3"/>
    </row>
    <row r="344" spans="4:15" x14ac:dyDescent="0.25">
      <c r="D344" s="8"/>
      <c r="E344" s="8"/>
      <c r="F344" s="3"/>
      <c r="G344" s="9"/>
      <c r="O344" s="3"/>
    </row>
    <row r="345" spans="4:15" x14ac:dyDescent="0.25">
      <c r="D345" s="8"/>
      <c r="E345" s="8"/>
      <c r="F345" s="3"/>
      <c r="G345" s="9"/>
      <c r="O345" s="3"/>
    </row>
    <row r="346" spans="4:15" x14ac:dyDescent="0.25">
      <c r="D346" s="8"/>
      <c r="E346" s="8"/>
      <c r="F346" s="3"/>
      <c r="G346" s="9"/>
      <c r="O346" s="3"/>
    </row>
    <row r="347" spans="4:15" x14ac:dyDescent="0.25">
      <c r="D347" s="8"/>
      <c r="E347" s="8"/>
      <c r="F347" s="3"/>
      <c r="G347" s="9"/>
      <c r="O347" s="3"/>
    </row>
    <row r="348" spans="4:15" x14ac:dyDescent="0.25">
      <c r="D348" s="8"/>
      <c r="E348" s="8"/>
      <c r="F348" s="3"/>
      <c r="G348" s="9"/>
      <c r="O348" s="3"/>
    </row>
    <row r="349" spans="4:15" x14ac:dyDescent="0.25">
      <c r="D349" s="8"/>
      <c r="E349" s="8"/>
      <c r="F349" s="3"/>
      <c r="G349" s="9"/>
      <c r="O349" s="3"/>
    </row>
    <row r="350" spans="4:15" x14ac:dyDescent="0.25">
      <c r="D350" s="8"/>
      <c r="E350" s="8"/>
      <c r="F350" s="3"/>
      <c r="G350" s="9"/>
      <c r="O350" s="3"/>
    </row>
    <row r="351" spans="4:15" x14ac:dyDescent="0.25">
      <c r="D351" s="8"/>
      <c r="E351" s="8"/>
      <c r="F351" s="3"/>
      <c r="G351" s="9"/>
      <c r="O351" s="3"/>
    </row>
    <row r="352" spans="4:15" x14ac:dyDescent="0.25">
      <c r="D352" s="8"/>
      <c r="E352" s="8"/>
      <c r="F352" s="3"/>
      <c r="O352" s="3"/>
    </row>
    <row r="353" spans="4:15" x14ac:dyDescent="0.25">
      <c r="D353" s="8"/>
      <c r="E353" s="8"/>
      <c r="F353" s="3"/>
      <c r="G353" s="9"/>
      <c r="O353" s="3"/>
    </row>
    <row r="354" spans="4:15" x14ac:dyDescent="0.25">
      <c r="D354" s="8"/>
      <c r="E354" s="8"/>
      <c r="F354" s="3"/>
      <c r="G354" s="9"/>
      <c r="O354" s="3"/>
    </row>
    <row r="355" spans="4:15" x14ac:dyDescent="0.25">
      <c r="D355" s="8"/>
      <c r="E355" s="8"/>
      <c r="F355" s="3"/>
      <c r="G355" s="9"/>
      <c r="O355" s="3"/>
    </row>
    <row r="356" spans="4:15" x14ac:dyDescent="0.25">
      <c r="D356" s="8"/>
      <c r="E356" s="8"/>
      <c r="F356" s="3"/>
      <c r="G356" s="9"/>
      <c r="O356" s="3"/>
    </row>
    <row r="357" spans="4:15" x14ac:dyDescent="0.25">
      <c r="D357" s="8"/>
      <c r="E357" s="8"/>
      <c r="F357" s="3"/>
      <c r="G357" s="9"/>
      <c r="O357" s="3"/>
    </row>
    <row r="358" spans="4:15" x14ac:dyDescent="0.25">
      <c r="D358" s="8"/>
      <c r="E358" s="8"/>
      <c r="F358" s="3"/>
      <c r="G358" s="9"/>
      <c r="O358" s="3"/>
    </row>
    <row r="359" spans="4:15" x14ac:dyDescent="0.25">
      <c r="D359" s="8"/>
      <c r="E359" s="8"/>
      <c r="F359" s="3"/>
      <c r="G359" s="9"/>
      <c r="O359" s="3"/>
    </row>
    <row r="360" spans="4:15" x14ac:dyDescent="0.25">
      <c r="D360" s="8"/>
      <c r="E360" s="8"/>
      <c r="F360" s="3"/>
      <c r="G360" s="9"/>
      <c r="O360" s="3"/>
    </row>
    <row r="361" spans="4:15" x14ac:dyDescent="0.25">
      <c r="D361" s="8"/>
      <c r="E361" s="8"/>
      <c r="F361" s="3"/>
      <c r="G361" s="9"/>
      <c r="O361" s="3"/>
    </row>
    <row r="362" spans="4:15" x14ac:dyDescent="0.25">
      <c r="D362" s="8"/>
      <c r="E362" s="8"/>
      <c r="F362" s="3"/>
      <c r="G362" s="9"/>
      <c r="O362" s="3"/>
    </row>
    <row r="363" spans="4:15" x14ac:dyDescent="0.25">
      <c r="D363" s="8"/>
      <c r="E363" s="8"/>
      <c r="F363" s="3"/>
      <c r="G363" s="9"/>
      <c r="O363" s="3"/>
    </row>
    <row r="364" spans="4:15" x14ac:dyDescent="0.25">
      <c r="D364" s="8"/>
      <c r="E364" s="8"/>
      <c r="F364" s="3"/>
      <c r="G364" s="9"/>
      <c r="O364" s="3"/>
    </row>
    <row r="365" spans="4:15" x14ac:dyDescent="0.25">
      <c r="D365" s="8"/>
      <c r="E365" s="8"/>
      <c r="F365" s="3"/>
      <c r="G365" s="9"/>
      <c r="O365" s="3"/>
    </row>
    <row r="366" spans="4:15" x14ac:dyDescent="0.25">
      <c r="D366" s="8"/>
      <c r="E366" s="8"/>
      <c r="F366" s="3"/>
      <c r="G366" s="9"/>
      <c r="O366" s="3"/>
    </row>
    <row r="367" spans="4:15" x14ac:dyDescent="0.25">
      <c r="D367" s="8"/>
      <c r="E367" s="8"/>
      <c r="F367" s="3"/>
      <c r="G367" s="9"/>
      <c r="O367" s="3"/>
    </row>
    <row r="368" spans="4:15" x14ac:dyDescent="0.25">
      <c r="D368" s="8"/>
      <c r="E368" s="8"/>
      <c r="F368" s="3"/>
      <c r="G368" s="9"/>
      <c r="O368" s="3"/>
    </row>
    <row r="369" spans="4:15" x14ac:dyDescent="0.25">
      <c r="D369" s="8"/>
      <c r="E369" s="8"/>
      <c r="F369" s="3"/>
      <c r="G369" s="9"/>
      <c r="O369" s="3"/>
    </row>
    <row r="370" spans="4:15" x14ac:dyDescent="0.25">
      <c r="D370" s="8"/>
      <c r="E370" s="8"/>
      <c r="F370" s="3"/>
      <c r="G370" s="9"/>
      <c r="O370" s="3"/>
    </row>
    <row r="371" spans="4:15" x14ac:dyDescent="0.25">
      <c r="D371" s="8"/>
      <c r="E371" s="8"/>
      <c r="F371" s="3"/>
      <c r="G371" s="9"/>
      <c r="O371" s="3"/>
    </row>
    <row r="372" spans="4:15" x14ac:dyDescent="0.25">
      <c r="D372" s="8"/>
      <c r="E372" s="8"/>
      <c r="F372" s="3"/>
      <c r="G372" s="9"/>
      <c r="O372" s="3"/>
    </row>
    <row r="373" spans="4:15" x14ac:dyDescent="0.25">
      <c r="D373" s="8"/>
      <c r="E373" s="8"/>
      <c r="F373" s="3"/>
      <c r="G373" s="9"/>
      <c r="O373" s="3"/>
    </row>
    <row r="374" spans="4:15" x14ac:dyDescent="0.25">
      <c r="D374" s="8"/>
      <c r="E374" s="8"/>
      <c r="F374" s="3"/>
      <c r="G374" s="9"/>
      <c r="O374" s="3"/>
    </row>
    <row r="375" spans="4:15" x14ac:dyDescent="0.25">
      <c r="D375" s="8"/>
      <c r="E375" s="8"/>
      <c r="F375" s="3"/>
      <c r="G375" s="9"/>
      <c r="O375" s="3"/>
    </row>
    <row r="376" spans="4:15" x14ac:dyDescent="0.25">
      <c r="D376" s="8"/>
      <c r="E376" s="8"/>
      <c r="F376" s="3"/>
      <c r="G376" s="9"/>
      <c r="O376" s="3"/>
    </row>
    <row r="377" spans="4:15" x14ac:dyDescent="0.25">
      <c r="D377" s="8"/>
      <c r="E377" s="8"/>
      <c r="F377" s="3"/>
      <c r="O377" s="3"/>
    </row>
    <row r="378" spans="4:15" x14ac:dyDescent="0.25">
      <c r="D378" s="8"/>
      <c r="E378" s="8"/>
      <c r="F378" s="3"/>
      <c r="G378" s="9"/>
      <c r="O378" s="3"/>
    </row>
    <row r="379" spans="4:15" x14ac:dyDescent="0.25">
      <c r="D379" s="8"/>
      <c r="E379" s="8"/>
      <c r="F379" s="3"/>
      <c r="G379" s="9"/>
      <c r="O379" s="3"/>
    </row>
    <row r="380" spans="4:15" x14ac:dyDescent="0.25">
      <c r="D380" s="8"/>
      <c r="E380" s="8"/>
      <c r="F380" s="3"/>
      <c r="G380" s="9"/>
      <c r="O380" s="3"/>
    </row>
    <row r="381" spans="4:15" x14ac:dyDescent="0.25">
      <c r="D381" s="8"/>
      <c r="E381" s="8"/>
      <c r="F381" s="3"/>
      <c r="G381" s="9"/>
      <c r="O381" s="3"/>
    </row>
    <row r="382" spans="4:15" x14ac:dyDescent="0.25">
      <c r="D382" s="8"/>
      <c r="E382" s="8"/>
      <c r="F382" s="3"/>
      <c r="G382" s="9"/>
      <c r="O382" s="3"/>
    </row>
    <row r="383" spans="4:15" x14ac:dyDescent="0.25">
      <c r="D383" s="8"/>
      <c r="E383" s="8"/>
      <c r="F383" s="3"/>
      <c r="G383" s="9"/>
      <c r="O383" s="3"/>
    </row>
    <row r="384" spans="4:15" x14ac:dyDescent="0.25">
      <c r="D384" s="8"/>
      <c r="E384" s="8"/>
      <c r="F384" s="3"/>
      <c r="G384" s="9"/>
      <c r="O384" s="3"/>
    </row>
    <row r="385" spans="4:15" x14ac:dyDescent="0.25">
      <c r="D385" s="8"/>
      <c r="E385" s="8"/>
      <c r="F385" s="3"/>
      <c r="G385" s="9"/>
      <c r="O385" s="3"/>
    </row>
    <row r="386" spans="4:15" x14ac:dyDescent="0.25">
      <c r="D386" s="8"/>
      <c r="E386" s="8"/>
      <c r="F386" s="3"/>
      <c r="G386" s="9"/>
      <c r="O386" s="3"/>
    </row>
    <row r="387" spans="4:15" x14ac:dyDescent="0.25">
      <c r="D387" s="8"/>
      <c r="E387" s="8"/>
      <c r="F387" s="3"/>
      <c r="G387" s="9"/>
      <c r="O387" s="3"/>
    </row>
    <row r="388" spans="4:15" x14ac:dyDescent="0.25">
      <c r="D388" s="8"/>
      <c r="E388" s="8"/>
      <c r="F388" s="3"/>
      <c r="G388" s="9"/>
      <c r="O388" s="3"/>
    </row>
    <row r="389" spans="4:15" x14ac:dyDescent="0.25">
      <c r="D389" s="8"/>
      <c r="E389" s="8"/>
      <c r="F389" s="3"/>
      <c r="G389" s="9"/>
      <c r="O389" s="3"/>
    </row>
    <row r="390" spans="4:15" x14ac:dyDescent="0.25">
      <c r="D390" s="8"/>
      <c r="E390" s="8"/>
      <c r="F390" s="3"/>
      <c r="G390" s="9"/>
      <c r="O390" s="3"/>
    </row>
    <row r="391" spans="4:15" x14ac:dyDescent="0.25">
      <c r="D391" s="8"/>
      <c r="E391" s="8"/>
      <c r="F391" s="3"/>
      <c r="G391" s="9"/>
      <c r="O391" s="3"/>
    </row>
    <row r="392" spans="4:15" x14ac:dyDescent="0.25">
      <c r="D392" s="8"/>
      <c r="E392" s="8"/>
      <c r="F392" s="3"/>
      <c r="G392" s="9"/>
      <c r="O392" s="3"/>
    </row>
    <row r="393" spans="4:15" x14ac:dyDescent="0.25">
      <c r="D393" s="8"/>
      <c r="E393" s="8"/>
      <c r="F393" s="3"/>
      <c r="G393" s="9"/>
      <c r="O393" s="3"/>
    </row>
    <row r="394" spans="4:15" x14ac:dyDescent="0.25">
      <c r="D394" s="8"/>
      <c r="E394" s="8"/>
      <c r="F394" s="3"/>
      <c r="G394" s="9"/>
      <c r="O394" s="3"/>
    </row>
    <row r="395" spans="4:15" x14ac:dyDescent="0.25">
      <c r="D395" s="8"/>
      <c r="E395" s="8"/>
      <c r="F395" s="3"/>
      <c r="G395" s="9"/>
      <c r="O395" s="3"/>
    </row>
    <row r="396" spans="4:15" x14ac:dyDescent="0.25">
      <c r="D396" s="8"/>
      <c r="E396" s="8"/>
      <c r="F396" s="3"/>
      <c r="G396" s="9"/>
      <c r="O396" s="3"/>
    </row>
    <row r="397" spans="4:15" x14ac:dyDescent="0.25">
      <c r="D397" s="8"/>
      <c r="E397" s="8"/>
      <c r="F397" s="3"/>
      <c r="G397" s="9"/>
      <c r="O397" s="3"/>
    </row>
    <row r="398" spans="4:15" x14ac:dyDescent="0.25">
      <c r="D398" s="8"/>
      <c r="E398" s="8"/>
      <c r="F398" s="3"/>
      <c r="G398" s="9"/>
      <c r="O398" s="3"/>
    </row>
    <row r="399" spans="4:15" x14ac:dyDescent="0.25">
      <c r="D399" s="8"/>
      <c r="E399" s="8"/>
      <c r="F399" s="3"/>
      <c r="G399" s="9"/>
      <c r="O399" s="3"/>
    </row>
    <row r="400" spans="4:15" x14ac:dyDescent="0.25">
      <c r="D400" s="8"/>
      <c r="E400" s="8"/>
      <c r="F400" s="3"/>
      <c r="G400" s="9"/>
      <c r="O400" s="3"/>
    </row>
    <row r="401" spans="4:15" x14ac:dyDescent="0.25">
      <c r="D401" s="8"/>
      <c r="E401" s="8"/>
      <c r="F401" s="3"/>
      <c r="G401" s="9"/>
      <c r="O401" s="3"/>
    </row>
    <row r="402" spans="4:15" x14ac:dyDescent="0.25">
      <c r="D402" s="8"/>
      <c r="E402" s="8"/>
      <c r="F402" s="3"/>
      <c r="O402" s="3"/>
    </row>
    <row r="403" spans="4:15" x14ac:dyDescent="0.25">
      <c r="D403" s="8"/>
      <c r="E403" s="8"/>
      <c r="F403" s="3"/>
      <c r="G403" s="9"/>
      <c r="O403" s="3"/>
    </row>
    <row r="404" spans="4:15" x14ac:dyDescent="0.25">
      <c r="D404" s="8"/>
      <c r="E404" s="8"/>
      <c r="F404" s="3"/>
      <c r="G404" s="9"/>
      <c r="O404" s="3"/>
    </row>
    <row r="405" spans="4:15" x14ac:dyDescent="0.25">
      <c r="D405" s="8"/>
      <c r="E405" s="8"/>
      <c r="F405" s="3"/>
      <c r="G405" s="9"/>
      <c r="O405" s="3"/>
    </row>
    <row r="406" spans="4:15" x14ac:dyDescent="0.25">
      <c r="D406" s="8"/>
      <c r="E406" s="8"/>
      <c r="F406" s="3"/>
      <c r="G406" s="9"/>
      <c r="O406" s="3"/>
    </row>
    <row r="407" spans="4:15" x14ac:dyDescent="0.25">
      <c r="D407" s="8"/>
      <c r="E407" s="8"/>
      <c r="F407" s="3"/>
      <c r="G407" s="9"/>
      <c r="O407" s="3"/>
    </row>
    <row r="408" spans="4:15" x14ac:dyDescent="0.25">
      <c r="D408" s="8"/>
      <c r="E408" s="8"/>
      <c r="F408" s="3"/>
      <c r="G408" s="9"/>
      <c r="O408" s="3"/>
    </row>
    <row r="409" spans="4:15" x14ac:dyDescent="0.25">
      <c r="D409" s="8"/>
      <c r="E409" s="8"/>
      <c r="F409" s="3"/>
      <c r="G409" s="9"/>
      <c r="O409" s="3"/>
    </row>
    <row r="410" spans="4:15" x14ac:dyDescent="0.25">
      <c r="D410" s="8"/>
      <c r="E410" s="8"/>
      <c r="F410" s="3"/>
      <c r="G410" s="9"/>
      <c r="O410" s="3"/>
    </row>
    <row r="411" spans="4:15" x14ac:dyDescent="0.25">
      <c r="D411" s="8"/>
      <c r="E411" s="8"/>
      <c r="F411" s="3"/>
      <c r="G411" s="9"/>
      <c r="O411" s="3"/>
    </row>
    <row r="412" spans="4:15" x14ac:dyDescent="0.25">
      <c r="D412" s="8"/>
      <c r="E412" s="8"/>
      <c r="F412" s="3"/>
      <c r="G412" s="9"/>
      <c r="O412" s="3"/>
    </row>
    <row r="413" spans="4:15" x14ac:dyDescent="0.25">
      <c r="D413" s="8"/>
      <c r="E413" s="8"/>
      <c r="F413" s="3"/>
      <c r="G413" s="9"/>
      <c r="O413" s="3"/>
    </row>
    <row r="414" spans="4:15" x14ac:dyDescent="0.25">
      <c r="D414" s="8"/>
      <c r="E414" s="8"/>
      <c r="F414" s="3"/>
      <c r="G414" s="9"/>
      <c r="O414" s="3"/>
    </row>
    <row r="415" spans="4:15" x14ac:dyDescent="0.25">
      <c r="D415" s="8"/>
      <c r="E415" s="8"/>
      <c r="F415" s="3"/>
      <c r="G415" s="9"/>
      <c r="O415" s="3"/>
    </row>
    <row r="416" spans="4:15" x14ac:dyDescent="0.25">
      <c r="D416" s="8"/>
      <c r="E416" s="8"/>
      <c r="F416" s="3"/>
      <c r="G416" s="9"/>
      <c r="O416" s="3"/>
    </row>
    <row r="417" spans="4:15" x14ac:dyDescent="0.25">
      <c r="D417" s="8"/>
      <c r="E417" s="8"/>
      <c r="F417" s="3"/>
      <c r="G417" s="9"/>
      <c r="O417" s="3"/>
    </row>
    <row r="418" spans="4:15" x14ac:dyDescent="0.25">
      <c r="D418" s="8"/>
      <c r="E418" s="8"/>
      <c r="F418" s="3"/>
      <c r="G418" s="9"/>
      <c r="O418" s="3"/>
    </row>
    <row r="419" spans="4:15" x14ac:dyDescent="0.25">
      <c r="D419" s="8"/>
      <c r="E419" s="8"/>
      <c r="F419" s="3"/>
      <c r="G419" s="9"/>
      <c r="O419" s="3"/>
    </row>
    <row r="420" spans="4:15" x14ac:dyDescent="0.25">
      <c r="D420" s="8"/>
      <c r="E420" s="8"/>
      <c r="F420" s="3"/>
      <c r="G420" s="9"/>
      <c r="O420" s="3"/>
    </row>
    <row r="421" spans="4:15" x14ac:dyDescent="0.25">
      <c r="D421" s="8"/>
      <c r="E421" s="8"/>
      <c r="F421" s="3"/>
      <c r="G421" s="9"/>
      <c r="O421" s="3"/>
    </row>
    <row r="422" spans="4:15" x14ac:dyDescent="0.25">
      <c r="D422" s="8"/>
      <c r="E422" s="8"/>
      <c r="F422" s="3"/>
      <c r="G422" s="9"/>
      <c r="O422" s="3"/>
    </row>
    <row r="423" spans="4:15" x14ac:dyDescent="0.25">
      <c r="D423" s="8"/>
      <c r="E423" s="8"/>
      <c r="F423" s="3"/>
      <c r="G423" s="9"/>
      <c r="O423" s="3"/>
    </row>
    <row r="424" spans="4:15" x14ac:dyDescent="0.25">
      <c r="D424" s="8"/>
      <c r="E424" s="8"/>
      <c r="F424" s="3"/>
      <c r="G424" s="9"/>
      <c r="O424" s="3"/>
    </row>
    <row r="425" spans="4:15" x14ac:dyDescent="0.25">
      <c r="D425" s="8"/>
      <c r="E425" s="8"/>
      <c r="F425" s="3"/>
      <c r="G425" s="9"/>
      <c r="O425" s="3"/>
    </row>
    <row r="426" spans="4:15" x14ac:dyDescent="0.25">
      <c r="D426" s="8"/>
      <c r="E426" s="8"/>
      <c r="F426" s="3"/>
      <c r="G426" s="9"/>
      <c r="O426" s="3"/>
    </row>
    <row r="427" spans="4:15" x14ac:dyDescent="0.25">
      <c r="D427" s="8"/>
      <c r="E427" s="8"/>
      <c r="F427" s="3"/>
      <c r="O427" s="3"/>
    </row>
    <row r="428" spans="4:15" x14ac:dyDescent="0.25">
      <c r="D428" s="8"/>
      <c r="E428" s="8"/>
      <c r="F428" s="3"/>
      <c r="G428" s="9"/>
      <c r="O428" s="3"/>
    </row>
    <row r="429" spans="4:15" x14ac:dyDescent="0.25">
      <c r="D429" s="8"/>
      <c r="E429" s="8"/>
      <c r="F429" s="3"/>
      <c r="G429" s="9"/>
      <c r="O429" s="3"/>
    </row>
    <row r="430" spans="4:15" x14ac:dyDescent="0.25">
      <c r="D430" s="8"/>
      <c r="E430" s="8"/>
      <c r="F430" s="3"/>
      <c r="G430" s="9"/>
      <c r="O430" s="3"/>
    </row>
    <row r="431" spans="4:15" x14ac:dyDescent="0.25">
      <c r="D431" s="8"/>
      <c r="E431" s="8"/>
      <c r="F431" s="3"/>
      <c r="G431" s="9"/>
      <c r="O431" s="3"/>
    </row>
    <row r="432" spans="4:15" x14ac:dyDescent="0.25">
      <c r="D432" s="8"/>
      <c r="E432" s="8"/>
      <c r="F432" s="3"/>
      <c r="G432" s="9"/>
      <c r="O432" s="3"/>
    </row>
    <row r="433" spans="4:15" x14ac:dyDescent="0.25">
      <c r="D433" s="8"/>
      <c r="E433" s="8"/>
      <c r="F433" s="3"/>
      <c r="G433" s="9"/>
      <c r="O433" s="3"/>
    </row>
    <row r="434" spans="4:15" x14ac:dyDescent="0.25">
      <c r="D434" s="8"/>
      <c r="E434" s="8"/>
      <c r="F434" s="3"/>
      <c r="G434" s="9"/>
      <c r="O434" s="3"/>
    </row>
    <row r="435" spans="4:15" x14ac:dyDescent="0.25">
      <c r="D435" s="8"/>
      <c r="E435" s="8"/>
      <c r="F435" s="3"/>
      <c r="G435" s="9"/>
      <c r="O435" s="3"/>
    </row>
    <row r="436" spans="4:15" x14ac:dyDescent="0.25">
      <c r="D436" s="8"/>
      <c r="E436" s="8"/>
      <c r="F436" s="3"/>
      <c r="G436" s="9"/>
      <c r="O436" s="3"/>
    </row>
    <row r="437" spans="4:15" x14ac:dyDescent="0.25">
      <c r="D437" s="8"/>
      <c r="E437" s="8"/>
      <c r="F437" s="3"/>
      <c r="G437" s="9"/>
      <c r="O437" s="3"/>
    </row>
    <row r="438" spans="4:15" x14ac:dyDescent="0.25">
      <c r="D438" s="8"/>
      <c r="E438" s="8"/>
      <c r="F438" s="3"/>
      <c r="G438" s="9"/>
      <c r="O438" s="3"/>
    </row>
    <row r="439" spans="4:15" x14ac:dyDescent="0.25">
      <c r="D439" s="8"/>
      <c r="E439" s="8"/>
      <c r="F439" s="3"/>
      <c r="G439" s="9"/>
      <c r="O439" s="3"/>
    </row>
    <row r="440" spans="4:15" x14ac:dyDescent="0.25">
      <c r="D440" s="8"/>
      <c r="E440" s="8"/>
      <c r="F440" s="3"/>
      <c r="G440" s="9"/>
      <c r="O440" s="3"/>
    </row>
    <row r="441" spans="4:15" x14ac:dyDescent="0.25">
      <c r="D441" s="8"/>
      <c r="E441" s="8"/>
      <c r="F441" s="3"/>
      <c r="G441" s="9"/>
      <c r="O441" s="3"/>
    </row>
    <row r="442" spans="4:15" x14ac:dyDescent="0.25">
      <c r="D442" s="8"/>
      <c r="E442" s="8"/>
      <c r="F442" s="3"/>
      <c r="G442" s="9"/>
      <c r="O442" s="3"/>
    </row>
    <row r="443" spans="4:15" x14ac:dyDescent="0.25">
      <c r="D443" s="8"/>
      <c r="E443" s="8"/>
      <c r="F443" s="3"/>
      <c r="G443" s="9"/>
      <c r="O443" s="3"/>
    </row>
    <row r="444" spans="4:15" x14ac:dyDescent="0.25">
      <c r="D444" s="8"/>
      <c r="E444" s="8"/>
      <c r="F444" s="3"/>
      <c r="G444" s="9"/>
      <c r="O444" s="3"/>
    </row>
    <row r="445" spans="4:15" x14ac:dyDescent="0.25">
      <c r="D445" s="8"/>
      <c r="E445" s="8"/>
      <c r="F445" s="3"/>
      <c r="G445" s="9"/>
      <c r="O445" s="3"/>
    </row>
    <row r="446" spans="4:15" x14ac:dyDescent="0.25">
      <c r="D446" s="8"/>
      <c r="E446" s="8"/>
      <c r="F446" s="3"/>
      <c r="G446" s="9"/>
      <c r="O446" s="3"/>
    </row>
    <row r="447" spans="4:15" x14ac:dyDescent="0.25">
      <c r="D447" s="8"/>
      <c r="E447" s="8"/>
      <c r="F447" s="3"/>
      <c r="G447" s="9"/>
      <c r="O447" s="3"/>
    </row>
    <row r="448" spans="4:15" x14ac:dyDescent="0.25">
      <c r="D448" s="8"/>
      <c r="E448" s="8"/>
      <c r="F448" s="3"/>
      <c r="G448" s="9"/>
      <c r="O448" s="3"/>
    </row>
    <row r="449" spans="4:15" x14ac:dyDescent="0.25">
      <c r="D449" s="8"/>
      <c r="E449" s="8"/>
      <c r="F449" s="3"/>
      <c r="G449" s="9"/>
      <c r="O449" s="3"/>
    </row>
    <row r="450" spans="4:15" x14ac:dyDescent="0.25">
      <c r="D450" s="8"/>
      <c r="E450" s="8"/>
      <c r="F450" s="3"/>
      <c r="G450" s="9"/>
      <c r="O450" s="3"/>
    </row>
    <row r="451" spans="4:15" x14ac:dyDescent="0.25">
      <c r="D451" s="8"/>
      <c r="E451" s="8"/>
      <c r="F451" s="3"/>
      <c r="G451" s="9"/>
      <c r="O451" s="3"/>
    </row>
    <row r="452" spans="4:15" x14ac:dyDescent="0.25">
      <c r="D452" s="8"/>
      <c r="E452" s="8"/>
      <c r="F452" s="3"/>
      <c r="O452" s="3"/>
    </row>
    <row r="453" spans="4:15" x14ac:dyDescent="0.25">
      <c r="D453" s="8"/>
      <c r="E453" s="8"/>
      <c r="F453" s="3"/>
      <c r="G453" s="9"/>
      <c r="O453" s="3"/>
    </row>
    <row r="454" spans="4:15" x14ac:dyDescent="0.25">
      <c r="D454" s="8"/>
      <c r="E454" s="8"/>
      <c r="F454" s="3"/>
      <c r="G454" s="9"/>
      <c r="O454" s="3"/>
    </row>
    <row r="455" spans="4:15" x14ac:dyDescent="0.25">
      <c r="D455" s="8"/>
      <c r="E455" s="8"/>
      <c r="F455" s="3"/>
      <c r="G455" s="9"/>
      <c r="O455" s="3"/>
    </row>
    <row r="456" spans="4:15" x14ac:dyDescent="0.25">
      <c r="D456" s="8"/>
      <c r="E456" s="8"/>
      <c r="F456" s="3"/>
      <c r="G456" s="9"/>
      <c r="O456" s="3"/>
    </row>
    <row r="457" spans="4:15" x14ac:dyDescent="0.25">
      <c r="D457" s="8"/>
      <c r="E457" s="8"/>
      <c r="F457" s="3"/>
      <c r="G457" s="9"/>
      <c r="O457" s="3"/>
    </row>
    <row r="458" spans="4:15" x14ac:dyDescent="0.25">
      <c r="D458" s="8"/>
      <c r="E458" s="8"/>
      <c r="F458" s="3"/>
      <c r="G458" s="9"/>
      <c r="O458" s="3"/>
    </row>
    <row r="459" spans="4:15" x14ac:dyDescent="0.25">
      <c r="D459" s="8"/>
      <c r="E459" s="8"/>
      <c r="F459" s="3"/>
      <c r="G459" s="9"/>
      <c r="O459" s="3"/>
    </row>
    <row r="460" spans="4:15" x14ac:dyDescent="0.25">
      <c r="D460" s="8"/>
      <c r="E460" s="8"/>
      <c r="F460" s="3"/>
      <c r="G460" s="9"/>
      <c r="O460" s="3"/>
    </row>
    <row r="461" spans="4:15" x14ac:dyDescent="0.25">
      <c r="D461" s="8"/>
      <c r="E461" s="8"/>
      <c r="F461" s="3"/>
      <c r="G461" s="9"/>
      <c r="O461" s="3"/>
    </row>
    <row r="462" spans="4:15" x14ac:dyDescent="0.25">
      <c r="D462" s="8"/>
      <c r="E462" s="8"/>
      <c r="F462" s="3"/>
      <c r="G462" s="9"/>
      <c r="O462" s="3"/>
    </row>
    <row r="463" spans="4:15" x14ac:dyDescent="0.25">
      <c r="D463" s="8"/>
      <c r="E463" s="8"/>
      <c r="F463" s="3"/>
      <c r="G463" s="9"/>
      <c r="O463" s="3"/>
    </row>
    <row r="464" spans="4:15" x14ac:dyDescent="0.25">
      <c r="D464" s="8"/>
      <c r="E464" s="8"/>
      <c r="F464" s="3"/>
      <c r="G464" s="9"/>
      <c r="O464" s="3"/>
    </row>
    <row r="465" spans="4:15" x14ac:dyDescent="0.25">
      <c r="D465" s="8"/>
      <c r="E465" s="8"/>
      <c r="F465" s="3"/>
      <c r="G465" s="9"/>
      <c r="O465" s="3"/>
    </row>
    <row r="466" spans="4:15" x14ac:dyDescent="0.25">
      <c r="D466" s="8"/>
      <c r="E466" s="8"/>
      <c r="F466" s="3"/>
      <c r="G466" s="9"/>
      <c r="O466" s="3"/>
    </row>
    <row r="467" spans="4:15" x14ac:dyDescent="0.25">
      <c r="D467" s="8"/>
      <c r="E467" s="8"/>
      <c r="F467" s="3"/>
      <c r="G467" s="9"/>
      <c r="O467" s="3"/>
    </row>
    <row r="468" spans="4:15" x14ac:dyDescent="0.25">
      <c r="D468" s="8"/>
      <c r="E468" s="8"/>
      <c r="F468" s="3"/>
      <c r="G468" s="9"/>
      <c r="O468" s="3"/>
    </row>
    <row r="469" spans="4:15" x14ac:dyDescent="0.25">
      <c r="D469" s="8"/>
      <c r="E469" s="8"/>
      <c r="F469" s="3"/>
      <c r="G469" s="9"/>
      <c r="O469" s="3"/>
    </row>
    <row r="470" spans="4:15" x14ac:dyDescent="0.25">
      <c r="D470" s="8"/>
      <c r="E470" s="8"/>
      <c r="F470" s="3"/>
      <c r="G470" s="9"/>
      <c r="O470" s="3"/>
    </row>
    <row r="471" spans="4:15" x14ac:dyDescent="0.25">
      <c r="D471" s="8"/>
      <c r="E471" s="8"/>
      <c r="F471" s="3"/>
      <c r="G471" s="9"/>
      <c r="O471" s="3"/>
    </row>
    <row r="472" spans="4:15" x14ac:dyDescent="0.25">
      <c r="D472" s="8"/>
      <c r="E472" s="8"/>
      <c r="F472" s="3"/>
      <c r="G472" s="9"/>
      <c r="O472" s="3"/>
    </row>
    <row r="473" spans="4:15" x14ac:dyDescent="0.25">
      <c r="D473" s="8"/>
      <c r="E473" s="8"/>
      <c r="F473" s="3"/>
      <c r="G473" s="9"/>
      <c r="O473" s="3"/>
    </row>
    <row r="474" spans="4:15" x14ac:dyDescent="0.25">
      <c r="D474" s="8"/>
      <c r="E474" s="8"/>
      <c r="F474" s="3"/>
      <c r="G474" s="9"/>
      <c r="O474" s="3"/>
    </row>
    <row r="475" spans="4:15" x14ac:dyDescent="0.25">
      <c r="D475" s="8"/>
      <c r="E475" s="8"/>
      <c r="F475" s="3"/>
      <c r="G475" s="9"/>
      <c r="O475" s="3"/>
    </row>
    <row r="476" spans="4:15" x14ac:dyDescent="0.25">
      <c r="D476" s="8"/>
      <c r="E476" s="8"/>
      <c r="F476" s="3"/>
      <c r="G476" s="9"/>
      <c r="O476" s="3"/>
    </row>
    <row r="477" spans="4:15" x14ac:dyDescent="0.25">
      <c r="D477" s="8"/>
      <c r="E477" s="8"/>
      <c r="F477" s="3"/>
      <c r="O477" s="3"/>
    </row>
    <row r="478" spans="4:15" x14ac:dyDescent="0.25">
      <c r="D478" s="8"/>
      <c r="E478" s="8"/>
      <c r="F478" s="3"/>
      <c r="G478" s="9"/>
      <c r="O478" s="3"/>
    </row>
    <row r="479" spans="4:15" x14ac:dyDescent="0.25">
      <c r="D479" s="8"/>
      <c r="E479" s="8"/>
      <c r="F479" s="3"/>
      <c r="G479" s="9"/>
      <c r="O479" s="3"/>
    </row>
    <row r="480" spans="4:15" x14ac:dyDescent="0.25">
      <c r="D480" s="8"/>
      <c r="E480" s="8"/>
      <c r="F480" s="3"/>
      <c r="G480" s="9"/>
      <c r="O480" s="3"/>
    </row>
    <row r="481" spans="4:15" x14ac:dyDescent="0.25">
      <c r="D481" s="8"/>
      <c r="E481" s="8"/>
      <c r="F481" s="3"/>
      <c r="G481" s="9"/>
      <c r="O481" s="3"/>
    </row>
    <row r="482" spans="4:15" x14ac:dyDescent="0.25">
      <c r="D482" s="8"/>
      <c r="E482" s="8"/>
      <c r="F482" s="3"/>
      <c r="G482" s="9"/>
      <c r="O482" s="3"/>
    </row>
    <row r="483" spans="4:15" x14ac:dyDescent="0.25">
      <c r="D483" s="8"/>
      <c r="E483" s="8"/>
      <c r="F483" s="3"/>
      <c r="G483" s="9"/>
      <c r="O483" s="3"/>
    </row>
    <row r="484" spans="4:15" x14ac:dyDescent="0.25">
      <c r="D484" s="8"/>
      <c r="E484" s="8"/>
      <c r="F484" s="3"/>
      <c r="G484" s="9"/>
      <c r="O484" s="3"/>
    </row>
    <row r="485" spans="4:15" x14ac:dyDescent="0.25">
      <c r="D485" s="8"/>
      <c r="E485" s="8"/>
      <c r="F485" s="3"/>
      <c r="G485" s="9"/>
      <c r="O485" s="3"/>
    </row>
    <row r="486" spans="4:15" x14ac:dyDescent="0.25">
      <c r="D486" s="8"/>
      <c r="E486" s="8"/>
      <c r="F486" s="3"/>
      <c r="G486" s="9"/>
      <c r="O486" s="3"/>
    </row>
    <row r="487" spans="4:15" x14ac:dyDescent="0.25">
      <c r="D487" s="8"/>
      <c r="E487" s="8"/>
      <c r="F487" s="3"/>
      <c r="G487" s="9"/>
      <c r="O487" s="3"/>
    </row>
    <row r="488" spans="4:15" x14ac:dyDescent="0.25">
      <c r="D488" s="8"/>
      <c r="E488" s="8"/>
      <c r="F488" s="3"/>
      <c r="G488" s="9"/>
      <c r="O488" s="3"/>
    </row>
    <row r="489" spans="4:15" x14ac:dyDescent="0.25">
      <c r="D489" s="8"/>
      <c r="E489" s="8"/>
      <c r="F489" s="3"/>
      <c r="G489" s="9"/>
      <c r="O489" s="3"/>
    </row>
    <row r="490" spans="4:15" x14ac:dyDescent="0.25">
      <c r="D490" s="8"/>
      <c r="E490" s="8"/>
      <c r="F490" s="3"/>
      <c r="G490" s="9"/>
      <c r="O490" s="3"/>
    </row>
    <row r="491" spans="4:15" x14ac:dyDescent="0.25">
      <c r="D491" s="8"/>
      <c r="E491" s="8"/>
      <c r="F491" s="3"/>
      <c r="G491" s="9"/>
      <c r="O491" s="3"/>
    </row>
    <row r="492" spans="4:15" x14ac:dyDescent="0.25">
      <c r="D492" s="8"/>
      <c r="E492" s="8"/>
      <c r="F492" s="3"/>
      <c r="G492" s="9"/>
      <c r="O492" s="3"/>
    </row>
    <row r="493" spans="4:15" x14ac:dyDescent="0.25">
      <c r="D493" s="8"/>
      <c r="E493" s="8"/>
      <c r="F493" s="3"/>
      <c r="G493" s="9"/>
      <c r="O493" s="3"/>
    </row>
    <row r="494" spans="4:15" x14ac:dyDescent="0.25">
      <c r="D494" s="8"/>
      <c r="E494" s="8"/>
      <c r="F494" s="3"/>
      <c r="G494" s="9"/>
      <c r="O494" s="3"/>
    </row>
    <row r="495" spans="4:15" x14ac:dyDescent="0.25">
      <c r="D495" s="8"/>
      <c r="E495" s="8"/>
      <c r="F495" s="3"/>
      <c r="G495" s="9"/>
      <c r="O495" s="3"/>
    </row>
    <row r="496" spans="4:15" x14ac:dyDescent="0.25">
      <c r="D496" s="8"/>
      <c r="E496" s="8"/>
      <c r="F496" s="3"/>
      <c r="G496" s="9"/>
      <c r="O496" s="3"/>
    </row>
    <row r="497" spans="4:15" x14ac:dyDescent="0.25">
      <c r="D497" s="8"/>
      <c r="E497" s="8"/>
      <c r="F497" s="3"/>
      <c r="G497" s="9"/>
      <c r="O497" s="3"/>
    </row>
    <row r="498" spans="4:15" x14ac:dyDescent="0.25">
      <c r="D498" s="8"/>
      <c r="E498" s="8"/>
      <c r="F498" s="3"/>
      <c r="G498" s="9"/>
      <c r="O498" s="3"/>
    </row>
    <row r="499" spans="4:15" x14ac:dyDescent="0.25">
      <c r="D499" s="8"/>
      <c r="E499" s="8"/>
      <c r="F499" s="3"/>
      <c r="G499" s="9"/>
      <c r="O499" s="3"/>
    </row>
    <row r="500" spans="4:15" x14ac:dyDescent="0.25">
      <c r="D500" s="8"/>
      <c r="E500" s="8"/>
      <c r="F500" s="3"/>
      <c r="G500" s="9"/>
      <c r="O500" s="3"/>
    </row>
    <row r="501" spans="4:15" x14ac:dyDescent="0.25">
      <c r="D501" s="8"/>
      <c r="E501" s="8"/>
      <c r="F501" s="3"/>
      <c r="G501" s="9"/>
      <c r="O501" s="3"/>
    </row>
    <row r="502" spans="4:15" x14ac:dyDescent="0.25">
      <c r="D502" s="8"/>
      <c r="E502" s="8"/>
      <c r="F502" s="3"/>
      <c r="O502" s="3"/>
    </row>
    <row r="503" spans="4:15" x14ac:dyDescent="0.25">
      <c r="D503" s="8"/>
      <c r="E503" s="8"/>
      <c r="F503" s="3"/>
      <c r="G503" s="9"/>
      <c r="O503" s="3"/>
    </row>
    <row r="504" spans="4:15" x14ac:dyDescent="0.25">
      <c r="D504" s="8"/>
      <c r="E504" s="8"/>
      <c r="F504" s="3"/>
      <c r="G504" s="9"/>
      <c r="O504" s="3"/>
    </row>
    <row r="505" spans="4:15" x14ac:dyDescent="0.25">
      <c r="D505" s="8"/>
      <c r="E505" s="8"/>
      <c r="F505" s="3"/>
      <c r="G505" s="9"/>
      <c r="O505" s="3"/>
    </row>
    <row r="506" spans="4:15" x14ac:dyDescent="0.25">
      <c r="D506" s="8"/>
      <c r="E506" s="8"/>
      <c r="F506" s="3"/>
      <c r="G506" s="9"/>
      <c r="O506" s="3"/>
    </row>
    <row r="507" spans="4:15" x14ac:dyDescent="0.25">
      <c r="D507" s="8"/>
      <c r="E507" s="8"/>
      <c r="F507" s="3"/>
      <c r="G507" s="9"/>
      <c r="O507" s="3"/>
    </row>
    <row r="508" spans="4:15" x14ac:dyDescent="0.25">
      <c r="D508" s="8"/>
      <c r="E508" s="8"/>
      <c r="F508" s="3"/>
      <c r="G508" s="9"/>
      <c r="O508" s="3"/>
    </row>
    <row r="509" spans="4:15" x14ac:dyDescent="0.25">
      <c r="D509" s="8"/>
      <c r="E509" s="8"/>
      <c r="F509" s="3"/>
      <c r="G509" s="9"/>
      <c r="O509" s="3"/>
    </row>
    <row r="510" spans="4:15" x14ac:dyDescent="0.25">
      <c r="D510" s="8"/>
      <c r="E510" s="8"/>
      <c r="F510" s="3"/>
      <c r="G510" s="9"/>
      <c r="O510" s="3"/>
    </row>
    <row r="511" spans="4:15" x14ac:dyDescent="0.25">
      <c r="D511" s="8"/>
      <c r="E511" s="8"/>
      <c r="F511" s="3"/>
      <c r="G511" s="9"/>
      <c r="O511" s="3"/>
    </row>
    <row r="512" spans="4:15" x14ac:dyDescent="0.25">
      <c r="D512" s="8"/>
      <c r="E512" s="8"/>
      <c r="F512" s="3"/>
      <c r="G512" s="9"/>
      <c r="O512" s="3"/>
    </row>
    <row r="513" spans="4:15" x14ac:dyDescent="0.25">
      <c r="D513" s="8"/>
      <c r="E513" s="8"/>
      <c r="F513" s="3"/>
      <c r="G513" s="9"/>
      <c r="O513" s="3"/>
    </row>
    <row r="514" spans="4:15" x14ac:dyDescent="0.25">
      <c r="D514" s="8"/>
      <c r="E514" s="8"/>
      <c r="F514" s="3"/>
      <c r="G514" s="9"/>
      <c r="O514" s="3"/>
    </row>
    <row r="515" spans="4:15" x14ac:dyDescent="0.25">
      <c r="D515" s="8"/>
      <c r="E515" s="8"/>
      <c r="F515" s="3"/>
      <c r="G515" s="9"/>
      <c r="O515" s="3"/>
    </row>
    <row r="516" spans="4:15" x14ac:dyDescent="0.25">
      <c r="D516" s="8"/>
      <c r="E516" s="8"/>
      <c r="F516" s="3"/>
      <c r="G516" s="9"/>
      <c r="O516" s="3"/>
    </row>
    <row r="517" spans="4:15" x14ac:dyDescent="0.25">
      <c r="D517" s="8"/>
      <c r="E517" s="8"/>
      <c r="F517" s="3"/>
      <c r="G517" s="9"/>
      <c r="O517" s="3"/>
    </row>
    <row r="518" spans="4:15" x14ac:dyDescent="0.25">
      <c r="D518" s="8"/>
      <c r="E518" s="8"/>
      <c r="F518" s="3"/>
      <c r="G518" s="9"/>
      <c r="O518" s="3"/>
    </row>
    <row r="519" spans="4:15" x14ac:dyDescent="0.25">
      <c r="D519" s="8"/>
      <c r="E519" s="8"/>
      <c r="F519" s="3"/>
      <c r="G519" s="9"/>
      <c r="O519" s="3"/>
    </row>
    <row r="520" spans="4:15" x14ac:dyDescent="0.25">
      <c r="D520" s="8"/>
      <c r="E520" s="8"/>
      <c r="F520" s="3"/>
      <c r="G520" s="9"/>
      <c r="O520" s="3"/>
    </row>
    <row r="521" spans="4:15" x14ac:dyDescent="0.25">
      <c r="D521" s="8"/>
      <c r="E521" s="8"/>
      <c r="F521" s="3"/>
      <c r="G521" s="9"/>
      <c r="O521" s="3"/>
    </row>
    <row r="522" spans="4:15" x14ac:dyDescent="0.25">
      <c r="D522" s="8"/>
      <c r="E522" s="8"/>
      <c r="F522" s="3"/>
      <c r="G522" s="9"/>
      <c r="O522" s="3"/>
    </row>
    <row r="523" spans="4:15" x14ac:dyDescent="0.25">
      <c r="D523" s="8"/>
      <c r="E523" s="8"/>
      <c r="F523" s="3"/>
      <c r="G523" s="9"/>
      <c r="O523" s="3"/>
    </row>
    <row r="524" spans="4:15" x14ac:dyDescent="0.25">
      <c r="D524" s="8"/>
      <c r="E524" s="8"/>
      <c r="F524" s="3"/>
      <c r="G524" s="9"/>
      <c r="O524" s="3"/>
    </row>
    <row r="525" spans="4:15" x14ac:dyDescent="0.25">
      <c r="D525" s="8"/>
      <c r="E525" s="8"/>
      <c r="F525" s="3"/>
      <c r="G525" s="9"/>
      <c r="O525" s="3"/>
    </row>
    <row r="526" spans="4:15" x14ac:dyDescent="0.25">
      <c r="D526" s="8"/>
      <c r="E526" s="8"/>
      <c r="F526" s="3"/>
      <c r="G526" s="9"/>
      <c r="O526" s="3"/>
    </row>
    <row r="527" spans="4:15" x14ac:dyDescent="0.25">
      <c r="D527" s="8"/>
      <c r="E527" s="8"/>
      <c r="F527" s="3"/>
      <c r="O527" s="3"/>
    </row>
    <row r="528" spans="4:15" x14ac:dyDescent="0.25">
      <c r="D528" s="8"/>
      <c r="E528" s="8"/>
      <c r="F528" s="3"/>
      <c r="G528" s="9"/>
      <c r="O528" s="3"/>
    </row>
    <row r="529" spans="4:15" x14ac:dyDescent="0.25">
      <c r="D529" s="8"/>
      <c r="E529" s="8"/>
      <c r="F529" s="3"/>
      <c r="G529" s="9"/>
      <c r="O529" s="3"/>
    </row>
    <row r="530" spans="4:15" x14ac:dyDescent="0.25">
      <c r="D530" s="8"/>
      <c r="E530" s="8"/>
      <c r="F530" s="3"/>
      <c r="G530" s="9"/>
      <c r="O530" s="3"/>
    </row>
    <row r="531" spans="4:15" x14ac:dyDescent="0.25">
      <c r="D531" s="8"/>
      <c r="E531" s="8"/>
      <c r="F531" s="3"/>
      <c r="G531" s="9"/>
      <c r="O531" s="3"/>
    </row>
    <row r="532" spans="4:15" x14ac:dyDescent="0.25">
      <c r="D532" s="8"/>
      <c r="E532" s="8"/>
      <c r="F532" s="3"/>
      <c r="G532" s="9"/>
      <c r="O532" s="3"/>
    </row>
    <row r="533" spans="4:15" x14ac:dyDescent="0.25">
      <c r="D533" s="8"/>
      <c r="E533" s="8"/>
      <c r="F533" s="3"/>
      <c r="G533" s="9"/>
      <c r="O533" s="3"/>
    </row>
    <row r="534" spans="4:15" x14ac:dyDescent="0.25">
      <c r="D534" s="8"/>
      <c r="E534" s="8"/>
      <c r="F534" s="3"/>
      <c r="G534" s="9"/>
      <c r="O534" s="3"/>
    </row>
    <row r="535" spans="4:15" x14ac:dyDescent="0.25">
      <c r="D535" s="8"/>
      <c r="E535" s="8"/>
      <c r="F535" s="3"/>
      <c r="G535" s="9"/>
      <c r="O535" s="3"/>
    </row>
    <row r="536" spans="4:15" x14ac:dyDescent="0.25">
      <c r="D536" s="8"/>
      <c r="E536" s="8"/>
      <c r="F536" s="3"/>
      <c r="G536" s="9"/>
      <c r="O536" s="3"/>
    </row>
    <row r="537" spans="4:15" x14ac:dyDescent="0.25">
      <c r="D537" s="8"/>
      <c r="E537" s="8"/>
      <c r="F537" s="3"/>
      <c r="G537" s="9"/>
      <c r="O537" s="3"/>
    </row>
    <row r="538" spans="4:15" x14ac:dyDescent="0.25">
      <c r="D538" s="8"/>
      <c r="E538" s="8"/>
      <c r="F538" s="3"/>
      <c r="G538" s="9"/>
      <c r="O538" s="3"/>
    </row>
    <row r="539" spans="4:15" x14ac:dyDescent="0.25">
      <c r="D539" s="8"/>
      <c r="E539" s="8"/>
      <c r="F539" s="3"/>
      <c r="G539" s="9"/>
      <c r="O539" s="3"/>
    </row>
    <row r="540" spans="4:15" x14ac:dyDescent="0.25">
      <c r="D540" s="8"/>
      <c r="E540" s="8"/>
      <c r="F540" s="3"/>
      <c r="G540" s="9"/>
      <c r="O540" s="3"/>
    </row>
    <row r="541" spans="4:15" x14ac:dyDescent="0.25">
      <c r="D541" s="8"/>
      <c r="E541" s="8"/>
      <c r="F541" s="3"/>
      <c r="G541" s="9"/>
      <c r="O541" s="3"/>
    </row>
    <row r="542" spans="4:15" x14ac:dyDescent="0.25">
      <c r="D542" s="8"/>
      <c r="E542" s="8"/>
      <c r="F542" s="3"/>
      <c r="G542" s="9"/>
      <c r="O542" s="3"/>
    </row>
    <row r="543" spans="4:15" x14ac:dyDescent="0.25">
      <c r="D543" s="8"/>
      <c r="E543" s="8"/>
      <c r="F543" s="3"/>
      <c r="G543" s="9"/>
      <c r="O543" s="3"/>
    </row>
    <row r="544" spans="4:15" x14ac:dyDescent="0.25">
      <c r="D544" s="8"/>
      <c r="E544" s="8"/>
      <c r="F544" s="3"/>
      <c r="G544" s="9"/>
      <c r="O544" s="3"/>
    </row>
    <row r="545" spans="4:15" x14ac:dyDescent="0.25">
      <c r="D545" s="8"/>
      <c r="E545" s="8"/>
      <c r="F545" s="3"/>
      <c r="G545" s="9"/>
      <c r="O545" s="3"/>
    </row>
    <row r="546" spans="4:15" x14ac:dyDescent="0.25">
      <c r="D546" s="8"/>
      <c r="E546" s="8"/>
      <c r="F546" s="3"/>
      <c r="G546" s="9"/>
      <c r="O546" s="3"/>
    </row>
    <row r="547" spans="4:15" x14ac:dyDescent="0.25">
      <c r="D547" s="8"/>
      <c r="E547" s="8"/>
      <c r="F547" s="3"/>
      <c r="G547" s="9"/>
      <c r="O547" s="3"/>
    </row>
    <row r="548" spans="4:15" x14ac:dyDescent="0.25">
      <c r="D548" s="8"/>
      <c r="E548" s="8"/>
      <c r="F548" s="3"/>
      <c r="G548" s="9"/>
      <c r="O548" s="3"/>
    </row>
    <row r="549" spans="4:15" x14ac:dyDescent="0.25">
      <c r="D549" s="8"/>
      <c r="E549" s="8"/>
      <c r="F549" s="3"/>
      <c r="G549" s="9"/>
      <c r="O549" s="3"/>
    </row>
    <row r="550" spans="4:15" x14ac:dyDescent="0.25">
      <c r="D550" s="8"/>
      <c r="E550" s="8"/>
      <c r="F550" s="3"/>
      <c r="G550" s="9"/>
      <c r="O550" s="3"/>
    </row>
    <row r="551" spans="4:15" x14ac:dyDescent="0.25">
      <c r="D551" s="8"/>
      <c r="E551" s="8"/>
      <c r="F551" s="3"/>
      <c r="G551" s="9"/>
      <c r="O551" s="3"/>
    </row>
    <row r="552" spans="4:15" x14ac:dyDescent="0.25">
      <c r="D552" s="8"/>
      <c r="E552" s="8"/>
      <c r="F552" s="3"/>
      <c r="O552" s="3"/>
    </row>
    <row r="553" spans="4:15" x14ac:dyDescent="0.25">
      <c r="D553" s="8"/>
      <c r="E553" s="8"/>
      <c r="F553" s="3"/>
      <c r="G553" s="9"/>
      <c r="O553" s="3"/>
    </row>
    <row r="554" spans="4:15" x14ac:dyDescent="0.25">
      <c r="D554" s="8"/>
      <c r="E554" s="8"/>
      <c r="F554" s="3"/>
      <c r="G554" s="9"/>
      <c r="O554" s="3"/>
    </row>
    <row r="555" spans="4:15" x14ac:dyDescent="0.25">
      <c r="D555" s="8"/>
      <c r="E555" s="8"/>
      <c r="F555" s="3"/>
      <c r="G555" s="9"/>
      <c r="O555" s="3"/>
    </row>
    <row r="556" spans="4:15" x14ac:dyDescent="0.25">
      <c r="D556" s="8"/>
      <c r="E556" s="8"/>
      <c r="F556" s="3"/>
      <c r="G556" s="9"/>
      <c r="O556" s="3"/>
    </row>
    <row r="557" spans="4:15" x14ac:dyDescent="0.25">
      <c r="D557" s="8"/>
      <c r="E557" s="8"/>
      <c r="F557" s="3"/>
      <c r="G557" s="9"/>
      <c r="O557" s="3"/>
    </row>
    <row r="558" spans="4:15" x14ac:dyDescent="0.25">
      <c r="D558" s="8"/>
      <c r="E558" s="8"/>
      <c r="F558" s="3"/>
      <c r="G558" s="9"/>
      <c r="O558" s="3"/>
    </row>
    <row r="559" spans="4:15" x14ac:dyDescent="0.25">
      <c r="D559" s="8"/>
      <c r="E559" s="8"/>
      <c r="F559" s="3"/>
      <c r="G559" s="9"/>
      <c r="O559" s="3"/>
    </row>
    <row r="560" spans="4:15" x14ac:dyDescent="0.25">
      <c r="D560" s="8"/>
      <c r="E560" s="8"/>
      <c r="F560" s="3"/>
      <c r="G560" s="9"/>
      <c r="O560" s="3"/>
    </row>
    <row r="561" spans="4:15" x14ac:dyDescent="0.25">
      <c r="D561" s="8"/>
      <c r="E561" s="8"/>
      <c r="F561" s="3"/>
      <c r="G561" s="9"/>
      <c r="O561" s="3"/>
    </row>
    <row r="562" spans="4:15" x14ac:dyDescent="0.25">
      <c r="D562" s="8"/>
      <c r="E562" s="8"/>
      <c r="F562" s="3"/>
      <c r="G562" s="9"/>
      <c r="O562" s="3"/>
    </row>
    <row r="563" spans="4:15" x14ac:dyDescent="0.25">
      <c r="D563" s="8"/>
      <c r="E563" s="8"/>
      <c r="F563" s="3"/>
      <c r="G563" s="9"/>
      <c r="O563" s="3"/>
    </row>
    <row r="564" spans="4:15" x14ac:dyDescent="0.25">
      <c r="D564" s="8"/>
      <c r="E564" s="8"/>
      <c r="F564" s="3"/>
      <c r="G564" s="9"/>
      <c r="O564" s="3"/>
    </row>
    <row r="565" spans="4:15" x14ac:dyDescent="0.25">
      <c r="D565" s="8"/>
      <c r="E565" s="8"/>
      <c r="F565" s="3"/>
      <c r="G565" s="9"/>
      <c r="O565" s="3"/>
    </row>
    <row r="566" spans="4:15" x14ac:dyDescent="0.25">
      <c r="D566" s="8"/>
      <c r="E566" s="8"/>
      <c r="F566" s="3"/>
      <c r="G566" s="9"/>
      <c r="O566" s="3"/>
    </row>
    <row r="567" spans="4:15" x14ac:dyDescent="0.25">
      <c r="D567" s="8"/>
      <c r="E567" s="8"/>
      <c r="F567" s="3"/>
      <c r="G567" s="9"/>
      <c r="O567" s="3"/>
    </row>
    <row r="568" spans="4:15" x14ac:dyDescent="0.25">
      <c r="D568" s="8"/>
      <c r="E568" s="8"/>
      <c r="F568" s="3"/>
      <c r="G568" s="9"/>
      <c r="O568" s="3"/>
    </row>
    <row r="569" spans="4:15" x14ac:dyDescent="0.25">
      <c r="D569" s="8"/>
      <c r="E569" s="8"/>
      <c r="F569" s="3"/>
      <c r="G569" s="9"/>
      <c r="O569" s="3"/>
    </row>
    <row r="570" spans="4:15" x14ac:dyDescent="0.25">
      <c r="D570" s="8"/>
      <c r="E570" s="8"/>
      <c r="F570" s="3"/>
      <c r="G570" s="9"/>
      <c r="O570" s="3"/>
    </row>
    <row r="571" spans="4:15" x14ac:dyDescent="0.25">
      <c r="D571" s="8"/>
      <c r="E571" s="8"/>
      <c r="F571" s="3"/>
      <c r="G571" s="9"/>
      <c r="O571" s="3"/>
    </row>
    <row r="572" spans="4:15" x14ac:dyDescent="0.25">
      <c r="D572" s="8"/>
      <c r="E572" s="8"/>
      <c r="F572" s="3"/>
      <c r="G572" s="9"/>
      <c r="O572" s="3"/>
    </row>
    <row r="573" spans="4:15" x14ac:dyDescent="0.25">
      <c r="D573" s="8"/>
      <c r="E573" s="8"/>
      <c r="F573" s="3"/>
      <c r="G573" s="9"/>
      <c r="O573" s="3"/>
    </row>
    <row r="574" spans="4:15" x14ac:dyDescent="0.25">
      <c r="D574" s="8"/>
      <c r="E574" s="8"/>
      <c r="F574" s="3"/>
      <c r="G574" s="9"/>
      <c r="O574" s="3"/>
    </row>
    <row r="575" spans="4:15" x14ac:dyDescent="0.25">
      <c r="D575" s="8"/>
      <c r="E575" s="8"/>
      <c r="F575" s="3"/>
      <c r="G575" s="9"/>
      <c r="O575" s="3"/>
    </row>
    <row r="576" spans="4:15" x14ac:dyDescent="0.25">
      <c r="D576" s="8"/>
      <c r="E576" s="8"/>
      <c r="F576" s="3"/>
      <c r="G576" s="9"/>
      <c r="O576" s="3"/>
    </row>
    <row r="577" spans="4:15" x14ac:dyDescent="0.25">
      <c r="D577" s="8"/>
      <c r="E577" s="8"/>
      <c r="F577" s="3"/>
      <c r="O577" s="3"/>
    </row>
    <row r="578" spans="4:15" x14ac:dyDescent="0.25">
      <c r="D578" s="8"/>
      <c r="E578" s="8"/>
      <c r="F578" s="3"/>
      <c r="G578" s="9"/>
      <c r="O578" s="3"/>
    </row>
    <row r="579" spans="4:15" x14ac:dyDescent="0.25">
      <c r="D579" s="8"/>
      <c r="E579" s="8"/>
      <c r="F579" s="3"/>
      <c r="G579" s="9"/>
      <c r="O579" s="3"/>
    </row>
    <row r="580" spans="4:15" x14ac:dyDescent="0.25">
      <c r="D580" s="8"/>
      <c r="E580" s="8"/>
      <c r="F580" s="3"/>
      <c r="G580" s="9"/>
      <c r="O580" s="3"/>
    </row>
    <row r="581" spans="4:15" x14ac:dyDescent="0.25">
      <c r="D581" s="8"/>
      <c r="E581" s="8"/>
      <c r="F581" s="3"/>
      <c r="G581" s="9"/>
      <c r="O581" s="3"/>
    </row>
    <row r="582" spans="4:15" x14ac:dyDescent="0.25">
      <c r="D582" s="8"/>
      <c r="E582" s="8"/>
      <c r="F582" s="3"/>
      <c r="G582" s="9"/>
      <c r="O582" s="3"/>
    </row>
    <row r="583" spans="4:15" x14ac:dyDescent="0.25">
      <c r="D583" s="8"/>
      <c r="E583" s="8"/>
      <c r="F583" s="3"/>
      <c r="G583" s="9"/>
      <c r="O583" s="3"/>
    </row>
    <row r="584" spans="4:15" x14ac:dyDescent="0.25">
      <c r="D584" s="8"/>
      <c r="E584" s="8"/>
      <c r="F584" s="3"/>
      <c r="G584" s="9"/>
      <c r="O584" s="3"/>
    </row>
    <row r="585" spans="4:15" x14ac:dyDescent="0.25">
      <c r="D585" s="8"/>
      <c r="E585" s="8"/>
      <c r="F585" s="3"/>
      <c r="G585" s="9"/>
      <c r="O585" s="3"/>
    </row>
    <row r="586" spans="4:15" x14ac:dyDescent="0.25">
      <c r="D586" s="8"/>
      <c r="E586" s="8"/>
      <c r="F586" s="3"/>
      <c r="G586" s="9"/>
      <c r="O586" s="3"/>
    </row>
    <row r="587" spans="4:15" x14ac:dyDescent="0.25">
      <c r="D587" s="8"/>
      <c r="E587" s="8"/>
      <c r="F587" s="3"/>
      <c r="G587" s="9"/>
      <c r="O587" s="3"/>
    </row>
    <row r="588" spans="4:15" x14ac:dyDescent="0.25">
      <c r="D588" s="8"/>
      <c r="E588" s="8"/>
      <c r="F588" s="3"/>
      <c r="G588" s="9"/>
      <c r="O588" s="3"/>
    </row>
    <row r="589" spans="4:15" x14ac:dyDescent="0.25">
      <c r="D589" s="8"/>
      <c r="E589" s="8"/>
      <c r="F589" s="3"/>
      <c r="G589" s="9"/>
      <c r="O589" s="3"/>
    </row>
    <row r="590" spans="4:15" x14ac:dyDescent="0.25">
      <c r="D590" s="8"/>
      <c r="E590" s="8"/>
      <c r="F590" s="3"/>
      <c r="G590" s="9"/>
      <c r="O590" s="3"/>
    </row>
    <row r="591" spans="4:15" x14ac:dyDescent="0.25">
      <c r="D591" s="8"/>
      <c r="E591" s="8"/>
      <c r="F591" s="3"/>
      <c r="G591" s="9"/>
      <c r="O591" s="3"/>
    </row>
    <row r="592" spans="4:15" x14ac:dyDescent="0.25">
      <c r="D592" s="8"/>
      <c r="E592" s="8"/>
      <c r="F592" s="3"/>
      <c r="G592" s="9"/>
      <c r="O592" s="3"/>
    </row>
    <row r="593" spans="4:15" x14ac:dyDescent="0.25">
      <c r="D593" s="8"/>
      <c r="E593" s="8"/>
      <c r="F593" s="3"/>
      <c r="G593" s="9"/>
      <c r="O593" s="3"/>
    </row>
    <row r="594" spans="4:15" x14ac:dyDescent="0.25">
      <c r="D594" s="8"/>
      <c r="E594" s="8"/>
      <c r="F594" s="3"/>
      <c r="G594" s="9"/>
      <c r="O594" s="3"/>
    </row>
    <row r="595" spans="4:15" x14ac:dyDescent="0.25">
      <c r="D595" s="8"/>
      <c r="E595" s="8"/>
      <c r="F595" s="3"/>
      <c r="G595" s="9"/>
      <c r="O595" s="3"/>
    </row>
    <row r="596" spans="4:15" x14ac:dyDescent="0.25">
      <c r="D596" s="8"/>
      <c r="E596" s="8"/>
      <c r="F596" s="3"/>
      <c r="G596" s="9"/>
      <c r="O596" s="3"/>
    </row>
    <row r="597" spans="4:15" x14ac:dyDescent="0.25">
      <c r="D597" s="8"/>
      <c r="E597" s="8"/>
      <c r="F597" s="3"/>
      <c r="G597" s="9"/>
      <c r="O597" s="3"/>
    </row>
    <row r="598" spans="4:15" x14ac:dyDescent="0.25">
      <c r="D598" s="8"/>
      <c r="E598" s="8"/>
      <c r="F598" s="3"/>
      <c r="G598" s="9"/>
      <c r="O598" s="3"/>
    </row>
    <row r="599" spans="4:15" x14ac:dyDescent="0.25">
      <c r="D599" s="8"/>
      <c r="E599" s="8"/>
      <c r="F599" s="3"/>
      <c r="G599" s="9"/>
      <c r="O599" s="3"/>
    </row>
    <row r="600" spans="4:15" x14ac:dyDescent="0.25">
      <c r="D600" s="8"/>
      <c r="E600" s="8"/>
      <c r="F600" s="3"/>
      <c r="G600" s="9"/>
      <c r="O600" s="3"/>
    </row>
    <row r="601" spans="4:15" x14ac:dyDescent="0.25">
      <c r="D601" s="8"/>
      <c r="E601" s="8"/>
      <c r="F601" s="3"/>
      <c r="G601" s="9"/>
      <c r="O601" s="3"/>
    </row>
    <row r="602" spans="4:15" x14ac:dyDescent="0.25">
      <c r="D602" s="8"/>
      <c r="E602" s="8"/>
      <c r="F602" s="3"/>
      <c r="O602" s="3"/>
    </row>
    <row r="603" spans="4:15" x14ac:dyDescent="0.25">
      <c r="D603" s="8"/>
      <c r="E603" s="8"/>
      <c r="F603" s="3"/>
      <c r="G603" s="9"/>
      <c r="O603" s="3"/>
    </row>
    <row r="604" spans="4:15" x14ac:dyDescent="0.25">
      <c r="D604" s="8"/>
      <c r="E604" s="8"/>
      <c r="F604" s="3"/>
      <c r="G604" s="9"/>
      <c r="O604" s="3"/>
    </row>
    <row r="605" spans="4:15" x14ac:dyDescent="0.25">
      <c r="D605" s="8"/>
      <c r="E605" s="8"/>
      <c r="F605" s="3"/>
      <c r="G605" s="9"/>
      <c r="O605" s="3"/>
    </row>
    <row r="606" spans="4:15" x14ac:dyDescent="0.25">
      <c r="D606" s="8"/>
      <c r="E606" s="8"/>
      <c r="F606" s="3"/>
      <c r="G606" s="9"/>
      <c r="O606" s="3"/>
    </row>
    <row r="607" spans="4:15" x14ac:dyDescent="0.25">
      <c r="D607" s="8"/>
      <c r="E607" s="8"/>
      <c r="F607" s="3"/>
      <c r="G607" s="9"/>
      <c r="O607" s="3"/>
    </row>
    <row r="608" spans="4:15" x14ac:dyDescent="0.25">
      <c r="D608" s="8"/>
      <c r="E608" s="8"/>
      <c r="F608" s="3"/>
      <c r="G608" s="9"/>
      <c r="O608" s="3"/>
    </row>
    <row r="609" spans="4:15" x14ac:dyDescent="0.25">
      <c r="D609" s="8"/>
      <c r="E609" s="8"/>
      <c r="F609" s="3"/>
      <c r="G609" s="9"/>
      <c r="O609" s="3"/>
    </row>
    <row r="610" spans="4:15" x14ac:dyDescent="0.25">
      <c r="D610" s="8"/>
      <c r="E610" s="8"/>
      <c r="F610" s="3"/>
      <c r="G610" s="9"/>
      <c r="O610" s="3"/>
    </row>
    <row r="611" spans="4:15" x14ac:dyDescent="0.25">
      <c r="D611" s="8"/>
      <c r="E611" s="8"/>
      <c r="F611" s="3"/>
      <c r="G611" s="9"/>
      <c r="O611" s="3"/>
    </row>
    <row r="612" spans="4:15" x14ac:dyDescent="0.25">
      <c r="D612" s="8"/>
      <c r="E612" s="8"/>
      <c r="F612" s="3"/>
      <c r="G612" s="9"/>
      <c r="O612" s="3"/>
    </row>
    <row r="613" spans="4:15" x14ac:dyDescent="0.25">
      <c r="D613" s="8"/>
      <c r="E613" s="8"/>
      <c r="F613" s="3"/>
      <c r="G613" s="9"/>
      <c r="O613" s="3"/>
    </row>
    <row r="614" spans="4:15" x14ac:dyDescent="0.25">
      <c r="D614" s="8"/>
      <c r="E614" s="8"/>
      <c r="F614" s="3"/>
      <c r="G614" s="9"/>
      <c r="O614" s="3"/>
    </row>
    <row r="615" spans="4:15" x14ac:dyDescent="0.25">
      <c r="D615" s="8"/>
      <c r="E615" s="8"/>
      <c r="F615" s="3"/>
      <c r="G615" s="9"/>
      <c r="O615" s="3"/>
    </row>
    <row r="616" spans="4:15" x14ac:dyDescent="0.25">
      <c r="D616" s="8"/>
      <c r="E616" s="8"/>
      <c r="F616" s="3"/>
      <c r="G616" s="9"/>
      <c r="O616" s="3"/>
    </row>
    <row r="617" spans="4:15" x14ac:dyDescent="0.25">
      <c r="D617" s="8"/>
      <c r="E617" s="8"/>
      <c r="F617" s="3"/>
      <c r="G617" s="9"/>
      <c r="O617" s="3"/>
    </row>
    <row r="618" spans="4:15" x14ac:dyDescent="0.25">
      <c r="D618" s="8"/>
      <c r="E618" s="8"/>
      <c r="F618" s="3"/>
      <c r="G618" s="9"/>
      <c r="O618" s="3"/>
    </row>
    <row r="619" spans="4:15" x14ac:dyDescent="0.25">
      <c r="D619" s="8"/>
      <c r="E619" s="8"/>
      <c r="F619" s="3"/>
      <c r="G619" s="9"/>
      <c r="O619" s="3"/>
    </row>
    <row r="620" spans="4:15" x14ac:dyDescent="0.25">
      <c r="D620" s="8"/>
      <c r="E620" s="8"/>
      <c r="F620" s="3"/>
      <c r="G620" s="9"/>
      <c r="O620" s="3"/>
    </row>
    <row r="621" spans="4:15" x14ac:dyDescent="0.25">
      <c r="D621" s="8"/>
      <c r="E621" s="8"/>
      <c r="F621" s="3"/>
      <c r="G621" s="9"/>
      <c r="O621" s="3"/>
    </row>
    <row r="622" spans="4:15" x14ac:dyDescent="0.25">
      <c r="D622" s="8"/>
      <c r="E622" s="8"/>
      <c r="F622" s="3"/>
      <c r="G622" s="9"/>
      <c r="O622" s="3"/>
    </row>
    <row r="623" spans="4:15" x14ac:dyDescent="0.25">
      <c r="D623" s="8"/>
      <c r="E623" s="8"/>
      <c r="F623" s="3"/>
      <c r="G623" s="9"/>
      <c r="O623" s="3"/>
    </row>
    <row r="624" spans="4:15" x14ac:dyDescent="0.25">
      <c r="D624" s="8"/>
      <c r="E624" s="8"/>
      <c r="F624" s="3"/>
      <c r="G624" s="9"/>
      <c r="O624" s="3"/>
    </row>
    <row r="625" spans="4:15" x14ac:dyDescent="0.25">
      <c r="D625" s="8"/>
      <c r="E625" s="8"/>
      <c r="F625" s="3"/>
      <c r="G625" s="9"/>
      <c r="O625" s="3"/>
    </row>
    <row r="626" spans="4:15" x14ac:dyDescent="0.25">
      <c r="D626" s="8"/>
      <c r="E626" s="8"/>
      <c r="F626" s="3"/>
      <c r="G626" s="9"/>
      <c r="O626" s="3"/>
    </row>
    <row r="627" spans="4:15" x14ac:dyDescent="0.25">
      <c r="D627" s="8"/>
      <c r="E627" s="8"/>
      <c r="F627" s="3"/>
      <c r="O627" s="3"/>
    </row>
    <row r="628" spans="4:15" x14ac:dyDescent="0.25">
      <c r="D628" s="8"/>
      <c r="E628" s="8"/>
      <c r="F628" s="3"/>
      <c r="G628" s="9"/>
      <c r="O628" s="3"/>
    </row>
    <row r="629" spans="4:15" x14ac:dyDescent="0.25">
      <c r="D629" s="8"/>
      <c r="E629" s="8"/>
      <c r="F629" s="3"/>
      <c r="G629" s="9"/>
      <c r="O629" s="3"/>
    </row>
    <row r="630" spans="4:15" x14ac:dyDescent="0.25">
      <c r="D630" s="8"/>
      <c r="E630" s="8"/>
      <c r="F630" s="3"/>
      <c r="G630" s="9"/>
      <c r="O630" s="3"/>
    </row>
    <row r="631" spans="4:15" x14ac:dyDescent="0.25">
      <c r="D631" s="8"/>
      <c r="E631" s="8"/>
      <c r="F631" s="3"/>
      <c r="G631" s="9"/>
      <c r="O631" s="3"/>
    </row>
    <row r="632" spans="4:15" x14ac:dyDescent="0.25">
      <c r="D632" s="8"/>
      <c r="E632" s="8"/>
      <c r="F632" s="3"/>
      <c r="G632" s="9"/>
      <c r="O632" s="3"/>
    </row>
    <row r="633" spans="4:15" x14ac:dyDescent="0.25">
      <c r="D633" s="8"/>
      <c r="E633" s="8"/>
      <c r="F633" s="3"/>
      <c r="G633" s="9"/>
      <c r="O633" s="3"/>
    </row>
    <row r="634" spans="4:15" x14ac:dyDescent="0.25">
      <c r="D634" s="8"/>
      <c r="E634" s="8"/>
      <c r="F634" s="3"/>
      <c r="G634" s="9"/>
      <c r="O634" s="3"/>
    </row>
    <row r="635" spans="4:15" x14ac:dyDescent="0.25">
      <c r="D635" s="8"/>
      <c r="E635" s="8"/>
      <c r="F635" s="3"/>
      <c r="G635" s="9"/>
      <c r="O635" s="3"/>
    </row>
    <row r="636" spans="4:15" x14ac:dyDescent="0.25">
      <c r="D636" s="8"/>
      <c r="E636" s="8"/>
      <c r="F636" s="3"/>
      <c r="G636" s="9"/>
      <c r="O636" s="3"/>
    </row>
    <row r="637" spans="4:15" x14ac:dyDescent="0.25">
      <c r="D637" s="8"/>
      <c r="E637" s="8"/>
      <c r="F637" s="3"/>
      <c r="G637" s="9"/>
      <c r="O637" s="3"/>
    </row>
    <row r="638" spans="4:15" x14ac:dyDescent="0.25">
      <c r="D638" s="8"/>
      <c r="E638" s="8"/>
      <c r="F638" s="3"/>
      <c r="G638" s="9"/>
      <c r="O638" s="3"/>
    </row>
    <row r="639" spans="4:15" x14ac:dyDescent="0.25">
      <c r="D639" s="8"/>
      <c r="E639" s="8"/>
      <c r="F639" s="3"/>
      <c r="G639" s="9"/>
      <c r="O639" s="3"/>
    </row>
    <row r="640" spans="4:15" x14ac:dyDescent="0.25">
      <c r="D640" s="8"/>
      <c r="E640" s="8"/>
      <c r="F640" s="3"/>
      <c r="G640" s="9"/>
      <c r="O640" s="3"/>
    </row>
    <row r="641" spans="4:15" x14ac:dyDescent="0.25">
      <c r="D641" s="8"/>
      <c r="E641" s="8"/>
      <c r="F641" s="3"/>
      <c r="G641" s="9"/>
      <c r="O641" s="3"/>
    </row>
    <row r="642" spans="4:15" x14ac:dyDescent="0.25">
      <c r="D642" s="8"/>
      <c r="E642" s="8"/>
      <c r="F642" s="3"/>
      <c r="G642" s="9"/>
      <c r="O642" s="3"/>
    </row>
    <row r="643" spans="4:15" x14ac:dyDescent="0.25">
      <c r="D643" s="8"/>
      <c r="E643" s="8"/>
      <c r="F643" s="3"/>
      <c r="G643" s="9"/>
      <c r="O643" s="3"/>
    </row>
    <row r="644" spans="4:15" x14ac:dyDescent="0.25">
      <c r="D644" s="8"/>
      <c r="E644" s="8"/>
      <c r="F644" s="3"/>
      <c r="G644" s="9"/>
      <c r="O644" s="3"/>
    </row>
    <row r="645" spans="4:15" x14ac:dyDescent="0.25">
      <c r="D645" s="8"/>
      <c r="E645" s="8"/>
      <c r="F645" s="3"/>
      <c r="G645" s="9"/>
      <c r="O645" s="3"/>
    </row>
    <row r="646" spans="4:15" x14ac:dyDescent="0.25">
      <c r="D646" s="8"/>
      <c r="E646" s="8"/>
      <c r="F646" s="3"/>
      <c r="G646" s="9"/>
      <c r="O646" s="3"/>
    </row>
    <row r="647" spans="4:15" x14ac:dyDescent="0.25">
      <c r="D647" s="8"/>
      <c r="E647" s="8"/>
      <c r="F647" s="3"/>
      <c r="G647" s="9"/>
      <c r="O647" s="3"/>
    </row>
    <row r="648" spans="4:15" x14ac:dyDescent="0.25">
      <c r="D648" s="8"/>
      <c r="E648" s="8"/>
      <c r="F648" s="3"/>
      <c r="G648" s="9"/>
      <c r="O648" s="3"/>
    </row>
    <row r="649" spans="4:15" x14ac:dyDescent="0.25">
      <c r="D649" s="8"/>
      <c r="E649" s="8"/>
      <c r="F649" s="3"/>
      <c r="G649" s="9"/>
      <c r="O649" s="3"/>
    </row>
    <row r="650" spans="4:15" x14ac:dyDescent="0.25">
      <c r="D650" s="8"/>
      <c r="E650" s="8"/>
      <c r="F650" s="3"/>
      <c r="G650" s="9"/>
      <c r="O650" s="3"/>
    </row>
    <row r="651" spans="4:15" x14ac:dyDescent="0.25">
      <c r="D651" s="8"/>
      <c r="E651" s="8"/>
      <c r="F651" s="3"/>
      <c r="G651" s="9"/>
      <c r="O651" s="3"/>
    </row>
    <row r="652" spans="4:15" x14ac:dyDescent="0.25">
      <c r="D652" s="8"/>
      <c r="E652" s="8"/>
      <c r="F652" s="3"/>
      <c r="O652" s="3"/>
    </row>
    <row r="653" spans="4:15" x14ac:dyDescent="0.25">
      <c r="D653" s="8"/>
      <c r="E653" s="8"/>
      <c r="F653" s="3"/>
      <c r="G653" s="9"/>
      <c r="O653" s="3"/>
    </row>
    <row r="654" spans="4:15" x14ac:dyDescent="0.25">
      <c r="D654" s="8"/>
      <c r="E654" s="8"/>
      <c r="F654" s="3"/>
      <c r="G654" s="9"/>
      <c r="O654" s="3"/>
    </row>
    <row r="655" spans="4:15" x14ac:dyDescent="0.25">
      <c r="D655" s="8"/>
      <c r="E655" s="8"/>
      <c r="F655" s="3"/>
      <c r="G655" s="9"/>
      <c r="O655" s="3"/>
    </row>
    <row r="656" spans="4:15" x14ac:dyDescent="0.25">
      <c r="D656" s="8"/>
      <c r="E656" s="8"/>
      <c r="F656" s="3"/>
      <c r="G656" s="9"/>
      <c r="O656" s="3"/>
    </row>
    <row r="657" spans="4:15" x14ac:dyDescent="0.25">
      <c r="D657" s="8"/>
      <c r="E657" s="8"/>
      <c r="F657" s="3"/>
      <c r="G657" s="9"/>
      <c r="O657" s="3"/>
    </row>
    <row r="658" spans="4:15" x14ac:dyDescent="0.25">
      <c r="D658" s="8"/>
      <c r="E658" s="8"/>
      <c r="F658" s="3"/>
      <c r="G658" s="9"/>
      <c r="O658" s="3"/>
    </row>
    <row r="659" spans="4:15" x14ac:dyDescent="0.25">
      <c r="D659" s="8"/>
      <c r="E659" s="8"/>
      <c r="F659" s="3"/>
      <c r="G659" s="9"/>
      <c r="O659" s="3"/>
    </row>
    <row r="660" spans="4:15" x14ac:dyDescent="0.25">
      <c r="D660" s="8"/>
      <c r="E660" s="8"/>
      <c r="F660" s="3"/>
      <c r="G660" s="9"/>
      <c r="O660" s="3"/>
    </row>
    <row r="661" spans="4:15" x14ac:dyDescent="0.25">
      <c r="D661" s="8"/>
      <c r="E661" s="8"/>
      <c r="F661" s="3"/>
      <c r="G661" s="9"/>
      <c r="O661" s="3"/>
    </row>
    <row r="662" spans="4:15" x14ac:dyDescent="0.25">
      <c r="D662" s="8"/>
      <c r="E662" s="8"/>
      <c r="F662" s="3"/>
      <c r="G662" s="9"/>
      <c r="O662" s="3"/>
    </row>
    <row r="663" spans="4:15" x14ac:dyDescent="0.25">
      <c r="D663" s="8"/>
      <c r="E663" s="8"/>
      <c r="F663" s="3"/>
      <c r="G663" s="9"/>
      <c r="O663" s="3"/>
    </row>
    <row r="664" spans="4:15" x14ac:dyDescent="0.25">
      <c r="D664" s="8"/>
      <c r="E664" s="8"/>
      <c r="F664" s="3"/>
      <c r="G664" s="9"/>
      <c r="O664" s="3"/>
    </row>
    <row r="665" spans="4:15" x14ac:dyDescent="0.25">
      <c r="D665" s="8"/>
      <c r="E665" s="8"/>
      <c r="F665" s="3"/>
      <c r="G665" s="9"/>
      <c r="O665" s="3"/>
    </row>
    <row r="666" spans="4:15" x14ac:dyDescent="0.25">
      <c r="D666" s="8"/>
      <c r="E666" s="8"/>
      <c r="F666" s="3"/>
      <c r="G666" s="9"/>
      <c r="O666" s="3"/>
    </row>
    <row r="667" spans="4:15" x14ac:dyDescent="0.25">
      <c r="D667" s="8"/>
      <c r="E667" s="8"/>
      <c r="F667" s="3"/>
      <c r="G667" s="9"/>
      <c r="O667" s="3"/>
    </row>
    <row r="668" spans="4:15" x14ac:dyDescent="0.25">
      <c r="D668" s="8"/>
      <c r="E668" s="8"/>
      <c r="F668" s="3"/>
      <c r="G668" s="9"/>
      <c r="O668" s="3"/>
    </row>
    <row r="669" spans="4:15" x14ac:dyDescent="0.25">
      <c r="D669" s="8"/>
      <c r="E669" s="8"/>
      <c r="F669" s="3"/>
      <c r="G669" s="9"/>
      <c r="O669" s="3"/>
    </row>
    <row r="670" spans="4:15" x14ac:dyDescent="0.25">
      <c r="D670" s="8"/>
      <c r="E670" s="8"/>
      <c r="F670" s="3"/>
      <c r="G670" s="9"/>
      <c r="O670" s="3"/>
    </row>
    <row r="671" spans="4:15" x14ac:dyDescent="0.25">
      <c r="D671" s="8"/>
      <c r="E671" s="8"/>
      <c r="F671" s="3"/>
      <c r="G671" s="9"/>
      <c r="O671" s="3"/>
    </row>
    <row r="672" spans="4:15" x14ac:dyDescent="0.25">
      <c r="D672" s="8"/>
      <c r="E672" s="8"/>
      <c r="F672" s="3"/>
      <c r="G672" s="9"/>
      <c r="O672" s="3"/>
    </row>
    <row r="673" spans="4:15" x14ac:dyDescent="0.25">
      <c r="D673" s="8"/>
      <c r="E673" s="8"/>
      <c r="F673" s="3"/>
      <c r="G673" s="9"/>
      <c r="O673" s="3"/>
    </row>
    <row r="674" spans="4:15" x14ac:dyDescent="0.25">
      <c r="D674" s="8"/>
      <c r="E674" s="8"/>
      <c r="F674" s="3"/>
      <c r="G674" s="9"/>
      <c r="O674" s="3"/>
    </row>
    <row r="675" spans="4:15" x14ac:dyDescent="0.25">
      <c r="D675" s="8"/>
      <c r="E675" s="8"/>
      <c r="F675" s="3"/>
      <c r="G675" s="9"/>
      <c r="O675" s="3"/>
    </row>
    <row r="676" spans="4:15" x14ac:dyDescent="0.25">
      <c r="D676" s="8"/>
      <c r="E676" s="8"/>
      <c r="F676" s="3"/>
      <c r="G676" s="9"/>
      <c r="O676" s="3"/>
    </row>
    <row r="677" spans="4:15" x14ac:dyDescent="0.25">
      <c r="D677" s="8"/>
      <c r="E677" s="8"/>
      <c r="F677" s="3"/>
      <c r="O677" s="3"/>
    </row>
    <row r="678" spans="4:15" x14ac:dyDescent="0.25">
      <c r="D678" s="8"/>
      <c r="E678" s="8"/>
      <c r="F678" s="3"/>
      <c r="G678" s="9"/>
      <c r="O678" s="3"/>
    </row>
    <row r="679" spans="4:15" x14ac:dyDescent="0.25">
      <c r="D679" s="8"/>
      <c r="E679" s="8"/>
      <c r="F679" s="3"/>
      <c r="G679" s="9"/>
      <c r="O679" s="3"/>
    </row>
    <row r="680" spans="4:15" x14ac:dyDescent="0.25">
      <c r="D680" s="8"/>
      <c r="E680" s="8"/>
      <c r="F680" s="3"/>
      <c r="G680" s="9"/>
      <c r="O680" s="3"/>
    </row>
    <row r="681" spans="4:15" x14ac:dyDescent="0.25">
      <c r="D681" s="8"/>
      <c r="E681" s="8"/>
      <c r="F681" s="3"/>
      <c r="G681" s="9"/>
      <c r="O681" s="3"/>
    </row>
    <row r="682" spans="4:15" x14ac:dyDescent="0.25">
      <c r="D682" s="8"/>
      <c r="E682" s="8"/>
      <c r="F682" s="3"/>
      <c r="G682" s="9"/>
      <c r="O682" s="3"/>
    </row>
    <row r="683" spans="4:15" x14ac:dyDescent="0.25">
      <c r="D683" s="8"/>
      <c r="E683" s="8"/>
      <c r="F683" s="3"/>
      <c r="G683" s="9"/>
      <c r="O683" s="3"/>
    </row>
    <row r="684" spans="4:15" x14ac:dyDescent="0.25">
      <c r="D684" s="8"/>
      <c r="E684" s="8"/>
      <c r="F684" s="3"/>
      <c r="G684" s="9"/>
      <c r="O684" s="3"/>
    </row>
    <row r="685" spans="4:15" x14ac:dyDescent="0.25">
      <c r="D685" s="8"/>
      <c r="E685" s="8"/>
      <c r="F685" s="3"/>
      <c r="G685" s="9"/>
      <c r="O685" s="3"/>
    </row>
    <row r="686" spans="4:15" x14ac:dyDescent="0.25">
      <c r="D686" s="8"/>
      <c r="E686" s="8"/>
      <c r="F686" s="3"/>
      <c r="G686" s="9"/>
      <c r="O686" s="3"/>
    </row>
    <row r="687" spans="4:15" x14ac:dyDescent="0.25">
      <c r="D687" s="8"/>
      <c r="E687" s="8"/>
      <c r="F687" s="3"/>
      <c r="G687" s="9"/>
      <c r="O687" s="3"/>
    </row>
    <row r="688" spans="4:15" x14ac:dyDescent="0.25">
      <c r="D688" s="8"/>
      <c r="E688" s="8"/>
      <c r="F688" s="3"/>
      <c r="G688" s="9"/>
      <c r="O688" s="3"/>
    </row>
    <row r="689" spans="4:15" x14ac:dyDescent="0.25">
      <c r="D689" s="8"/>
      <c r="E689" s="8"/>
      <c r="F689" s="3"/>
      <c r="G689" s="9"/>
      <c r="O689" s="3"/>
    </row>
    <row r="690" spans="4:15" x14ac:dyDescent="0.25">
      <c r="D690" s="8"/>
      <c r="E690" s="8"/>
      <c r="F690" s="3"/>
      <c r="G690" s="9"/>
      <c r="O690" s="3"/>
    </row>
    <row r="691" spans="4:15" x14ac:dyDescent="0.25">
      <c r="D691" s="8"/>
      <c r="E691" s="8"/>
      <c r="F691" s="3"/>
      <c r="G691" s="9"/>
      <c r="O691" s="3"/>
    </row>
    <row r="692" spans="4:15" x14ac:dyDescent="0.25">
      <c r="D692" s="8"/>
      <c r="E692" s="8"/>
      <c r="F692" s="3"/>
      <c r="G692" s="9"/>
      <c r="O692" s="3"/>
    </row>
    <row r="693" spans="4:15" x14ac:dyDescent="0.25">
      <c r="D693" s="8"/>
      <c r="E693" s="8"/>
      <c r="F693" s="3"/>
      <c r="G693" s="9"/>
      <c r="O693" s="3"/>
    </row>
    <row r="694" spans="4:15" x14ac:dyDescent="0.25">
      <c r="D694" s="8"/>
      <c r="E694" s="8"/>
      <c r="F694" s="3"/>
      <c r="G694" s="9"/>
      <c r="O694" s="3"/>
    </row>
    <row r="695" spans="4:15" x14ac:dyDescent="0.25">
      <c r="D695" s="8"/>
      <c r="E695" s="8"/>
      <c r="F695" s="3"/>
      <c r="G695" s="9"/>
      <c r="O695" s="3"/>
    </row>
    <row r="696" spans="4:15" x14ac:dyDescent="0.25">
      <c r="D696" s="8"/>
      <c r="E696" s="8"/>
      <c r="F696" s="3"/>
      <c r="G696" s="9"/>
      <c r="O696" s="3"/>
    </row>
    <row r="697" spans="4:15" x14ac:dyDescent="0.25">
      <c r="D697" s="8"/>
      <c r="E697" s="8"/>
      <c r="F697" s="3"/>
      <c r="G697" s="9"/>
      <c r="O697" s="3"/>
    </row>
    <row r="698" spans="4:15" x14ac:dyDescent="0.25">
      <c r="D698" s="8"/>
      <c r="E698" s="8"/>
      <c r="F698" s="3"/>
      <c r="G698" s="9"/>
      <c r="O698" s="3"/>
    </row>
    <row r="699" spans="4:15" x14ac:dyDescent="0.25">
      <c r="D699" s="8"/>
      <c r="E699" s="8"/>
      <c r="F699" s="3"/>
      <c r="G699" s="9"/>
      <c r="O699" s="3"/>
    </row>
    <row r="700" spans="4:15" x14ac:dyDescent="0.25">
      <c r="D700" s="8"/>
      <c r="E700" s="8"/>
      <c r="F700" s="3"/>
      <c r="G700" s="9"/>
      <c r="O700" s="3"/>
    </row>
    <row r="701" spans="4:15" x14ac:dyDescent="0.25">
      <c r="D701" s="8"/>
      <c r="E701" s="8"/>
      <c r="F701" s="3"/>
      <c r="G701" s="9"/>
      <c r="O701" s="3"/>
    </row>
    <row r="702" spans="4:15" x14ac:dyDescent="0.25">
      <c r="D702" s="8"/>
      <c r="E702" s="8"/>
      <c r="F702" s="3"/>
      <c r="O702" s="3"/>
    </row>
    <row r="703" spans="4:15" x14ac:dyDescent="0.25">
      <c r="D703" s="8"/>
      <c r="E703" s="8"/>
      <c r="F703" s="3"/>
      <c r="G703" s="9"/>
      <c r="O703" s="3"/>
    </row>
    <row r="704" spans="4:15" x14ac:dyDescent="0.25">
      <c r="D704" s="8"/>
      <c r="E704" s="8"/>
      <c r="F704" s="3"/>
      <c r="G704" s="9"/>
      <c r="O704" s="3"/>
    </row>
    <row r="705" spans="4:15" x14ac:dyDescent="0.25">
      <c r="D705" s="8"/>
      <c r="E705" s="8"/>
      <c r="F705" s="3"/>
      <c r="G705" s="9"/>
      <c r="O705" s="3"/>
    </row>
    <row r="706" spans="4:15" x14ac:dyDescent="0.25">
      <c r="D706" s="8"/>
      <c r="E706" s="8"/>
      <c r="F706" s="3"/>
      <c r="G706" s="9"/>
      <c r="O706" s="3"/>
    </row>
    <row r="707" spans="4:15" x14ac:dyDescent="0.25">
      <c r="D707" s="8"/>
      <c r="E707" s="8"/>
      <c r="F707" s="3"/>
      <c r="G707" s="9"/>
      <c r="O707" s="3"/>
    </row>
    <row r="708" spans="4:15" x14ac:dyDescent="0.25">
      <c r="D708" s="8"/>
      <c r="E708" s="8"/>
      <c r="F708" s="3"/>
      <c r="G708" s="9"/>
      <c r="O708" s="3"/>
    </row>
    <row r="709" spans="4:15" x14ac:dyDescent="0.25">
      <c r="D709" s="8"/>
      <c r="E709" s="8"/>
      <c r="F709" s="3"/>
      <c r="G709" s="9"/>
      <c r="O709" s="3"/>
    </row>
    <row r="710" spans="4:15" x14ac:dyDescent="0.25">
      <c r="D710" s="8"/>
      <c r="E710" s="8"/>
      <c r="F710" s="3"/>
      <c r="G710" s="9"/>
      <c r="O710" s="3"/>
    </row>
    <row r="711" spans="4:15" x14ac:dyDescent="0.25">
      <c r="D711" s="8"/>
      <c r="E711" s="8"/>
      <c r="F711" s="3"/>
      <c r="G711" s="9"/>
      <c r="O711" s="3"/>
    </row>
    <row r="712" spans="4:15" x14ac:dyDescent="0.25">
      <c r="D712" s="8"/>
      <c r="E712" s="8"/>
      <c r="F712" s="3"/>
      <c r="G712" s="9"/>
      <c r="O712" s="3"/>
    </row>
    <row r="713" spans="4:15" x14ac:dyDescent="0.25">
      <c r="D713" s="8"/>
      <c r="E713" s="8"/>
      <c r="F713" s="3"/>
      <c r="G713" s="9"/>
      <c r="O713" s="3"/>
    </row>
    <row r="714" spans="4:15" x14ac:dyDescent="0.25">
      <c r="D714" s="8"/>
      <c r="E714" s="8"/>
      <c r="F714" s="3"/>
      <c r="G714" s="9"/>
      <c r="O714" s="3"/>
    </row>
    <row r="715" spans="4:15" x14ac:dyDescent="0.25">
      <c r="D715" s="8"/>
      <c r="E715" s="8"/>
      <c r="F715" s="3"/>
      <c r="G715" s="9"/>
      <c r="O715" s="3"/>
    </row>
    <row r="716" spans="4:15" x14ac:dyDescent="0.25">
      <c r="D716" s="8"/>
      <c r="E716" s="8"/>
      <c r="F716" s="3"/>
      <c r="G716" s="9"/>
      <c r="O716" s="3"/>
    </row>
    <row r="717" spans="4:15" x14ac:dyDescent="0.25">
      <c r="D717" s="8"/>
      <c r="E717" s="8"/>
      <c r="F717" s="3"/>
      <c r="G717" s="9"/>
      <c r="O717" s="3"/>
    </row>
    <row r="718" spans="4:15" x14ac:dyDescent="0.25">
      <c r="D718" s="3"/>
      <c r="F718" s="3"/>
      <c r="G718" s="9"/>
      <c r="O718" s="3"/>
    </row>
    <row r="719" spans="4:15" x14ac:dyDescent="0.25">
      <c r="F719" s="3"/>
      <c r="G719" s="9"/>
      <c r="O719" s="3"/>
    </row>
    <row r="720" spans="4:15" x14ac:dyDescent="0.25">
      <c r="F720" s="3"/>
      <c r="G720" s="9"/>
      <c r="O720" s="3"/>
    </row>
    <row r="721" spans="6:15" x14ac:dyDescent="0.25">
      <c r="F721" s="3"/>
      <c r="G721" s="9"/>
      <c r="O721" s="3"/>
    </row>
    <row r="722" spans="6:15" x14ac:dyDescent="0.25">
      <c r="F722" s="3"/>
      <c r="G722" s="9"/>
      <c r="O722" s="3"/>
    </row>
    <row r="723" spans="6:15" x14ac:dyDescent="0.25">
      <c r="F723" s="3"/>
      <c r="G723" s="9"/>
      <c r="O723" s="3"/>
    </row>
    <row r="724" spans="6:15" x14ac:dyDescent="0.25">
      <c r="F724" s="3"/>
      <c r="G724" s="9"/>
      <c r="O724" s="3"/>
    </row>
    <row r="725" spans="6:15" x14ac:dyDescent="0.25">
      <c r="F725" s="3"/>
      <c r="G725" s="9"/>
      <c r="O725" s="3"/>
    </row>
    <row r="726" spans="6:15" x14ac:dyDescent="0.25">
      <c r="F726" s="3"/>
      <c r="G726" s="9"/>
      <c r="O726" s="3"/>
    </row>
    <row r="727" spans="6:15" x14ac:dyDescent="0.25">
      <c r="F727" s="3"/>
      <c r="O727" s="3"/>
    </row>
    <row r="728" spans="6:15" x14ac:dyDescent="0.25">
      <c r="F728" s="3"/>
      <c r="G728" s="9"/>
      <c r="O728" s="3"/>
    </row>
    <row r="729" spans="6:15" x14ac:dyDescent="0.25">
      <c r="F729" s="3"/>
      <c r="G729" s="9"/>
      <c r="O729" s="3"/>
    </row>
    <row r="730" spans="6:15" x14ac:dyDescent="0.25">
      <c r="F730" s="3"/>
      <c r="G730" s="9"/>
      <c r="O730" s="3"/>
    </row>
    <row r="731" spans="6:15" x14ac:dyDescent="0.25">
      <c r="F731" s="3"/>
      <c r="G731" s="9"/>
      <c r="O731" s="3"/>
    </row>
    <row r="732" spans="6:15" x14ac:dyDescent="0.25">
      <c r="F732" s="3"/>
      <c r="G732" s="9"/>
      <c r="O732" s="3"/>
    </row>
    <row r="733" spans="6:15" x14ac:dyDescent="0.25">
      <c r="F733" s="3"/>
      <c r="G733" s="9"/>
      <c r="O733" s="3"/>
    </row>
    <row r="734" spans="6:15" x14ac:dyDescent="0.25">
      <c r="F73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4"/>
  <sheetViews>
    <sheetView zoomScale="80" zoomScaleNormal="80" workbookViewId="0">
      <selection activeCell="B1" sqref="B1:C1048576"/>
    </sheetView>
  </sheetViews>
  <sheetFormatPr defaultRowHeight="15" x14ac:dyDescent="0.25"/>
  <cols>
    <col min="1" max="1" width="7.42578125" customWidth="1"/>
    <col min="11" max="11" width="11.85546875" bestFit="1" customWidth="1"/>
    <col min="12" max="12" width="12.42578125" bestFit="1" customWidth="1"/>
    <col min="14" max="14" width="12.28515625" bestFit="1" customWidth="1"/>
    <col min="15" max="15" width="9.5703125" customWidth="1"/>
  </cols>
  <sheetData>
    <row r="1" spans="1:15" x14ac:dyDescent="0.25">
      <c r="B1" s="2">
        <v>45123.5</v>
      </c>
      <c r="C1" s="2">
        <v>45194.8</v>
      </c>
      <c r="I1" s="5"/>
      <c r="K1" t="s">
        <v>17</v>
      </c>
      <c r="L1" s="9">
        <f>C1-B1</f>
        <v>71.30000000000291</v>
      </c>
      <c r="M1" s="9"/>
    </row>
    <row r="2" spans="1:15" x14ac:dyDescent="0.25">
      <c r="A2" t="s">
        <v>0</v>
      </c>
      <c r="B2" t="s">
        <v>1</v>
      </c>
      <c r="C2" t="s">
        <v>1</v>
      </c>
      <c r="D2" s="6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6" t="s">
        <v>10</v>
      </c>
      <c r="J2" s="6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15</v>
      </c>
    </row>
    <row r="3" spans="1:15" x14ac:dyDescent="0.25">
      <c r="A3">
        <v>2</v>
      </c>
      <c r="B3" s="3">
        <v>10.181075</v>
      </c>
      <c r="C3" s="3">
        <v>9.3191628571428566</v>
      </c>
      <c r="D3">
        <f>C3-B3</f>
        <v>-0.86191214285714324</v>
      </c>
      <c r="E3">
        <f>(D3+D4)/2</f>
        <v>1.0134951785714272</v>
      </c>
      <c r="F3">
        <v>70</v>
      </c>
      <c r="G3">
        <v>7381</v>
      </c>
      <c r="H3">
        <f>E3*F3</f>
        <v>70.944662499999907</v>
      </c>
      <c r="I3">
        <f t="shared" ref="I3:I22" si="0">I4+H3</f>
        <v>606.45462187499948</v>
      </c>
      <c r="J3">
        <f t="shared" ref="J3:J23" si="1">(I3/G3)*1000</f>
        <v>82.164289645711889</v>
      </c>
    </row>
    <row r="4" spans="1:15" x14ac:dyDescent="0.25">
      <c r="A4">
        <v>10</v>
      </c>
      <c r="B4" s="3">
        <v>6.3415375000000003</v>
      </c>
      <c r="C4" s="3">
        <v>9.230439999999998</v>
      </c>
      <c r="D4">
        <f t="shared" ref="D4:D38" si="2">C4-B4</f>
        <v>2.8889024999999977</v>
      </c>
      <c r="E4">
        <f t="shared" ref="E4:E38" si="3">(D4+D5)/2</f>
        <v>2.7498781249999991</v>
      </c>
      <c r="F4">
        <v>70</v>
      </c>
      <c r="G4">
        <v>7338</v>
      </c>
      <c r="H4">
        <f t="shared" ref="H4:H38" si="4">E4*F4</f>
        <v>192.49146874999994</v>
      </c>
      <c r="I4">
        <f t="shared" si="0"/>
        <v>535.50995937499954</v>
      </c>
      <c r="J4">
        <f t="shared" si="1"/>
        <v>72.977645049741014</v>
      </c>
      <c r="K4">
        <f>(B5-B3)/(A5-A3)</f>
        <v>-0.30257048611111109</v>
      </c>
      <c r="L4">
        <f>(C5-C3)/(A5-A3)</f>
        <v>-0.10963904761904757</v>
      </c>
      <c r="M4">
        <f>(K4+L4)/2</f>
        <v>-0.20610476686507934</v>
      </c>
      <c r="N4">
        <f>-J4/(M4*86400*$L$1)</f>
        <v>5.7477588135454345E-5</v>
      </c>
      <c r="O4" s="3">
        <f>N4*10000</f>
        <v>0.57477588135454349</v>
      </c>
    </row>
    <row r="5" spans="1:15" x14ac:dyDescent="0.25">
      <c r="A5">
        <v>20</v>
      </c>
      <c r="B5" s="3">
        <v>4.7348062500000001</v>
      </c>
      <c r="C5" s="3">
        <v>7.3456600000000005</v>
      </c>
      <c r="D5">
        <f t="shared" si="2"/>
        <v>2.6108537500000004</v>
      </c>
      <c r="E5">
        <f t="shared" si="3"/>
        <v>2.041370000000001</v>
      </c>
      <c r="F5">
        <v>70</v>
      </c>
      <c r="G5">
        <v>7252</v>
      </c>
      <c r="H5">
        <f t="shared" si="4"/>
        <v>142.89590000000007</v>
      </c>
      <c r="I5">
        <f t="shared" si="0"/>
        <v>343.01849062499957</v>
      </c>
      <c r="J5">
        <f t="shared" si="1"/>
        <v>47.299847024958574</v>
      </c>
      <c r="K5">
        <f t="shared" ref="K5:K38" si="5">(B6-B4)/(A6-A4)</f>
        <v>-0.10375218750000004</v>
      </c>
      <c r="L5">
        <f t="shared" ref="L5:L38" si="6">(C6-C4)/(A6-A4)</f>
        <v>-0.17460299999999984</v>
      </c>
      <c r="M5">
        <f t="shared" ref="M5:M38" si="7">(K5+L5)/2</f>
        <v>-0.13917759374999994</v>
      </c>
      <c r="N5">
        <f t="shared" ref="N5:N38" si="8">-J5/(M5*86400*$L$1)</f>
        <v>5.5167987340946159E-5</v>
      </c>
      <c r="O5" s="3">
        <f t="shared" ref="O5:O38" si="9">N5*10000</f>
        <v>0.55167987340946156</v>
      </c>
    </row>
    <row r="6" spans="1:15" x14ac:dyDescent="0.25">
      <c r="A6">
        <v>30</v>
      </c>
      <c r="B6" s="3">
        <v>4.2664937499999995</v>
      </c>
      <c r="C6" s="3">
        <v>5.7383800000000011</v>
      </c>
      <c r="D6">
        <f t="shared" si="2"/>
        <v>1.4718862500000016</v>
      </c>
      <c r="E6">
        <f t="shared" si="3"/>
        <v>1.1909893750000009</v>
      </c>
      <c r="F6">
        <v>70</v>
      </c>
      <c r="G6">
        <v>7218</v>
      </c>
      <c r="H6">
        <f t="shared" si="4"/>
        <v>83.369256250000063</v>
      </c>
      <c r="I6">
        <f t="shared" si="0"/>
        <v>200.12259062499948</v>
      </c>
      <c r="J6">
        <f t="shared" si="1"/>
        <v>27.725490527154264</v>
      </c>
      <c r="K6">
        <f t="shared" si="5"/>
        <v>-3.2572812499999992E-2</v>
      </c>
      <c r="L6">
        <f t="shared" si="6"/>
        <v>-0.117610875</v>
      </c>
      <c r="M6">
        <f t="shared" si="7"/>
        <v>-7.5091843749999998E-2</v>
      </c>
      <c r="N6">
        <f t="shared" si="8"/>
        <v>5.9935371062885186E-5</v>
      </c>
      <c r="O6" s="3">
        <f t="shared" si="9"/>
        <v>0.5993537106288519</v>
      </c>
    </row>
    <row r="7" spans="1:15" x14ac:dyDescent="0.25">
      <c r="A7">
        <v>40</v>
      </c>
      <c r="B7" s="3">
        <v>4.0833500000000003</v>
      </c>
      <c r="C7" s="3">
        <v>4.9934425000000005</v>
      </c>
      <c r="D7">
        <f t="shared" si="2"/>
        <v>0.91009250000000019</v>
      </c>
      <c r="E7">
        <f t="shared" si="3"/>
        <v>0.74174250000000064</v>
      </c>
      <c r="F7">
        <v>70</v>
      </c>
      <c r="G7">
        <v>7128.25</v>
      </c>
      <c r="H7">
        <f t="shared" si="4"/>
        <v>51.921975000000046</v>
      </c>
      <c r="I7">
        <f t="shared" si="0"/>
        <v>116.7533343749994</v>
      </c>
      <c r="J7">
        <f t="shared" si="1"/>
        <v>16.378961789359156</v>
      </c>
      <c r="K7">
        <f t="shared" si="5"/>
        <v>-1.4742812500000002E-2</v>
      </c>
      <c r="L7">
        <f t="shared" si="6"/>
        <v>-5.9667500000000026E-2</v>
      </c>
      <c r="M7">
        <f t="shared" si="7"/>
        <v>-3.7205156250000017E-2</v>
      </c>
      <c r="N7">
        <f t="shared" si="8"/>
        <v>7.1462789508914545E-5</v>
      </c>
      <c r="O7" s="3">
        <f t="shared" si="9"/>
        <v>0.71462789508914548</v>
      </c>
    </row>
    <row r="8" spans="1:15" x14ac:dyDescent="0.25">
      <c r="A8">
        <v>50</v>
      </c>
      <c r="B8" s="3">
        <v>3.9716374999999995</v>
      </c>
      <c r="C8" s="3">
        <v>4.5450300000000006</v>
      </c>
      <c r="D8">
        <f t="shared" si="2"/>
        <v>0.57339250000000108</v>
      </c>
      <c r="E8">
        <f t="shared" si="3"/>
        <v>0.47218437500000099</v>
      </c>
      <c r="F8">
        <v>65</v>
      </c>
      <c r="G8">
        <v>6875.5</v>
      </c>
      <c r="H8">
        <f t="shared" si="4"/>
        <v>30.691984375000064</v>
      </c>
      <c r="I8">
        <f t="shared" si="0"/>
        <v>64.831359374999352</v>
      </c>
      <c r="J8">
        <f t="shared" si="1"/>
        <v>9.4293301396261135</v>
      </c>
      <c r="K8">
        <f t="shared" si="5"/>
        <v>-7.796562500000004E-3</v>
      </c>
      <c r="L8">
        <f t="shared" si="6"/>
        <v>-3.4752374999999967E-2</v>
      </c>
      <c r="M8">
        <f t="shared" si="7"/>
        <v>-2.1274468749999987E-2</v>
      </c>
      <c r="N8">
        <f t="shared" si="8"/>
        <v>7.1948019744785284E-5</v>
      </c>
      <c r="O8" s="3">
        <f t="shared" si="9"/>
        <v>0.71948019744785285</v>
      </c>
    </row>
    <row r="9" spans="1:15" x14ac:dyDescent="0.25">
      <c r="A9">
        <v>60</v>
      </c>
      <c r="B9" s="3">
        <v>3.9274187500000002</v>
      </c>
      <c r="C9" s="3">
        <v>4.2983950000000011</v>
      </c>
      <c r="D9">
        <f t="shared" si="2"/>
        <v>0.3709762500000009</v>
      </c>
      <c r="E9">
        <f t="shared" si="3"/>
        <v>0.30828062500000097</v>
      </c>
      <c r="F9">
        <v>65</v>
      </c>
      <c r="G9">
        <v>6622.75</v>
      </c>
      <c r="H9">
        <f t="shared" si="4"/>
        <v>20.038240625000064</v>
      </c>
      <c r="I9">
        <f>I10+H9</f>
        <v>34.139374999999283</v>
      </c>
      <c r="J9">
        <f>(I9/G9)*1000</f>
        <v>5.1548639160468515</v>
      </c>
      <c r="K9">
        <f t="shared" si="5"/>
        <v>-3.3912499999999789E-3</v>
      </c>
      <c r="L9">
        <f t="shared" si="6"/>
        <v>-1.978162499999998E-2</v>
      </c>
      <c r="M9">
        <f t="shared" si="7"/>
        <v>-1.1586437499999979E-2</v>
      </c>
      <c r="N9">
        <f t="shared" si="8"/>
        <v>7.2221085078527121E-5</v>
      </c>
      <c r="O9" s="3">
        <f>N9*10000</f>
        <v>0.72221085078527125</v>
      </c>
    </row>
    <row r="10" spans="1:15" x14ac:dyDescent="0.25">
      <c r="A10">
        <v>70</v>
      </c>
      <c r="B10" s="3">
        <v>3.9038124999999999</v>
      </c>
      <c r="C10" s="3">
        <v>4.149397500000001</v>
      </c>
      <c r="D10">
        <f t="shared" si="2"/>
        <v>0.24558500000000105</v>
      </c>
      <c r="E10">
        <f t="shared" si="3"/>
        <v>0.20678250000000054</v>
      </c>
      <c r="F10">
        <v>65</v>
      </c>
      <c r="G10">
        <v>6370</v>
      </c>
      <c r="H10">
        <f>E10*F10</f>
        <v>13.440862500000035</v>
      </c>
      <c r="I10">
        <f t="shared" si="0"/>
        <v>14.101134374999221</v>
      </c>
      <c r="J10">
        <f t="shared" si="1"/>
        <v>2.2136788657769575</v>
      </c>
      <c r="K10">
        <f t="shared" si="5"/>
        <v>-2.5759375000000253E-3</v>
      </c>
      <c r="L10">
        <f t="shared" si="6"/>
        <v>-1.2725750000000069E-2</v>
      </c>
      <c r="M10">
        <f t="shared" si="7"/>
        <v>-7.6508437500000474E-3</v>
      </c>
      <c r="N10">
        <f t="shared" si="8"/>
        <v>4.6967994213049378E-5</v>
      </c>
      <c r="O10" s="3">
        <f t="shared" si="9"/>
        <v>0.4696799421304938</v>
      </c>
    </row>
    <row r="11" spans="1:15" x14ac:dyDescent="0.25">
      <c r="A11">
        <v>80</v>
      </c>
      <c r="B11" s="3">
        <v>3.8758999999999997</v>
      </c>
      <c r="C11" s="3">
        <v>4.0438799999999997</v>
      </c>
      <c r="D11">
        <f t="shared" si="2"/>
        <v>0.16798000000000002</v>
      </c>
      <c r="E11">
        <f>(D11+D12)/2</f>
        <v>0.13621812499999986</v>
      </c>
      <c r="F11">
        <v>65</v>
      </c>
      <c r="G11">
        <v>6223</v>
      </c>
      <c r="H11">
        <f t="shared" si="4"/>
        <v>8.85417812499999</v>
      </c>
      <c r="I11">
        <f t="shared" si="0"/>
        <v>0.66027187499918583</v>
      </c>
      <c r="J11">
        <f t="shared" si="1"/>
        <v>0.10610186003522189</v>
      </c>
      <c r="K11">
        <f t="shared" si="5"/>
        <v>-2.1884374999999955E-3</v>
      </c>
      <c r="L11">
        <f t="shared" si="6"/>
        <v>-9.2448750000000638E-3</v>
      </c>
      <c r="M11">
        <f t="shared" si="7"/>
        <v>-5.7166562500000299E-3</v>
      </c>
      <c r="N11">
        <f t="shared" si="8"/>
        <v>3.0128509483130392E-6</v>
      </c>
      <c r="O11" s="3">
        <f t="shared" si="9"/>
        <v>3.0128509483130391E-2</v>
      </c>
    </row>
    <row r="12" spans="1:15" x14ac:dyDescent="0.25">
      <c r="A12">
        <v>90</v>
      </c>
      <c r="B12" s="3">
        <v>3.86004375</v>
      </c>
      <c r="C12" s="3">
        <v>3.9644999999999997</v>
      </c>
      <c r="D12">
        <f t="shared" si="2"/>
        <v>0.1044562499999997</v>
      </c>
      <c r="E12">
        <f t="shared" si="3"/>
        <v>9.1529375000000579E-2</v>
      </c>
      <c r="F12">
        <v>65</v>
      </c>
      <c r="G12">
        <v>6076</v>
      </c>
      <c r="H12">
        <f t="shared" si="4"/>
        <v>5.9494093750000374</v>
      </c>
      <c r="I12">
        <f t="shared" si="0"/>
        <v>-8.1939062500008042</v>
      </c>
      <c r="J12">
        <f t="shared" si="1"/>
        <v>-1.3485691655695859</v>
      </c>
      <c r="K12">
        <f t="shared" si="5"/>
        <v>-1.7112500000000086E-3</v>
      </c>
      <c r="L12">
        <f t="shared" si="6"/>
        <v>-6.1801249999999365E-3</v>
      </c>
      <c r="M12">
        <f t="shared" si="7"/>
        <v>-3.9456874999999727E-3</v>
      </c>
      <c r="N12">
        <f t="shared" si="8"/>
        <v>-5.5481381578545351E-5</v>
      </c>
      <c r="O12" s="3">
        <f t="shared" si="9"/>
        <v>-0.55481381578545352</v>
      </c>
    </row>
    <row r="13" spans="1:15" x14ac:dyDescent="0.25">
      <c r="A13">
        <v>100</v>
      </c>
      <c r="B13" s="3">
        <v>3.8416749999999995</v>
      </c>
      <c r="C13" s="3">
        <v>3.920277500000001</v>
      </c>
      <c r="D13">
        <f t="shared" si="2"/>
        <v>7.8602500000001463E-2</v>
      </c>
      <c r="E13">
        <f t="shared" si="3"/>
        <v>5.4485000000000339E-2</v>
      </c>
      <c r="F13">
        <v>315</v>
      </c>
      <c r="G13">
        <v>5919</v>
      </c>
      <c r="H13">
        <f t="shared" si="4"/>
        <v>17.162775000000106</v>
      </c>
      <c r="I13">
        <f t="shared" si="0"/>
        <v>-14.143315625000842</v>
      </c>
      <c r="J13">
        <f t="shared" si="1"/>
        <v>-2.3894772132118334</v>
      </c>
      <c r="K13">
        <f t="shared" si="5"/>
        <v>-2.0067708333333378E-3</v>
      </c>
      <c r="L13">
        <f t="shared" si="6"/>
        <v>-3.2415833333333459E-3</v>
      </c>
      <c r="M13">
        <f t="shared" si="7"/>
        <v>-2.6241770833333421E-3</v>
      </c>
      <c r="N13">
        <f t="shared" si="8"/>
        <v>-1.4781090717977001E-4</v>
      </c>
      <c r="O13" s="3">
        <f t="shared" si="9"/>
        <v>-1.4781090717977001</v>
      </c>
    </row>
    <row r="14" spans="1:15" x14ac:dyDescent="0.25">
      <c r="A14">
        <v>150</v>
      </c>
      <c r="B14" s="3">
        <v>3.7396374999999997</v>
      </c>
      <c r="C14" s="3">
        <v>3.7700049999999989</v>
      </c>
      <c r="D14">
        <f t="shared" si="2"/>
        <v>3.0367499999999215E-2</v>
      </c>
      <c r="E14">
        <f t="shared" si="3"/>
        <v>2.4063124999999408E-2</v>
      </c>
      <c r="F14">
        <v>311</v>
      </c>
      <c r="G14">
        <v>5762</v>
      </c>
      <c r="H14">
        <f t="shared" si="4"/>
        <v>7.4836318749998156</v>
      </c>
      <c r="I14">
        <f t="shared" si="0"/>
        <v>-31.306090625000948</v>
      </c>
      <c r="J14">
        <f t="shared" si="1"/>
        <v>-5.4331986506423027</v>
      </c>
      <c r="K14">
        <f t="shared" si="5"/>
        <v>-1.9611874999999925E-3</v>
      </c>
      <c r="L14">
        <f t="shared" si="6"/>
        <v>-2.5696250000000111E-3</v>
      </c>
      <c r="M14">
        <f t="shared" si="7"/>
        <v>-2.2654062500000018E-3</v>
      </c>
      <c r="N14">
        <f t="shared" si="8"/>
        <v>-3.8931955427260042E-4</v>
      </c>
      <c r="O14" s="3">
        <f t="shared" si="9"/>
        <v>-3.8931955427260041</v>
      </c>
    </row>
    <row r="15" spans="1:15" x14ac:dyDescent="0.25">
      <c r="A15">
        <v>200</v>
      </c>
      <c r="B15" s="3">
        <v>3.6455562500000003</v>
      </c>
      <c r="C15" s="3">
        <v>3.6633149999999999</v>
      </c>
      <c r="D15">
        <f t="shared" si="2"/>
        <v>1.7758749999999601E-2</v>
      </c>
      <c r="E15">
        <f t="shared" si="3"/>
        <v>6.5481249999999047E-3</v>
      </c>
      <c r="F15">
        <v>305</v>
      </c>
      <c r="G15">
        <v>5461</v>
      </c>
      <c r="H15">
        <f t="shared" si="4"/>
        <v>1.9971781249999709</v>
      </c>
      <c r="I15">
        <f t="shared" si="0"/>
        <v>-38.789722500000764</v>
      </c>
      <c r="J15">
        <f t="shared" si="1"/>
        <v>-7.10304385643669</v>
      </c>
      <c r="K15">
        <f t="shared" si="5"/>
        <v>-1.4702499999999974E-3</v>
      </c>
      <c r="L15">
        <f t="shared" si="6"/>
        <v>-1.8205499999999874E-3</v>
      </c>
      <c r="M15">
        <f t="shared" si="7"/>
        <v>-1.6453999999999924E-3</v>
      </c>
      <c r="N15">
        <f t="shared" si="8"/>
        <v>-7.0076068882240659E-4</v>
      </c>
      <c r="O15" s="3">
        <f t="shared" si="9"/>
        <v>-7.0076068882240659</v>
      </c>
    </row>
    <row r="16" spans="1:15" x14ac:dyDescent="0.25">
      <c r="A16">
        <v>250</v>
      </c>
      <c r="B16" s="3">
        <v>3.5926125</v>
      </c>
      <c r="C16" s="3">
        <v>3.5879500000000002</v>
      </c>
      <c r="D16">
        <f t="shared" si="2"/>
        <v>-4.6624999999997918E-3</v>
      </c>
      <c r="E16">
        <f t="shared" si="3"/>
        <v>-1.0040000000000715E-2</v>
      </c>
      <c r="F16">
        <v>298</v>
      </c>
      <c r="G16">
        <v>5186</v>
      </c>
      <c r="H16">
        <f t="shared" si="4"/>
        <v>-2.9919200000002131</v>
      </c>
      <c r="I16">
        <f t="shared" si="0"/>
        <v>-40.786900625000733</v>
      </c>
      <c r="J16">
        <f t="shared" si="1"/>
        <v>-7.864809221943835</v>
      </c>
      <c r="K16">
        <f t="shared" si="5"/>
        <v>-8.6356249999999693E-4</v>
      </c>
      <c r="L16">
        <f t="shared" si="6"/>
        <v>-1.1953250000000092E-3</v>
      </c>
      <c r="M16">
        <f t="shared" si="7"/>
        <v>-1.0294437500000032E-3</v>
      </c>
      <c r="N16">
        <f t="shared" si="8"/>
        <v>-1.2401730763293376E-3</v>
      </c>
      <c r="O16" s="3">
        <f t="shared" si="9"/>
        <v>-12.401730763293376</v>
      </c>
    </row>
    <row r="17" spans="1:15" x14ac:dyDescent="0.25">
      <c r="A17">
        <v>300</v>
      </c>
      <c r="B17" s="3">
        <v>3.5592000000000006</v>
      </c>
      <c r="C17" s="3">
        <v>3.5437824999999989</v>
      </c>
      <c r="D17">
        <f t="shared" si="2"/>
        <v>-1.5417500000001638E-2</v>
      </c>
      <c r="E17">
        <f t="shared" si="3"/>
        <v>-1.9039375000000192E-2</v>
      </c>
      <c r="F17">
        <v>289</v>
      </c>
      <c r="G17">
        <v>4893</v>
      </c>
      <c r="H17">
        <f t="shared" si="4"/>
        <v>-5.5023793750000554</v>
      </c>
      <c r="I17">
        <f t="shared" si="0"/>
        <v>-37.79498062500052</v>
      </c>
      <c r="J17">
        <f t="shared" si="1"/>
        <v>-7.7242960606990643</v>
      </c>
      <c r="K17">
        <f t="shared" si="5"/>
        <v>-5.781875000000047E-4</v>
      </c>
      <c r="L17">
        <f t="shared" si="6"/>
        <v>-7.5817499999999429E-4</v>
      </c>
      <c r="M17">
        <f t="shared" si="7"/>
        <v>-6.6818124999999955E-4</v>
      </c>
      <c r="N17">
        <f t="shared" si="8"/>
        <v>-1.8765552447407166E-3</v>
      </c>
      <c r="O17" s="3">
        <f t="shared" si="9"/>
        <v>-18.765552447407167</v>
      </c>
    </row>
    <row r="18" spans="1:15" x14ac:dyDescent="0.25">
      <c r="A18">
        <v>350</v>
      </c>
      <c r="B18" s="3">
        <v>3.5347937499999995</v>
      </c>
      <c r="C18" s="3">
        <v>3.5121325000000008</v>
      </c>
      <c r="D18">
        <f t="shared" si="2"/>
        <v>-2.2661249999998745E-2</v>
      </c>
      <c r="E18">
        <f t="shared" si="3"/>
        <v>-2.3105624999999463E-2</v>
      </c>
      <c r="F18">
        <v>284</v>
      </c>
      <c r="G18">
        <v>4615</v>
      </c>
      <c r="H18">
        <f t="shared" si="4"/>
        <v>-6.5619974999998476</v>
      </c>
      <c r="I18">
        <f t="shared" si="0"/>
        <v>-32.292601250000466</v>
      </c>
      <c r="J18">
        <f t="shared" si="1"/>
        <v>-6.9973133802817911</v>
      </c>
      <c r="K18">
        <f t="shared" si="5"/>
        <v>-4.8762500000000043E-4</v>
      </c>
      <c r="L18">
        <f t="shared" si="6"/>
        <v>-5.6894999999998583E-4</v>
      </c>
      <c r="M18">
        <f t="shared" si="7"/>
        <v>-5.2828749999999313E-4</v>
      </c>
      <c r="N18">
        <f t="shared" si="8"/>
        <v>-2.1500953375644936E-3</v>
      </c>
      <c r="O18" s="3">
        <f t="shared" si="9"/>
        <v>-21.500953375644936</v>
      </c>
    </row>
    <row r="19" spans="1:15" x14ac:dyDescent="0.25">
      <c r="A19">
        <v>400</v>
      </c>
      <c r="B19" s="3">
        <v>3.5104375000000005</v>
      </c>
      <c r="C19" s="3">
        <v>3.4868875000000004</v>
      </c>
      <c r="D19">
        <f t="shared" si="2"/>
        <v>-2.3550000000000182E-2</v>
      </c>
      <c r="E19">
        <f t="shared" si="3"/>
        <v>-2.2293750000000223E-2</v>
      </c>
      <c r="F19">
        <v>279</v>
      </c>
      <c r="G19">
        <v>4306</v>
      </c>
      <c r="H19">
        <f t="shared" si="4"/>
        <v>-6.2199562500000622</v>
      </c>
      <c r="I19">
        <f t="shared" si="0"/>
        <v>-25.730603750000618</v>
      </c>
      <c r="J19">
        <f t="shared" si="1"/>
        <v>-5.9755233975849098</v>
      </c>
      <c r="K19">
        <f t="shared" si="5"/>
        <v>-4.7406249999999429E-4</v>
      </c>
      <c r="L19">
        <f t="shared" si="6"/>
        <v>-4.5782500000000946E-4</v>
      </c>
      <c r="M19">
        <f t="shared" si="7"/>
        <v>-4.659437500000019E-4</v>
      </c>
      <c r="N19">
        <f t="shared" si="8"/>
        <v>-2.0818008823766864E-3</v>
      </c>
      <c r="O19" s="3">
        <f t="shared" si="9"/>
        <v>-20.818008823766863</v>
      </c>
    </row>
    <row r="20" spans="1:15" x14ac:dyDescent="0.25">
      <c r="A20">
        <v>450</v>
      </c>
      <c r="B20" s="3">
        <v>3.4873875000000001</v>
      </c>
      <c r="C20" s="3">
        <v>3.4663499999999998</v>
      </c>
      <c r="D20">
        <f t="shared" si="2"/>
        <v>-2.1037500000000264E-2</v>
      </c>
      <c r="E20">
        <f t="shared" si="3"/>
        <v>-1.9740000000000091E-2</v>
      </c>
      <c r="F20">
        <v>271</v>
      </c>
      <c r="G20">
        <v>3966</v>
      </c>
      <c r="H20">
        <f t="shared" si="4"/>
        <v>-5.3495400000000242</v>
      </c>
      <c r="I20">
        <f t="shared" si="0"/>
        <v>-19.510647500000555</v>
      </c>
      <c r="J20">
        <f t="shared" si="1"/>
        <v>-4.9194774331821876</v>
      </c>
      <c r="K20">
        <f t="shared" si="5"/>
        <v>-4.3162500000000216E-4</v>
      </c>
      <c r="L20">
        <f t="shared" si="6"/>
        <v>-3.8054999999999952E-4</v>
      </c>
      <c r="M20">
        <f t="shared" si="7"/>
        <v>-4.0608750000000084E-4</v>
      </c>
      <c r="N20">
        <f t="shared" si="8"/>
        <v>-1.9665096364970495E-3</v>
      </c>
      <c r="O20" s="3">
        <f t="shared" si="9"/>
        <v>-19.665096364970495</v>
      </c>
    </row>
    <row r="21" spans="1:15" x14ac:dyDescent="0.25">
      <c r="A21">
        <v>500</v>
      </c>
      <c r="B21" s="3">
        <v>3.4672750000000003</v>
      </c>
      <c r="C21" s="3">
        <v>3.4488325000000004</v>
      </c>
      <c r="D21">
        <f t="shared" si="2"/>
        <v>-1.8442499999999917E-2</v>
      </c>
      <c r="E21">
        <f t="shared" si="3"/>
        <v>-1.7587500000000311E-2</v>
      </c>
      <c r="F21">
        <v>262</v>
      </c>
      <c r="G21">
        <v>3571</v>
      </c>
      <c r="H21">
        <f t="shared" si="4"/>
        <v>-4.6079250000000815</v>
      </c>
      <c r="I21">
        <f t="shared" si="0"/>
        <v>-14.161107500000531</v>
      </c>
      <c r="J21">
        <f t="shared" si="1"/>
        <v>-3.9655859703165866</v>
      </c>
      <c r="K21">
        <f t="shared" si="5"/>
        <v>-3.8412499999999737E-4</v>
      </c>
      <c r="L21">
        <f t="shared" si="6"/>
        <v>-3.4107500000000177E-4</v>
      </c>
      <c r="M21">
        <f t="shared" si="7"/>
        <v>-3.625999999999996E-4</v>
      </c>
      <c r="N21">
        <f t="shared" si="8"/>
        <v>-1.775318576045038E-3</v>
      </c>
      <c r="O21" s="3">
        <f t="shared" si="9"/>
        <v>-17.753185760450378</v>
      </c>
    </row>
    <row r="22" spans="1:15" x14ac:dyDescent="0.25">
      <c r="A22">
        <v>550</v>
      </c>
      <c r="B22" s="3">
        <v>3.4489750000000003</v>
      </c>
      <c r="C22" s="3">
        <v>3.4322424999999996</v>
      </c>
      <c r="D22">
        <f t="shared" si="2"/>
        <v>-1.6732500000000705E-2</v>
      </c>
      <c r="E22">
        <f t="shared" si="3"/>
        <v>-1.5239375000000388E-2</v>
      </c>
      <c r="F22">
        <v>251</v>
      </c>
      <c r="G22">
        <v>3239</v>
      </c>
      <c r="H22">
        <f t="shared" si="4"/>
        <v>-3.8250831250000976</v>
      </c>
      <c r="I22">
        <f t="shared" si="0"/>
        <v>-9.5531825000004496</v>
      </c>
      <c r="J22">
        <f t="shared" si="1"/>
        <v>-2.949423433158521</v>
      </c>
      <c r="K22">
        <f t="shared" si="5"/>
        <v>-3.3518750000000264E-4</v>
      </c>
      <c r="L22">
        <f t="shared" si="6"/>
        <v>-2.8822500000000415E-4</v>
      </c>
      <c r="M22">
        <f t="shared" si="7"/>
        <v>-3.1170625000000337E-4</v>
      </c>
      <c r="N22">
        <f t="shared" si="8"/>
        <v>-1.5359898424156043E-3</v>
      </c>
      <c r="O22" s="3">
        <f t="shared" si="9"/>
        <v>-15.359898424156043</v>
      </c>
    </row>
    <row r="23" spans="1:15" x14ac:dyDescent="0.25">
      <c r="A23">
        <v>600</v>
      </c>
      <c r="B23" s="3">
        <v>3.4337562500000001</v>
      </c>
      <c r="C23" s="3">
        <v>3.42001</v>
      </c>
      <c r="D23">
        <f t="shared" si="2"/>
        <v>-1.3746250000000071E-2</v>
      </c>
      <c r="E23">
        <f t="shared" si="3"/>
        <v>-1.3006875000000528E-2</v>
      </c>
      <c r="F23">
        <v>240</v>
      </c>
      <c r="G23">
        <v>2767</v>
      </c>
      <c r="H23">
        <f t="shared" si="4"/>
        <v>-3.1216500000001268</v>
      </c>
      <c r="I23">
        <f>I24+H23</f>
        <v>-5.7280993750003528</v>
      </c>
      <c r="J23">
        <f t="shared" si="1"/>
        <v>-2.0701479490424117</v>
      </c>
      <c r="K23">
        <f t="shared" si="5"/>
        <v>-2.8025000000000413E-4</v>
      </c>
      <c r="L23">
        <f t="shared" si="6"/>
        <v>-2.3560000000000692E-4</v>
      </c>
      <c r="M23">
        <f t="shared" si="7"/>
        <v>-2.5792500000000552E-4</v>
      </c>
      <c r="N23">
        <f t="shared" si="8"/>
        <v>-1.3028807670074844E-3</v>
      </c>
      <c r="O23" s="3">
        <f t="shared" si="9"/>
        <v>-13.028807670074844</v>
      </c>
    </row>
    <row r="24" spans="1:15" x14ac:dyDescent="0.25">
      <c r="A24">
        <v>650</v>
      </c>
      <c r="B24" s="3">
        <v>3.4209499999999999</v>
      </c>
      <c r="C24" s="3">
        <v>3.4086824999999989</v>
      </c>
      <c r="D24">
        <f t="shared" si="2"/>
        <v>-1.2267500000000986E-2</v>
      </c>
      <c r="E24">
        <f t="shared" si="3"/>
        <v>-1.1381875000000985E-2</v>
      </c>
      <c r="F24">
        <v>229</v>
      </c>
      <c r="G24">
        <v>2129</v>
      </c>
      <c r="H24">
        <f t="shared" si="4"/>
        <v>-2.6064493750002256</v>
      </c>
      <c r="I24">
        <f>H24</f>
        <v>-2.6064493750002256</v>
      </c>
      <c r="J24">
        <f>(I24/G24)*1000</f>
        <v>-1.2242599224989317</v>
      </c>
      <c r="K24">
        <f t="shared" si="5"/>
        <v>-2.3837499999999955E-4</v>
      </c>
      <c r="L24">
        <f t="shared" si="6"/>
        <v>-2.0587500000000868E-4</v>
      </c>
      <c r="M24">
        <f t="shared" si="7"/>
        <v>-2.2212500000000411E-4</v>
      </c>
      <c r="N24">
        <f t="shared" si="8"/>
        <v>-8.9469069267803121E-4</v>
      </c>
      <c r="O24" s="3">
        <f t="shared" si="9"/>
        <v>-8.9469069267803114</v>
      </c>
    </row>
    <row r="25" spans="1:15" x14ac:dyDescent="0.25">
      <c r="A25">
        <v>700</v>
      </c>
      <c r="B25" s="3">
        <v>3.4099187500000001</v>
      </c>
      <c r="C25" s="3">
        <v>3.3994224999999991</v>
      </c>
      <c r="D25">
        <f t="shared" si="2"/>
        <v>-1.0496250000000984E-2</v>
      </c>
      <c r="E25">
        <f t="shared" si="3"/>
        <v>-9.6450000000001257E-3</v>
      </c>
      <c r="F25" s="3">
        <v>216</v>
      </c>
      <c r="G25">
        <v>2130</v>
      </c>
      <c r="H25">
        <f t="shared" si="4"/>
        <v>-2.0833200000000272</v>
      </c>
      <c r="I25">
        <f t="shared" ref="I25:I38" si="10">H25</f>
        <v>-2.0833200000000272</v>
      </c>
      <c r="J25">
        <f t="shared" ref="J25:J38" si="11">(I25/G25)*1000</f>
        <v>-0.97808450704226624</v>
      </c>
      <c r="K25">
        <f t="shared" si="5"/>
        <v>-2.0693749999999955E-4</v>
      </c>
      <c r="L25">
        <f t="shared" si="6"/>
        <v>-1.7219999999998237E-4</v>
      </c>
      <c r="M25">
        <f t="shared" si="7"/>
        <v>-1.8956874999999097E-4</v>
      </c>
      <c r="N25">
        <f t="shared" si="8"/>
        <v>-8.375415492330408E-4</v>
      </c>
      <c r="O25" s="3">
        <f t="shared" si="9"/>
        <v>-8.3754154923304078</v>
      </c>
    </row>
    <row r="26" spans="1:15" x14ac:dyDescent="0.25">
      <c r="A26">
        <v>750</v>
      </c>
      <c r="B26" s="3">
        <v>3.40025625</v>
      </c>
      <c r="C26" s="3">
        <v>3.3914625000000007</v>
      </c>
      <c r="D26">
        <f t="shared" si="2"/>
        <v>-8.7937499999992674E-3</v>
      </c>
      <c r="E26">
        <f t="shared" si="3"/>
        <v>-7.570624999999831E-3</v>
      </c>
      <c r="F26" s="3">
        <v>205</v>
      </c>
      <c r="G26">
        <v>2131</v>
      </c>
      <c r="H26">
        <f t="shared" si="4"/>
        <v>-1.5519781249999653</v>
      </c>
      <c r="I26">
        <f t="shared" si="10"/>
        <v>-1.5519781249999653</v>
      </c>
      <c r="J26">
        <f t="shared" si="11"/>
        <v>-0.7282863092444698</v>
      </c>
      <c r="K26">
        <f t="shared" si="5"/>
        <v>-1.7468749999999922E-4</v>
      </c>
      <c r="L26">
        <f t="shared" si="6"/>
        <v>-1.3319999999999332E-4</v>
      </c>
      <c r="M26">
        <f t="shared" si="7"/>
        <v>-1.5394374999999627E-4</v>
      </c>
      <c r="N26">
        <f t="shared" si="8"/>
        <v>-7.6795683842047159E-4</v>
      </c>
      <c r="O26" s="3">
        <f t="shared" si="9"/>
        <v>-7.6795683842047158</v>
      </c>
    </row>
    <row r="27" spans="1:15" x14ac:dyDescent="0.25">
      <c r="A27">
        <v>800</v>
      </c>
      <c r="B27" s="3">
        <v>3.3924500000000002</v>
      </c>
      <c r="C27" s="3">
        <v>3.3861024999999998</v>
      </c>
      <c r="D27">
        <f t="shared" si="2"/>
        <v>-6.3475000000003945E-3</v>
      </c>
      <c r="E27">
        <f t="shared" si="3"/>
        <v>-5.8383333333338339E-3</v>
      </c>
      <c r="F27" s="3">
        <v>192</v>
      </c>
      <c r="G27">
        <v>2132</v>
      </c>
      <c r="H27">
        <f t="shared" si="4"/>
        <v>-1.1209600000000961</v>
      </c>
      <c r="I27">
        <f t="shared" si="10"/>
        <v>-1.1209600000000961</v>
      </c>
      <c r="J27">
        <f t="shared" si="11"/>
        <v>-0.52577861163231532</v>
      </c>
      <c r="K27">
        <f t="shared" si="5"/>
        <v>-1.3149583333333493E-4</v>
      </c>
      <c r="L27">
        <f t="shared" si="6"/>
        <v>-9.6850000000014985E-5</v>
      </c>
      <c r="M27">
        <f t="shared" si="7"/>
        <v>-1.1417291666667496E-4</v>
      </c>
      <c r="N27">
        <f t="shared" si="8"/>
        <v>-7.4754363368071091E-4</v>
      </c>
      <c r="O27" s="3">
        <f t="shared" si="9"/>
        <v>-7.4754363368071095</v>
      </c>
    </row>
    <row r="28" spans="1:15" x14ac:dyDescent="0.25">
      <c r="A28">
        <v>850</v>
      </c>
      <c r="B28" s="3">
        <v>3.3871066666666665</v>
      </c>
      <c r="C28" s="3">
        <v>3.3817774999999992</v>
      </c>
      <c r="D28">
        <f t="shared" si="2"/>
        <v>-5.3291666666672732E-3</v>
      </c>
      <c r="E28">
        <f t="shared" si="3"/>
        <v>-4.0861217948722217E-3</v>
      </c>
      <c r="F28" s="3">
        <v>181</v>
      </c>
      <c r="G28">
        <v>2133</v>
      </c>
      <c r="H28">
        <f t="shared" si="4"/>
        <v>-0.73958804487187213</v>
      </c>
      <c r="I28">
        <f t="shared" si="10"/>
        <v>-0.73958804487187213</v>
      </c>
      <c r="J28">
        <f t="shared" si="11"/>
        <v>-0.34673607354518149</v>
      </c>
      <c r="K28">
        <f t="shared" si="5"/>
        <v>-1.0630000000000361E-4</v>
      </c>
      <c r="L28">
        <f t="shared" si="6"/>
        <v>-7.1255769230771374E-5</v>
      </c>
      <c r="M28">
        <f t="shared" si="7"/>
        <v>-8.8777884615387487E-5</v>
      </c>
      <c r="N28">
        <f t="shared" si="8"/>
        <v>-6.3400248783173241E-4</v>
      </c>
      <c r="O28" s="3">
        <f t="shared" si="9"/>
        <v>-6.3400248783173243</v>
      </c>
    </row>
    <row r="29" spans="1:15" x14ac:dyDescent="0.25">
      <c r="A29">
        <v>900</v>
      </c>
      <c r="B29" s="3">
        <v>3.3818199999999998</v>
      </c>
      <c r="C29" s="3">
        <v>3.3789769230769227</v>
      </c>
      <c r="D29">
        <f t="shared" si="2"/>
        <v>-2.8430769230771702E-3</v>
      </c>
      <c r="E29">
        <f t="shared" si="3"/>
        <v>-2.0972527472526981E-3</v>
      </c>
      <c r="F29" s="3">
        <v>177</v>
      </c>
      <c r="G29">
        <v>2134</v>
      </c>
      <c r="H29">
        <f t="shared" si="4"/>
        <v>-0.37121373626372756</v>
      </c>
      <c r="I29">
        <f t="shared" si="10"/>
        <v>-0.37121373626372756</v>
      </c>
      <c r="J29">
        <f t="shared" si="11"/>
        <v>-0.17395207884898198</v>
      </c>
      <c r="K29">
        <f t="shared" si="5"/>
        <v>-9.0866666666666879E-5</v>
      </c>
      <c r="L29">
        <f t="shared" si="6"/>
        <v>-5.1089285714276401E-5</v>
      </c>
      <c r="M29">
        <f t="shared" si="7"/>
        <v>-7.0977976190471646E-5</v>
      </c>
      <c r="N29">
        <f t="shared" si="8"/>
        <v>-3.978347717306681E-4</v>
      </c>
      <c r="O29" s="3">
        <f t="shared" si="9"/>
        <v>-3.978347717306681</v>
      </c>
    </row>
    <row r="30" spans="1:15" x14ac:dyDescent="0.25">
      <c r="A30">
        <v>950</v>
      </c>
      <c r="B30" s="3">
        <v>3.3780199999999998</v>
      </c>
      <c r="C30" s="3">
        <v>3.3766685714285716</v>
      </c>
      <c r="D30">
        <f t="shared" si="2"/>
        <v>-1.3514285714282259E-3</v>
      </c>
      <c r="E30">
        <f t="shared" si="3"/>
        <v>-2.0052898825306809E-3</v>
      </c>
      <c r="F30" s="3">
        <v>172</v>
      </c>
      <c r="G30">
        <v>2135</v>
      </c>
      <c r="H30">
        <f t="shared" si="4"/>
        <v>-0.34490985979527711</v>
      </c>
      <c r="I30">
        <f t="shared" si="10"/>
        <v>-0.34490985979527711</v>
      </c>
      <c r="J30">
        <f t="shared" si="11"/>
        <v>-0.16155028561839677</v>
      </c>
      <c r="K30">
        <f t="shared" si="5"/>
        <v>-4.6815384615381818E-5</v>
      </c>
      <c r="L30">
        <f t="shared" si="6"/>
        <v>-4.4976127320941473E-5</v>
      </c>
      <c r="M30">
        <f t="shared" si="7"/>
        <v>-4.5895755968161646E-5</v>
      </c>
      <c r="N30">
        <f t="shared" si="8"/>
        <v>-5.7138907206210341E-4</v>
      </c>
      <c r="O30" s="3">
        <f t="shared" si="9"/>
        <v>-5.7138907206210341</v>
      </c>
    </row>
    <row r="31" spans="1:15" x14ac:dyDescent="0.25">
      <c r="A31">
        <v>1000</v>
      </c>
      <c r="B31" s="3">
        <v>3.3771384615384616</v>
      </c>
      <c r="C31" s="3">
        <v>3.3744793103448285</v>
      </c>
      <c r="D31">
        <f t="shared" si="2"/>
        <v>-2.6591511936331358E-3</v>
      </c>
      <c r="E31">
        <f t="shared" si="3"/>
        <v>-3.5020755968171446E-3</v>
      </c>
      <c r="F31" s="3">
        <v>167</v>
      </c>
      <c r="G31">
        <v>2136</v>
      </c>
      <c r="H31">
        <f t="shared" si="4"/>
        <v>-0.58484662466846316</v>
      </c>
      <c r="I31">
        <f t="shared" si="10"/>
        <v>-0.58484662466846316</v>
      </c>
      <c r="J31">
        <f t="shared" si="11"/>
        <v>-0.27380459956388725</v>
      </c>
      <c r="K31">
        <f t="shared" si="5"/>
        <v>-2.3199999999996556E-5</v>
      </c>
      <c r="L31">
        <f t="shared" si="6"/>
        <v>-5.3135714285725835E-5</v>
      </c>
      <c r="M31">
        <f t="shared" si="7"/>
        <v>-3.8167857142861193E-5</v>
      </c>
      <c r="N31">
        <f t="shared" si="8"/>
        <v>-1.1645005260730369E-3</v>
      </c>
      <c r="O31" s="3">
        <f t="shared" si="9"/>
        <v>-11.645005260730368</v>
      </c>
    </row>
    <row r="32" spans="1:15" x14ac:dyDescent="0.25">
      <c r="A32">
        <v>1050</v>
      </c>
      <c r="B32" s="3">
        <v>3.3757000000000001</v>
      </c>
      <c r="C32" s="3">
        <v>3.371354999999999</v>
      </c>
      <c r="D32">
        <f t="shared" si="2"/>
        <v>-4.3450000000011535E-3</v>
      </c>
      <c r="E32">
        <f t="shared" si="3"/>
        <v>-4.4419444444450118E-3</v>
      </c>
      <c r="F32" s="3">
        <v>160</v>
      </c>
      <c r="G32">
        <v>2137</v>
      </c>
      <c r="H32">
        <f t="shared" si="4"/>
        <v>-0.71071111111120189</v>
      </c>
      <c r="I32">
        <f t="shared" si="10"/>
        <v>-0.71071111111120189</v>
      </c>
      <c r="J32">
        <f t="shared" si="11"/>
        <v>-0.33257422139036119</v>
      </c>
      <c r="K32">
        <f t="shared" si="5"/>
        <v>-3.955128205128222E-5</v>
      </c>
      <c r="L32">
        <f t="shared" si="6"/>
        <v>-5.8348659003839567E-5</v>
      </c>
      <c r="M32">
        <f t="shared" si="7"/>
        <v>-4.8949970527560893E-5</v>
      </c>
      <c r="N32">
        <f t="shared" si="8"/>
        <v>-1.1028917194032346E-3</v>
      </c>
      <c r="O32" s="3">
        <f t="shared" si="9"/>
        <v>-11.028917194032346</v>
      </c>
    </row>
    <row r="33" spans="1:15" x14ac:dyDescent="0.25">
      <c r="A33">
        <v>1100</v>
      </c>
      <c r="B33" s="3">
        <v>3.3731833333333334</v>
      </c>
      <c r="C33" s="3">
        <v>3.3686444444444446</v>
      </c>
      <c r="D33">
        <f t="shared" si="2"/>
        <v>-4.5388888888888701E-3</v>
      </c>
      <c r="E33">
        <f t="shared" si="3"/>
        <v>-3.7474206349203953E-3</v>
      </c>
      <c r="F33" s="3">
        <v>151</v>
      </c>
      <c r="G33">
        <v>2138</v>
      </c>
      <c r="H33">
        <f t="shared" si="4"/>
        <v>-0.5658605158729797</v>
      </c>
      <c r="I33">
        <f t="shared" si="10"/>
        <v>-0.5658605158729797</v>
      </c>
      <c r="J33">
        <f t="shared" si="11"/>
        <v>-0.26466815522590259</v>
      </c>
      <c r="K33">
        <f t="shared" si="5"/>
        <v>-4.458333333333453E-5</v>
      </c>
      <c r="L33">
        <f t="shared" si="6"/>
        <v>-3.0692857142842201E-5</v>
      </c>
      <c r="M33">
        <f t="shared" si="7"/>
        <v>-3.7638095238088365E-5</v>
      </c>
      <c r="N33">
        <f t="shared" si="8"/>
        <v>-1.1414865040071476E-3</v>
      </c>
      <c r="O33" s="3">
        <f t="shared" si="9"/>
        <v>-11.414865040071476</v>
      </c>
    </row>
    <row r="34" spans="1:15" x14ac:dyDescent="0.25">
      <c r="A34">
        <v>1150</v>
      </c>
      <c r="B34" s="3">
        <v>3.3712416666666667</v>
      </c>
      <c r="C34" s="3">
        <v>3.3682857142857148</v>
      </c>
      <c r="D34">
        <f t="shared" si="2"/>
        <v>-2.9559523809519206E-3</v>
      </c>
      <c r="E34">
        <f t="shared" si="3"/>
        <v>-2.9363095238090775E-3</v>
      </c>
      <c r="F34" s="3">
        <v>145</v>
      </c>
      <c r="G34">
        <v>2139</v>
      </c>
      <c r="H34">
        <f t="shared" si="4"/>
        <v>-0.42576488095231624</v>
      </c>
      <c r="I34">
        <f t="shared" si="10"/>
        <v>-0.42576488095231624</v>
      </c>
      <c r="J34">
        <f t="shared" si="11"/>
        <v>-0.19904856519509875</v>
      </c>
      <c r="K34">
        <f t="shared" si="5"/>
        <v>-4.0750000000002725E-5</v>
      </c>
      <c r="L34">
        <f t="shared" si="6"/>
        <v>-2.4527777777776372E-5</v>
      </c>
      <c r="M34">
        <f t="shared" si="7"/>
        <v>-3.2638888888889545E-5</v>
      </c>
      <c r="N34">
        <f t="shared" si="8"/>
        <v>-9.8996630556676232E-4</v>
      </c>
      <c r="O34" s="3">
        <f t="shared" si="9"/>
        <v>-9.8996630556676237</v>
      </c>
    </row>
    <row r="35" spans="1:15" x14ac:dyDescent="0.25">
      <c r="A35">
        <v>1200</v>
      </c>
      <c r="B35" s="3">
        <v>3.3691083333333331</v>
      </c>
      <c r="C35" s="3">
        <v>3.3661916666666669</v>
      </c>
      <c r="D35">
        <f t="shared" si="2"/>
        <v>-2.9166666666662344E-3</v>
      </c>
      <c r="E35">
        <f t="shared" si="3"/>
        <v>-2.091287878787762E-3</v>
      </c>
      <c r="F35" s="3">
        <v>137</v>
      </c>
      <c r="G35">
        <v>2140</v>
      </c>
      <c r="H35">
        <f t="shared" si="4"/>
        <v>-0.2865064393939234</v>
      </c>
      <c r="I35">
        <f t="shared" si="10"/>
        <v>-0.2865064393939234</v>
      </c>
      <c r="J35">
        <f t="shared" si="11"/>
        <v>-0.13388151373547824</v>
      </c>
      <c r="K35">
        <f t="shared" si="5"/>
        <v>-6.7666666666665881E-5</v>
      </c>
      <c r="L35">
        <f t="shared" si="6"/>
        <v>-5.0766233766239569E-5</v>
      </c>
      <c r="M35">
        <f t="shared" si="7"/>
        <v>-5.9216450216452725E-5</v>
      </c>
      <c r="N35">
        <f t="shared" si="8"/>
        <v>-3.6700752763244005E-4</v>
      </c>
      <c r="O35" s="3">
        <f t="shared" si="9"/>
        <v>-3.6700752763244004</v>
      </c>
    </row>
    <row r="36" spans="1:15" x14ac:dyDescent="0.25">
      <c r="A36">
        <v>1250</v>
      </c>
      <c r="B36" s="3">
        <v>3.3644750000000001</v>
      </c>
      <c r="C36" s="3">
        <v>3.3632090909090908</v>
      </c>
      <c r="D36">
        <f t="shared" si="2"/>
        <v>-1.2659090909092896E-3</v>
      </c>
      <c r="E36">
        <f t="shared" si="3"/>
        <v>-2.7147727272727185E-3</v>
      </c>
      <c r="F36" s="3">
        <v>124</v>
      </c>
      <c r="G36">
        <v>2141</v>
      </c>
      <c r="H36">
        <f t="shared" si="4"/>
        <v>-0.33663181818181709</v>
      </c>
      <c r="I36">
        <f t="shared" si="10"/>
        <v>-0.33663181818181709</v>
      </c>
      <c r="J36">
        <f t="shared" si="11"/>
        <v>-0.15723111545157267</v>
      </c>
      <c r="K36">
        <f t="shared" si="5"/>
        <v>-7.1083333333334944E-5</v>
      </c>
      <c r="L36">
        <f t="shared" si="6"/>
        <v>-8.3553030303034067E-5</v>
      </c>
      <c r="M36">
        <f t="shared" si="7"/>
        <v>-7.7318181818184498E-5</v>
      </c>
      <c r="N36">
        <f t="shared" si="8"/>
        <v>-3.301061309013382E-4</v>
      </c>
      <c r="O36" s="3">
        <f t="shared" si="9"/>
        <v>-3.3010613090133822</v>
      </c>
    </row>
    <row r="37" spans="1:15" x14ac:dyDescent="0.25">
      <c r="A37">
        <v>1300</v>
      </c>
      <c r="B37" s="3">
        <v>3.3619999999999997</v>
      </c>
      <c r="C37" s="3">
        <v>3.3578363636363635</v>
      </c>
      <c r="D37">
        <f t="shared" si="2"/>
        <v>-4.1636363636361473E-3</v>
      </c>
      <c r="E37">
        <f t="shared" si="3"/>
        <v>-4.1862824675322763E-3</v>
      </c>
      <c r="F37" s="3">
        <v>101</v>
      </c>
      <c r="G37">
        <v>2142</v>
      </c>
      <c r="H37">
        <f t="shared" si="4"/>
        <v>-0.4228145292207599</v>
      </c>
      <c r="I37">
        <f t="shared" si="10"/>
        <v>-0.4228145292207599</v>
      </c>
      <c r="J37">
        <f t="shared" si="11"/>
        <v>-0.19739240393126048</v>
      </c>
      <c r="K37">
        <f t="shared" si="5"/>
        <v>-1.3637500000000192E-4</v>
      </c>
      <c r="L37">
        <f t="shared" si="6"/>
        <v>-1.6580519480519307E-4</v>
      </c>
      <c r="M37">
        <f t="shared" si="7"/>
        <v>-1.5109009740259748E-4</v>
      </c>
      <c r="N37">
        <f t="shared" si="8"/>
        <v>-2.120758237624345E-4</v>
      </c>
      <c r="O37" s="3">
        <f t="shared" si="9"/>
        <v>-2.120758237624345</v>
      </c>
    </row>
    <row r="38" spans="1:15" x14ac:dyDescent="0.25">
      <c r="A38">
        <v>1350</v>
      </c>
      <c r="B38" s="3">
        <v>3.3508374999999999</v>
      </c>
      <c r="C38" s="3">
        <v>3.3466285714285715</v>
      </c>
      <c r="D38">
        <f t="shared" si="2"/>
        <v>-4.2089285714284053E-3</v>
      </c>
      <c r="E38">
        <f t="shared" si="3"/>
        <v>-2.1044642857142026E-3</v>
      </c>
      <c r="F38" s="3">
        <v>67</v>
      </c>
      <c r="G38">
        <v>2143</v>
      </c>
      <c r="H38">
        <f t="shared" si="4"/>
        <v>-0.14099910714285158</v>
      </c>
      <c r="I38">
        <f t="shared" si="10"/>
        <v>-0.14099910714285158</v>
      </c>
      <c r="J38">
        <f t="shared" si="11"/>
        <v>-6.5795196986864951E-2</v>
      </c>
      <c r="K38">
        <f t="shared" si="5"/>
        <v>-6.016666666666559E-5</v>
      </c>
      <c r="L38">
        <f t="shared" si="6"/>
        <v>-2.0861363636363707E-4</v>
      </c>
      <c r="M38">
        <f t="shared" si="7"/>
        <v>-1.3439015151515133E-4</v>
      </c>
      <c r="N38">
        <f t="shared" si="8"/>
        <v>-7.9473707865937269E-5</v>
      </c>
      <c r="O38" s="3">
        <f t="shared" si="9"/>
        <v>-0.79473707865937271</v>
      </c>
    </row>
    <row r="39" spans="1:15" x14ac:dyDescent="0.25">
      <c r="A39">
        <v>1400</v>
      </c>
      <c r="B39" s="3">
        <v>3.3559833333333331</v>
      </c>
      <c r="C39" s="3">
        <v>3.3369749999999998</v>
      </c>
      <c r="F39" s="3">
        <v>25.9</v>
      </c>
      <c r="O39" s="3"/>
    </row>
    <row r="40" spans="1:15" x14ac:dyDescent="0.25">
      <c r="B40" s="3"/>
      <c r="C40" s="3"/>
      <c r="D40" s="8"/>
      <c r="E40" s="8"/>
      <c r="F40" s="3"/>
      <c r="G40" s="9"/>
      <c r="O40" s="3"/>
    </row>
    <row r="41" spans="1:15" x14ac:dyDescent="0.25">
      <c r="B41" s="3"/>
      <c r="C41" s="3"/>
      <c r="D41" s="8"/>
      <c r="E41" s="8"/>
      <c r="F41" s="3"/>
      <c r="G41" s="9"/>
      <c r="O41" s="3"/>
    </row>
    <row r="42" spans="1:15" x14ac:dyDescent="0.25">
      <c r="B42" s="3"/>
      <c r="C42" s="3"/>
      <c r="D42" s="8"/>
      <c r="E42" s="8"/>
      <c r="F42" s="3"/>
      <c r="G42" s="9"/>
      <c r="O42" s="3"/>
    </row>
    <row r="43" spans="1:15" x14ac:dyDescent="0.25">
      <c r="B43" s="3"/>
      <c r="C43" s="3"/>
      <c r="D43" s="8"/>
      <c r="E43" s="8"/>
      <c r="F43" s="3"/>
      <c r="G43" s="9"/>
      <c r="O43" s="3"/>
    </row>
    <row r="44" spans="1:15" x14ac:dyDescent="0.25">
      <c r="B44" s="3"/>
      <c r="C44" s="3"/>
      <c r="D44" s="8"/>
      <c r="E44" s="8"/>
      <c r="F44" s="3"/>
      <c r="G44" s="9"/>
      <c r="O44" s="3"/>
    </row>
    <row r="45" spans="1:15" x14ac:dyDescent="0.25">
      <c r="B45" s="3"/>
      <c r="C45" s="3"/>
      <c r="D45" s="8"/>
      <c r="E45" s="8"/>
      <c r="F45" s="3"/>
      <c r="G45" s="9"/>
      <c r="O45" s="3"/>
    </row>
    <row r="46" spans="1:15" x14ac:dyDescent="0.25">
      <c r="B46" s="3"/>
      <c r="C46" s="3"/>
      <c r="D46" s="8"/>
      <c r="E46" s="8"/>
      <c r="F46" s="3"/>
      <c r="G46" s="9"/>
      <c r="O46" s="3"/>
    </row>
    <row r="47" spans="1:15" x14ac:dyDescent="0.25">
      <c r="B47" s="3"/>
      <c r="C47" s="3"/>
      <c r="D47" s="8"/>
      <c r="E47" s="8"/>
      <c r="F47" s="3"/>
      <c r="G47" s="9"/>
      <c r="O47" s="3"/>
    </row>
    <row r="48" spans="1:15" x14ac:dyDescent="0.25">
      <c r="B48" s="3"/>
      <c r="C48" s="3"/>
      <c r="D48" s="8"/>
      <c r="E48" s="8"/>
      <c r="F48" s="3"/>
      <c r="G48" s="9"/>
      <c r="O48" s="3"/>
    </row>
    <row r="49" spans="2:15" x14ac:dyDescent="0.25">
      <c r="B49" s="3"/>
      <c r="C49" s="3"/>
      <c r="D49" s="8"/>
      <c r="E49" s="8"/>
      <c r="F49" s="3"/>
      <c r="G49" s="9"/>
      <c r="O49" s="3"/>
    </row>
    <row r="50" spans="2:15" x14ac:dyDescent="0.25">
      <c r="B50" s="3"/>
      <c r="C50" s="3"/>
      <c r="D50" s="8"/>
      <c r="E50" s="8"/>
      <c r="F50" s="3"/>
      <c r="G50" s="9"/>
      <c r="O50" s="3"/>
    </row>
    <row r="51" spans="2:15" x14ac:dyDescent="0.25">
      <c r="B51" s="3"/>
      <c r="C51" s="3"/>
      <c r="D51" s="8"/>
      <c r="E51" s="8"/>
      <c r="F51" s="3"/>
      <c r="G51" s="9"/>
      <c r="O51" s="3"/>
    </row>
    <row r="52" spans="2:15" x14ac:dyDescent="0.25">
      <c r="B52" s="3"/>
      <c r="C52" s="3"/>
      <c r="D52" s="8"/>
      <c r="E52" s="8"/>
      <c r="F52" s="3"/>
      <c r="O52" s="3"/>
    </row>
    <row r="53" spans="2:15" x14ac:dyDescent="0.25">
      <c r="B53" s="3"/>
      <c r="C53" s="3"/>
      <c r="D53" s="8"/>
      <c r="E53" s="8"/>
      <c r="F53" s="3"/>
      <c r="G53" s="9"/>
      <c r="O53" s="3"/>
    </row>
    <row r="54" spans="2:15" x14ac:dyDescent="0.25">
      <c r="B54" s="3"/>
      <c r="C54" s="3"/>
      <c r="D54" s="8"/>
      <c r="E54" s="8"/>
      <c r="F54" s="3"/>
      <c r="G54" s="9"/>
      <c r="O54" s="3"/>
    </row>
    <row r="55" spans="2:15" x14ac:dyDescent="0.25">
      <c r="B55" s="3"/>
      <c r="C55" s="3"/>
      <c r="D55" s="8"/>
      <c r="E55" s="8"/>
      <c r="F55" s="3"/>
      <c r="G55" s="9"/>
      <c r="O55" s="3"/>
    </row>
    <row r="56" spans="2:15" x14ac:dyDescent="0.25">
      <c r="B56" s="3"/>
      <c r="C56" s="3"/>
      <c r="D56" s="8"/>
      <c r="E56" s="8"/>
      <c r="F56" s="3"/>
      <c r="G56" s="9"/>
      <c r="O56" s="3"/>
    </row>
    <row r="57" spans="2:15" x14ac:dyDescent="0.25">
      <c r="B57" s="3"/>
      <c r="C57" s="3"/>
      <c r="D57" s="8"/>
      <c r="E57" s="8"/>
      <c r="F57" s="3"/>
      <c r="G57" s="9"/>
      <c r="O57" s="3"/>
    </row>
    <row r="58" spans="2:15" x14ac:dyDescent="0.25">
      <c r="B58" s="3"/>
      <c r="D58" s="8"/>
      <c r="E58" s="8"/>
      <c r="F58" s="3"/>
      <c r="G58" s="9"/>
      <c r="O58" s="3"/>
    </row>
    <row r="59" spans="2:15" x14ac:dyDescent="0.25">
      <c r="B59" s="3"/>
      <c r="D59" s="8"/>
      <c r="E59" s="8"/>
      <c r="F59" s="3"/>
      <c r="G59" s="9"/>
      <c r="O59" s="3"/>
    </row>
    <row r="60" spans="2:15" x14ac:dyDescent="0.25">
      <c r="B60" s="3"/>
      <c r="D60" s="8"/>
      <c r="E60" s="8"/>
      <c r="F60" s="3"/>
      <c r="G60" s="9"/>
      <c r="O60" s="3"/>
    </row>
    <row r="61" spans="2:15" x14ac:dyDescent="0.25">
      <c r="B61" s="3"/>
      <c r="D61" s="8"/>
      <c r="E61" s="8"/>
      <c r="F61" s="3"/>
      <c r="G61" s="9"/>
      <c r="O61" s="3"/>
    </row>
    <row r="62" spans="2:15" x14ac:dyDescent="0.25">
      <c r="B62" s="3"/>
      <c r="D62" s="8"/>
      <c r="E62" s="8"/>
      <c r="F62" s="3"/>
      <c r="G62" s="9"/>
      <c r="O62" s="3"/>
    </row>
    <row r="63" spans="2:15" x14ac:dyDescent="0.25">
      <c r="B63" s="3"/>
      <c r="D63" s="8"/>
      <c r="E63" s="8"/>
      <c r="F63" s="3"/>
      <c r="G63" s="9"/>
      <c r="O63" s="3"/>
    </row>
    <row r="64" spans="2:15" x14ac:dyDescent="0.25">
      <c r="B64" s="3"/>
      <c r="D64" s="8"/>
      <c r="E64" s="8"/>
      <c r="F64" s="3"/>
      <c r="G64" s="9"/>
      <c r="O64" s="3"/>
    </row>
    <row r="65" spans="2:15" x14ac:dyDescent="0.25">
      <c r="B65" s="3"/>
      <c r="D65" s="8"/>
      <c r="E65" s="8"/>
      <c r="F65" s="3"/>
      <c r="G65" s="9"/>
      <c r="O65" s="3"/>
    </row>
    <row r="66" spans="2:15" x14ac:dyDescent="0.25">
      <c r="B66" s="3"/>
      <c r="D66" s="8"/>
      <c r="E66" s="8"/>
      <c r="F66" s="3"/>
      <c r="G66" s="9"/>
      <c r="O66" s="3"/>
    </row>
    <row r="67" spans="2:15" x14ac:dyDescent="0.25">
      <c r="B67" s="3"/>
      <c r="D67" s="8"/>
      <c r="E67" s="8"/>
      <c r="F67" s="3"/>
      <c r="G67" s="9"/>
      <c r="O67" s="3"/>
    </row>
    <row r="68" spans="2:15" x14ac:dyDescent="0.25">
      <c r="B68" s="3"/>
      <c r="D68" s="8"/>
      <c r="E68" s="8"/>
      <c r="F68" s="3"/>
      <c r="G68" s="9"/>
      <c r="O68" s="3"/>
    </row>
    <row r="69" spans="2:15" x14ac:dyDescent="0.25">
      <c r="B69" s="3"/>
      <c r="D69" s="8"/>
      <c r="E69" s="8"/>
      <c r="F69" s="3"/>
      <c r="G69" s="9"/>
      <c r="O69" s="3"/>
    </row>
    <row r="70" spans="2:15" x14ac:dyDescent="0.25">
      <c r="B70" s="3"/>
      <c r="D70" s="8"/>
      <c r="E70" s="8"/>
      <c r="F70" s="3"/>
      <c r="G70" s="9"/>
      <c r="O70" s="3"/>
    </row>
    <row r="71" spans="2:15" x14ac:dyDescent="0.25">
      <c r="B71" s="3"/>
      <c r="D71" s="8"/>
      <c r="E71" s="8"/>
      <c r="F71" s="3"/>
      <c r="G71" s="9"/>
      <c r="O71" s="3"/>
    </row>
    <row r="72" spans="2:15" x14ac:dyDescent="0.25">
      <c r="B72" s="3"/>
      <c r="D72" s="8"/>
      <c r="E72" s="8"/>
      <c r="F72" s="3"/>
      <c r="G72" s="9"/>
      <c r="O72" s="3"/>
    </row>
    <row r="73" spans="2:15" x14ac:dyDescent="0.25">
      <c r="B73" s="3"/>
      <c r="D73" s="8"/>
      <c r="E73" s="8"/>
      <c r="F73" s="3"/>
      <c r="G73" s="9"/>
      <c r="O73" s="3"/>
    </row>
    <row r="74" spans="2:15" x14ac:dyDescent="0.25">
      <c r="B74" s="3"/>
      <c r="D74" s="8"/>
      <c r="E74" s="8"/>
      <c r="F74" s="3"/>
      <c r="G74" s="9"/>
      <c r="O74" s="3"/>
    </row>
    <row r="75" spans="2:15" x14ac:dyDescent="0.25">
      <c r="B75" s="3"/>
      <c r="D75" s="8"/>
      <c r="E75" s="8"/>
      <c r="F75" s="3"/>
      <c r="G75" s="9"/>
      <c r="O75" s="3"/>
    </row>
    <row r="76" spans="2:15" x14ac:dyDescent="0.25">
      <c r="B76" s="3"/>
      <c r="D76" s="8"/>
      <c r="E76" s="8"/>
      <c r="F76" s="3"/>
      <c r="G76" s="9"/>
      <c r="O76" s="3"/>
    </row>
    <row r="77" spans="2:15" x14ac:dyDescent="0.25">
      <c r="B77" s="3"/>
      <c r="D77" s="8"/>
      <c r="E77" s="8"/>
      <c r="F77" s="3"/>
      <c r="O77" s="3"/>
    </row>
    <row r="78" spans="2:15" x14ac:dyDescent="0.25">
      <c r="B78" s="3"/>
      <c r="D78" s="8"/>
      <c r="E78" s="8"/>
      <c r="F78" s="3"/>
      <c r="G78" s="9"/>
      <c r="O78" s="3"/>
    </row>
    <row r="79" spans="2:15" x14ac:dyDescent="0.25">
      <c r="B79" s="3"/>
      <c r="D79" s="8"/>
      <c r="E79" s="8"/>
      <c r="F79" s="3"/>
      <c r="G79" s="9"/>
      <c r="O79" s="3"/>
    </row>
    <row r="80" spans="2:15" x14ac:dyDescent="0.25">
      <c r="B80" s="3"/>
      <c r="D80" s="8"/>
      <c r="E80" s="8"/>
      <c r="F80" s="3"/>
      <c r="G80" s="9"/>
      <c r="O80" s="3"/>
    </row>
    <row r="81" spans="4:15" x14ac:dyDescent="0.25">
      <c r="D81" s="8"/>
      <c r="E81" s="8"/>
      <c r="F81" s="3"/>
      <c r="G81" s="9"/>
      <c r="O81" s="3"/>
    </row>
    <row r="82" spans="4:15" x14ac:dyDescent="0.25">
      <c r="D82" s="8"/>
      <c r="E82" s="8"/>
      <c r="F82" s="3"/>
      <c r="G82" s="9"/>
      <c r="O82" s="3"/>
    </row>
    <row r="83" spans="4:15" x14ac:dyDescent="0.25">
      <c r="D83" s="8"/>
      <c r="E83" s="8"/>
      <c r="F83" s="3"/>
      <c r="G83" s="9"/>
      <c r="O83" s="3"/>
    </row>
    <row r="84" spans="4:15" x14ac:dyDescent="0.25">
      <c r="D84" s="8"/>
      <c r="E84" s="8"/>
      <c r="F84" s="3"/>
      <c r="G84" s="9"/>
      <c r="O84" s="3"/>
    </row>
    <row r="85" spans="4:15" x14ac:dyDescent="0.25">
      <c r="D85" s="8"/>
      <c r="E85" s="8"/>
      <c r="F85" s="3"/>
      <c r="G85" s="9"/>
      <c r="O85" s="3"/>
    </row>
    <row r="86" spans="4:15" x14ac:dyDescent="0.25">
      <c r="D86" s="8"/>
      <c r="E86" s="8"/>
      <c r="F86" s="3"/>
      <c r="G86" s="9"/>
      <c r="O86" s="3"/>
    </row>
    <row r="87" spans="4:15" x14ac:dyDescent="0.25">
      <c r="D87" s="8"/>
      <c r="E87" s="8"/>
      <c r="F87" s="3"/>
      <c r="G87" s="9"/>
      <c r="O87" s="3"/>
    </row>
    <row r="88" spans="4:15" x14ac:dyDescent="0.25">
      <c r="D88" s="8"/>
      <c r="E88" s="8"/>
      <c r="F88" s="3"/>
      <c r="G88" s="9"/>
      <c r="O88" s="3"/>
    </row>
    <row r="89" spans="4:15" x14ac:dyDescent="0.25">
      <c r="D89" s="8"/>
      <c r="E89" s="8"/>
      <c r="F89" s="3"/>
      <c r="G89" s="9"/>
      <c r="O89" s="3"/>
    </row>
    <row r="90" spans="4:15" x14ac:dyDescent="0.25">
      <c r="D90" s="8"/>
      <c r="E90" s="8"/>
      <c r="F90" s="3"/>
      <c r="G90" s="9"/>
      <c r="O90" s="3"/>
    </row>
    <row r="91" spans="4:15" x14ac:dyDescent="0.25">
      <c r="D91" s="8"/>
      <c r="E91" s="8"/>
      <c r="F91" s="3"/>
      <c r="G91" s="9"/>
      <c r="O91" s="3"/>
    </row>
    <row r="92" spans="4:15" x14ac:dyDescent="0.25">
      <c r="D92" s="8"/>
      <c r="E92" s="8"/>
      <c r="F92" s="3"/>
      <c r="G92" s="9"/>
      <c r="O92" s="3"/>
    </row>
    <row r="93" spans="4:15" x14ac:dyDescent="0.25">
      <c r="D93" s="8"/>
      <c r="E93" s="8"/>
      <c r="F93" s="3"/>
      <c r="G93" s="9"/>
      <c r="O93" s="3"/>
    </row>
    <row r="94" spans="4:15" x14ac:dyDescent="0.25">
      <c r="D94" s="8"/>
      <c r="E94" s="8"/>
      <c r="F94" s="3"/>
      <c r="G94" s="9"/>
      <c r="O94" s="3"/>
    </row>
    <row r="95" spans="4:15" x14ac:dyDescent="0.25">
      <c r="D95" s="8"/>
      <c r="E95" s="8"/>
      <c r="F95" s="3"/>
      <c r="G95" s="9"/>
      <c r="O95" s="3"/>
    </row>
    <row r="96" spans="4:15" x14ac:dyDescent="0.25">
      <c r="D96" s="8"/>
      <c r="E96" s="8"/>
      <c r="F96" s="3"/>
      <c r="G96" s="9"/>
      <c r="O96" s="3"/>
    </row>
    <row r="97" spans="4:15" x14ac:dyDescent="0.25">
      <c r="D97" s="8"/>
      <c r="E97" s="8"/>
      <c r="F97" s="3"/>
      <c r="G97" s="9"/>
      <c r="O97" s="3"/>
    </row>
    <row r="98" spans="4:15" x14ac:dyDescent="0.25">
      <c r="D98" s="8"/>
      <c r="E98" s="8"/>
      <c r="F98" s="3"/>
      <c r="G98" s="9"/>
      <c r="O98" s="3"/>
    </row>
    <row r="99" spans="4:15" x14ac:dyDescent="0.25">
      <c r="D99" s="8"/>
      <c r="E99" s="8"/>
      <c r="F99" s="3"/>
      <c r="G99" s="9"/>
      <c r="O99" s="3"/>
    </row>
    <row r="100" spans="4:15" x14ac:dyDescent="0.25">
      <c r="D100" s="8"/>
      <c r="E100" s="8"/>
      <c r="F100" s="3"/>
      <c r="G100" s="9"/>
      <c r="O100" s="3"/>
    </row>
    <row r="101" spans="4:15" x14ac:dyDescent="0.25">
      <c r="D101" s="8"/>
      <c r="E101" s="8"/>
      <c r="F101" s="3"/>
      <c r="G101" s="9"/>
      <c r="O101" s="3"/>
    </row>
    <row r="102" spans="4:15" x14ac:dyDescent="0.25">
      <c r="D102" s="8"/>
      <c r="E102" s="8"/>
      <c r="F102" s="3"/>
      <c r="O102" s="3"/>
    </row>
    <row r="103" spans="4:15" x14ac:dyDescent="0.25">
      <c r="D103" s="8"/>
      <c r="E103" s="8"/>
      <c r="F103" s="3"/>
      <c r="G103" s="9"/>
      <c r="O103" s="3"/>
    </row>
    <row r="104" spans="4:15" x14ac:dyDescent="0.25">
      <c r="D104" s="8"/>
      <c r="E104" s="8"/>
      <c r="F104" s="3"/>
      <c r="G104" s="9"/>
      <c r="O104" s="3"/>
    </row>
    <row r="105" spans="4:15" x14ac:dyDescent="0.25">
      <c r="D105" s="8"/>
      <c r="E105" s="8"/>
      <c r="F105" s="3"/>
      <c r="G105" s="9"/>
      <c r="O105" s="3"/>
    </row>
    <row r="106" spans="4:15" x14ac:dyDescent="0.25">
      <c r="D106" s="8"/>
      <c r="E106" s="8"/>
      <c r="F106" s="3"/>
      <c r="G106" s="9"/>
      <c r="O106" s="3"/>
    </row>
    <row r="107" spans="4:15" x14ac:dyDescent="0.25">
      <c r="D107" s="8"/>
      <c r="E107" s="8"/>
      <c r="F107" s="3"/>
      <c r="G107" s="9"/>
      <c r="O107" s="3"/>
    </row>
    <row r="108" spans="4:15" x14ac:dyDescent="0.25">
      <c r="D108" s="8"/>
      <c r="E108" s="8"/>
      <c r="F108" s="3"/>
      <c r="G108" s="9"/>
      <c r="O108" s="3"/>
    </row>
    <row r="109" spans="4:15" x14ac:dyDescent="0.25">
      <c r="D109" s="8"/>
      <c r="E109" s="8"/>
      <c r="F109" s="3"/>
      <c r="G109" s="9"/>
      <c r="O109" s="3"/>
    </row>
    <row r="110" spans="4:15" x14ac:dyDescent="0.25">
      <c r="D110" s="8"/>
      <c r="E110" s="8"/>
      <c r="F110" s="3"/>
      <c r="G110" s="9"/>
      <c r="O110" s="3"/>
    </row>
    <row r="111" spans="4:15" x14ac:dyDescent="0.25">
      <c r="D111" s="8"/>
      <c r="E111" s="8"/>
      <c r="F111" s="3"/>
      <c r="G111" s="9"/>
      <c r="O111" s="3"/>
    </row>
    <row r="112" spans="4:15" x14ac:dyDescent="0.25">
      <c r="D112" s="8"/>
      <c r="E112" s="8"/>
      <c r="F112" s="3"/>
      <c r="G112" s="9"/>
      <c r="O112" s="3"/>
    </row>
    <row r="113" spans="4:15" x14ac:dyDescent="0.25">
      <c r="D113" s="8"/>
      <c r="E113" s="8"/>
      <c r="F113" s="3"/>
      <c r="G113" s="9"/>
      <c r="O113" s="3"/>
    </row>
    <row r="114" spans="4:15" x14ac:dyDescent="0.25">
      <c r="D114" s="8"/>
      <c r="E114" s="8"/>
      <c r="F114" s="3"/>
      <c r="G114" s="9"/>
      <c r="O114" s="3"/>
    </row>
    <row r="115" spans="4:15" x14ac:dyDescent="0.25">
      <c r="D115" s="8"/>
      <c r="E115" s="8"/>
      <c r="F115" s="3"/>
      <c r="G115" s="9"/>
      <c r="O115" s="3"/>
    </row>
    <row r="116" spans="4:15" x14ac:dyDescent="0.25">
      <c r="D116" s="8"/>
      <c r="E116" s="8"/>
      <c r="F116" s="3"/>
      <c r="G116" s="9"/>
      <c r="O116" s="3"/>
    </row>
    <row r="117" spans="4:15" x14ac:dyDescent="0.25">
      <c r="D117" s="8"/>
      <c r="E117" s="8"/>
      <c r="F117" s="3"/>
      <c r="G117" s="9"/>
      <c r="O117" s="3"/>
    </row>
    <row r="118" spans="4:15" x14ac:dyDescent="0.25">
      <c r="D118" s="8"/>
      <c r="E118" s="8"/>
      <c r="F118" s="3"/>
      <c r="G118" s="9"/>
      <c r="O118" s="3"/>
    </row>
    <row r="119" spans="4:15" x14ac:dyDescent="0.25">
      <c r="D119" s="8"/>
      <c r="E119" s="8"/>
      <c r="F119" s="3"/>
      <c r="G119" s="9"/>
      <c r="O119" s="3"/>
    </row>
    <row r="120" spans="4:15" x14ac:dyDescent="0.25">
      <c r="D120" s="8"/>
      <c r="E120" s="8"/>
      <c r="F120" s="3"/>
      <c r="G120" s="9"/>
      <c r="O120" s="3"/>
    </row>
    <row r="121" spans="4:15" x14ac:dyDescent="0.25">
      <c r="D121" s="8"/>
      <c r="E121" s="8"/>
      <c r="F121" s="3"/>
      <c r="G121" s="9"/>
      <c r="O121" s="3"/>
    </row>
    <row r="122" spans="4:15" x14ac:dyDescent="0.25">
      <c r="D122" s="8"/>
      <c r="E122" s="8"/>
      <c r="F122" s="3"/>
      <c r="G122" s="9"/>
      <c r="O122" s="3"/>
    </row>
    <row r="123" spans="4:15" x14ac:dyDescent="0.25">
      <c r="D123" s="8"/>
      <c r="E123" s="8"/>
      <c r="F123" s="3"/>
      <c r="G123" s="9"/>
      <c r="O123" s="3"/>
    </row>
    <row r="124" spans="4:15" x14ac:dyDescent="0.25">
      <c r="D124" s="8"/>
      <c r="E124" s="8"/>
      <c r="F124" s="3"/>
      <c r="G124" s="9"/>
      <c r="O124" s="3"/>
    </row>
    <row r="125" spans="4:15" x14ac:dyDescent="0.25">
      <c r="D125" s="8"/>
      <c r="E125" s="8"/>
      <c r="F125" s="3"/>
      <c r="G125" s="9"/>
      <c r="O125" s="3"/>
    </row>
    <row r="126" spans="4:15" x14ac:dyDescent="0.25">
      <c r="D126" s="8"/>
      <c r="E126" s="8"/>
      <c r="F126" s="3"/>
      <c r="G126" s="9"/>
      <c r="O126" s="3"/>
    </row>
    <row r="127" spans="4:15" x14ac:dyDescent="0.25">
      <c r="D127" s="8"/>
      <c r="E127" s="8"/>
      <c r="F127" s="3"/>
      <c r="O127" s="3"/>
    </row>
    <row r="128" spans="4:15" x14ac:dyDescent="0.25">
      <c r="D128" s="8"/>
      <c r="E128" s="8"/>
      <c r="F128" s="3"/>
      <c r="G128" s="9"/>
      <c r="O128" s="3"/>
    </row>
    <row r="129" spans="4:15" x14ac:dyDescent="0.25">
      <c r="D129" s="8"/>
      <c r="E129" s="8"/>
      <c r="F129" s="3"/>
      <c r="G129" s="9"/>
      <c r="O129" s="3"/>
    </row>
    <row r="130" spans="4:15" x14ac:dyDescent="0.25">
      <c r="D130" s="8"/>
      <c r="E130" s="8"/>
      <c r="F130" s="3"/>
      <c r="G130" s="9"/>
      <c r="O130" s="3"/>
    </row>
    <row r="131" spans="4:15" x14ac:dyDescent="0.25">
      <c r="D131" s="8"/>
      <c r="E131" s="8"/>
      <c r="F131" s="3"/>
      <c r="G131" s="9"/>
      <c r="O131" s="3"/>
    </row>
    <row r="132" spans="4:15" x14ac:dyDescent="0.25">
      <c r="D132" s="8"/>
      <c r="E132" s="8"/>
      <c r="F132" s="3"/>
      <c r="G132" s="9"/>
      <c r="O132" s="3"/>
    </row>
    <row r="133" spans="4:15" x14ac:dyDescent="0.25">
      <c r="D133" s="8"/>
      <c r="E133" s="8"/>
      <c r="F133" s="3"/>
      <c r="G133" s="9"/>
      <c r="O133" s="3"/>
    </row>
    <row r="134" spans="4:15" x14ac:dyDescent="0.25">
      <c r="D134" s="8"/>
      <c r="E134" s="8"/>
      <c r="F134" s="3"/>
      <c r="G134" s="9"/>
      <c r="O134" s="3"/>
    </row>
    <row r="135" spans="4:15" x14ac:dyDescent="0.25">
      <c r="D135" s="8"/>
      <c r="E135" s="8"/>
      <c r="F135" s="3"/>
      <c r="G135" s="9"/>
      <c r="O135" s="3"/>
    </row>
    <row r="136" spans="4:15" x14ac:dyDescent="0.25">
      <c r="D136" s="8"/>
      <c r="E136" s="8"/>
      <c r="F136" s="3"/>
      <c r="G136" s="9"/>
      <c r="O136" s="3"/>
    </row>
    <row r="137" spans="4:15" x14ac:dyDescent="0.25">
      <c r="D137" s="8"/>
      <c r="E137" s="8"/>
      <c r="F137" s="3"/>
      <c r="G137" s="9"/>
      <c r="O137" s="3"/>
    </row>
    <row r="138" spans="4:15" x14ac:dyDescent="0.25">
      <c r="D138" s="8"/>
      <c r="E138" s="8"/>
      <c r="F138" s="3"/>
      <c r="G138" s="9"/>
      <c r="O138" s="3"/>
    </row>
    <row r="139" spans="4:15" x14ac:dyDescent="0.25">
      <c r="D139" s="8"/>
      <c r="E139" s="8"/>
      <c r="F139" s="3"/>
      <c r="G139" s="9"/>
      <c r="O139" s="3"/>
    </row>
    <row r="140" spans="4:15" x14ac:dyDescent="0.25">
      <c r="D140" s="8"/>
      <c r="E140" s="8"/>
      <c r="F140" s="3"/>
      <c r="G140" s="9"/>
      <c r="O140" s="3"/>
    </row>
    <row r="141" spans="4:15" x14ac:dyDescent="0.25">
      <c r="D141" s="8"/>
      <c r="E141" s="8"/>
      <c r="F141" s="3"/>
      <c r="G141" s="9"/>
      <c r="O141" s="3"/>
    </row>
    <row r="142" spans="4:15" x14ac:dyDescent="0.25">
      <c r="D142" s="8"/>
      <c r="E142" s="8"/>
      <c r="F142" s="3"/>
      <c r="G142" s="9"/>
      <c r="O142" s="3"/>
    </row>
    <row r="143" spans="4:15" x14ac:dyDescent="0.25">
      <c r="D143" s="8"/>
      <c r="E143" s="8"/>
      <c r="F143" s="3"/>
      <c r="G143" s="9"/>
      <c r="O143" s="3"/>
    </row>
    <row r="144" spans="4:15" x14ac:dyDescent="0.25">
      <c r="D144" s="8"/>
      <c r="E144" s="8"/>
      <c r="F144" s="3"/>
      <c r="G144" s="9"/>
      <c r="O144" s="3"/>
    </row>
    <row r="145" spans="4:15" x14ac:dyDescent="0.25">
      <c r="D145" s="8"/>
      <c r="E145" s="8"/>
      <c r="F145" s="3"/>
      <c r="G145" s="9"/>
      <c r="O145" s="3"/>
    </row>
    <row r="146" spans="4:15" x14ac:dyDescent="0.25">
      <c r="D146" s="8"/>
      <c r="E146" s="8"/>
      <c r="F146" s="3"/>
      <c r="G146" s="9"/>
      <c r="O146" s="3"/>
    </row>
    <row r="147" spans="4:15" x14ac:dyDescent="0.25">
      <c r="D147" s="8"/>
      <c r="E147" s="8"/>
      <c r="F147" s="3"/>
      <c r="G147" s="9"/>
      <c r="O147" s="3"/>
    </row>
    <row r="148" spans="4:15" x14ac:dyDescent="0.25">
      <c r="D148" s="8"/>
      <c r="E148" s="8"/>
      <c r="F148" s="3"/>
      <c r="G148" s="9"/>
      <c r="O148" s="3"/>
    </row>
    <row r="149" spans="4:15" x14ac:dyDescent="0.25">
      <c r="D149" s="8"/>
      <c r="E149" s="8"/>
      <c r="F149" s="3"/>
      <c r="G149" s="9"/>
      <c r="O149" s="3"/>
    </row>
    <row r="150" spans="4:15" x14ac:dyDescent="0.25">
      <c r="D150" s="8"/>
      <c r="E150" s="8"/>
      <c r="F150" s="3"/>
      <c r="G150" s="9"/>
      <c r="O150" s="3"/>
    </row>
    <row r="151" spans="4:15" x14ac:dyDescent="0.25">
      <c r="D151" s="8"/>
      <c r="E151" s="8"/>
      <c r="F151" s="3"/>
      <c r="G151" s="9"/>
      <c r="O151" s="3"/>
    </row>
    <row r="152" spans="4:15" x14ac:dyDescent="0.25">
      <c r="D152" s="8"/>
      <c r="E152" s="8"/>
      <c r="F152" s="3"/>
      <c r="O152" s="3"/>
    </row>
    <row r="153" spans="4:15" x14ac:dyDescent="0.25">
      <c r="D153" s="8"/>
      <c r="E153" s="8"/>
      <c r="F153" s="3"/>
      <c r="G153" s="9"/>
      <c r="O153" s="3"/>
    </row>
    <row r="154" spans="4:15" x14ac:dyDescent="0.25">
      <c r="D154" s="8"/>
      <c r="E154" s="8"/>
      <c r="F154" s="3"/>
      <c r="G154" s="9"/>
      <c r="O154" s="3"/>
    </row>
    <row r="155" spans="4:15" x14ac:dyDescent="0.25">
      <c r="D155" s="8"/>
      <c r="E155" s="8"/>
      <c r="F155" s="3"/>
      <c r="G155" s="9"/>
      <c r="O155" s="3"/>
    </row>
    <row r="156" spans="4:15" x14ac:dyDescent="0.25">
      <c r="D156" s="8"/>
      <c r="E156" s="8"/>
      <c r="F156" s="3"/>
      <c r="G156" s="9"/>
      <c r="O156" s="3"/>
    </row>
    <row r="157" spans="4:15" x14ac:dyDescent="0.25">
      <c r="D157" s="8"/>
      <c r="E157" s="8"/>
      <c r="F157" s="3"/>
      <c r="G157" s="9"/>
      <c r="O157" s="3"/>
    </row>
    <row r="158" spans="4:15" x14ac:dyDescent="0.25">
      <c r="D158" s="8"/>
      <c r="E158" s="8"/>
      <c r="F158" s="3"/>
      <c r="G158" s="9"/>
      <c r="O158" s="3"/>
    </row>
    <row r="159" spans="4:15" x14ac:dyDescent="0.25">
      <c r="D159" s="8"/>
      <c r="E159" s="8"/>
      <c r="F159" s="3"/>
      <c r="G159" s="9"/>
      <c r="O159" s="3"/>
    </row>
    <row r="160" spans="4:15" x14ac:dyDescent="0.25">
      <c r="D160" s="8"/>
      <c r="E160" s="8"/>
      <c r="F160" s="3"/>
      <c r="G160" s="9"/>
      <c r="O160" s="3"/>
    </row>
    <row r="161" spans="4:15" x14ac:dyDescent="0.25">
      <c r="D161" s="8"/>
      <c r="E161" s="8"/>
      <c r="F161" s="3"/>
      <c r="G161" s="9"/>
      <c r="O161" s="3"/>
    </row>
    <row r="162" spans="4:15" x14ac:dyDescent="0.25">
      <c r="D162" s="8"/>
      <c r="E162" s="8"/>
      <c r="F162" s="3"/>
      <c r="G162" s="9"/>
      <c r="O162" s="3"/>
    </row>
    <row r="163" spans="4:15" x14ac:dyDescent="0.25">
      <c r="D163" s="8"/>
      <c r="E163" s="8"/>
      <c r="F163" s="3"/>
      <c r="G163" s="9"/>
      <c r="O163" s="3"/>
    </row>
    <row r="164" spans="4:15" x14ac:dyDescent="0.25">
      <c r="D164" s="8"/>
      <c r="E164" s="8"/>
      <c r="F164" s="3"/>
      <c r="G164" s="9"/>
      <c r="O164" s="3"/>
    </row>
    <row r="165" spans="4:15" x14ac:dyDescent="0.25">
      <c r="D165" s="8"/>
      <c r="E165" s="8"/>
      <c r="F165" s="3"/>
      <c r="G165" s="9"/>
      <c r="O165" s="3"/>
    </row>
    <row r="166" spans="4:15" x14ac:dyDescent="0.25">
      <c r="D166" s="8"/>
      <c r="E166" s="8"/>
      <c r="F166" s="3"/>
      <c r="G166" s="9"/>
      <c r="O166" s="3"/>
    </row>
    <row r="167" spans="4:15" x14ac:dyDescent="0.25">
      <c r="D167" s="8"/>
      <c r="E167" s="8"/>
      <c r="F167" s="3"/>
      <c r="G167" s="9"/>
      <c r="O167" s="3"/>
    </row>
    <row r="168" spans="4:15" x14ac:dyDescent="0.25">
      <c r="D168" s="8"/>
      <c r="E168" s="8"/>
      <c r="F168" s="3"/>
      <c r="G168" s="9"/>
      <c r="O168" s="3"/>
    </row>
    <row r="169" spans="4:15" x14ac:dyDescent="0.25">
      <c r="D169" s="8"/>
      <c r="E169" s="8"/>
      <c r="F169" s="3"/>
      <c r="G169" s="9"/>
      <c r="O169" s="3"/>
    </row>
    <row r="170" spans="4:15" x14ac:dyDescent="0.25">
      <c r="D170" s="8"/>
      <c r="E170" s="8"/>
      <c r="F170" s="3"/>
      <c r="G170" s="9"/>
      <c r="O170" s="3"/>
    </row>
    <row r="171" spans="4:15" x14ac:dyDescent="0.25">
      <c r="D171" s="8"/>
      <c r="E171" s="8"/>
      <c r="F171" s="3"/>
      <c r="G171" s="9"/>
      <c r="O171" s="3"/>
    </row>
    <row r="172" spans="4:15" x14ac:dyDescent="0.25">
      <c r="D172" s="8"/>
      <c r="E172" s="8"/>
      <c r="F172" s="3"/>
      <c r="G172" s="9"/>
      <c r="O172" s="3"/>
    </row>
    <row r="173" spans="4:15" x14ac:dyDescent="0.25">
      <c r="D173" s="8"/>
      <c r="E173" s="8"/>
      <c r="F173" s="3"/>
      <c r="G173" s="9"/>
      <c r="O173" s="3"/>
    </row>
    <row r="174" spans="4:15" x14ac:dyDescent="0.25">
      <c r="D174" s="8"/>
      <c r="E174" s="8"/>
      <c r="F174" s="3"/>
      <c r="G174" s="9"/>
      <c r="O174" s="3"/>
    </row>
    <row r="175" spans="4:15" x14ac:dyDescent="0.25">
      <c r="D175" s="8"/>
      <c r="E175" s="8"/>
      <c r="F175" s="3"/>
      <c r="G175" s="9"/>
      <c r="O175" s="3"/>
    </row>
    <row r="176" spans="4:15" x14ac:dyDescent="0.25">
      <c r="D176" s="8"/>
      <c r="E176" s="8"/>
      <c r="F176" s="3"/>
      <c r="G176" s="9"/>
      <c r="O176" s="3"/>
    </row>
    <row r="177" spans="4:15" x14ac:dyDescent="0.25">
      <c r="D177" s="8"/>
      <c r="E177" s="8"/>
      <c r="F177" s="3"/>
      <c r="O177" s="3"/>
    </row>
    <row r="178" spans="4:15" x14ac:dyDescent="0.25">
      <c r="D178" s="8"/>
      <c r="E178" s="8"/>
      <c r="F178" s="3"/>
      <c r="G178" s="9"/>
      <c r="O178" s="3"/>
    </row>
    <row r="179" spans="4:15" x14ac:dyDescent="0.25">
      <c r="D179" s="8"/>
      <c r="E179" s="8"/>
      <c r="F179" s="3"/>
      <c r="G179" s="9"/>
      <c r="O179" s="3"/>
    </row>
    <row r="180" spans="4:15" x14ac:dyDescent="0.25">
      <c r="D180" s="8"/>
      <c r="E180" s="8"/>
      <c r="F180" s="3"/>
      <c r="G180" s="9"/>
      <c r="O180" s="3"/>
    </row>
    <row r="181" spans="4:15" x14ac:dyDescent="0.25">
      <c r="D181" s="8"/>
      <c r="E181" s="8"/>
      <c r="F181" s="3"/>
      <c r="G181" s="9"/>
      <c r="O181" s="3"/>
    </row>
    <row r="182" spans="4:15" x14ac:dyDescent="0.25">
      <c r="D182" s="8"/>
      <c r="E182" s="8"/>
      <c r="F182" s="3"/>
      <c r="G182" s="9"/>
      <c r="O182" s="3"/>
    </row>
    <row r="183" spans="4:15" x14ac:dyDescent="0.25">
      <c r="D183" s="8"/>
      <c r="E183" s="8"/>
      <c r="F183" s="3"/>
      <c r="G183" s="9"/>
      <c r="O183" s="3"/>
    </row>
    <row r="184" spans="4:15" x14ac:dyDescent="0.25">
      <c r="D184" s="8"/>
      <c r="E184" s="8"/>
      <c r="F184" s="3"/>
      <c r="G184" s="9"/>
      <c r="O184" s="3"/>
    </row>
    <row r="185" spans="4:15" x14ac:dyDescent="0.25">
      <c r="D185" s="8"/>
      <c r="E185" s="8"/>
      <c r="F185" s="3"/>
      <c r="G185" s="9"/>
      <c r="O185" s="3"/>
    </row>
    <row r="186" spans="4:15" x14ac:dyDescent="0.25">
      <c r="D186" s="8"/>
      <c r="E186" s="8"/>
      <c r="F186" s="3"/>
      <c r="G186" s="9"/>
      <c r="O186" s="3"/>
    </row>
    <row r="187" spans="4:15" x14ac:dyDescent="0.25">
      <c r="D187" s="8"/>
      <c r="E187" s="8"/>
      <c r="F187" s="3"/>
      <c r="G187" s="9"/>
      <c r="O187" s="3"/>
    </row>
    <row r="188" spans="4:15" x14ac:dyDescent="0.25">
      <c r="D188" s="8"/>
      <c r="E188" s="8"/>
      <c r="F188" s="3"/>
      <c r="G188" s="9"/>
      <c r="O188" s="3"/>
    </row>
    <row r="189" spans="4:15" x14ac:dyDescent="0.25">
      <c r="D189" s="8"/>
      <c r="E189" s="8"/>
      <c r="F189" s="3"/>
      <c r="G189" s="9"/>
      <c r="O189" s="3"/>
    </row>
    <row r="190" spans="4:15" x14ac:dyDescent="0.25">
      <c r="D190" s="8"/>
      <c r="E190" s="8"/>
      <c r="F190" s="3"/>
      <c r="G190" s="9"/>
      <c r="O190" s="3"/>
    </row>
    <row r="191" spans="4:15" x14ac:dyDescent="0.25">
      <c r="D191" s="8"/>
      <c r="E191" s="8"/>
      <c r="F191" s="3"/>
      <c r="G191" s="9"/>
      <c r="O191" s="3"/>
    </row>
    <row r="192" spans="4:15" x14ac:dyDescent="0.25">
      <c r="D192" s="8"/>
      <c r="E192" s="8"/>
      <c r="F192" s="3"/>
      <c r="G192" s="9"/>
      <c r="O192" s="3"/>
    </row>
    <row r="193" spans="4:15" x14ac:dyDescent="0.25">
      <c r="D193" s="8"/>
      <c r="E193" s="8"/>
      <c r="F193" s="3"/>
      <c r="G193" s="9"/>
      <c r="O193" s="3"/>
    </row>
    <row r="194" spans="4:15" x14ac:dyDescent="0.25">
      <c r="D194" s="8"/>
      <c r="E194" s="8"/>
      <c r="F194" s="3"/>
      <c r="G194" s="9"/>
      <c r="O194" s="3"/>
    </row>
    <row r="195" spans="4:15" x14ac:dyDescent="0.25">
      <c r="D195" s="8"/>
      <c r="E195" s="8"/>
      <c r="F195" s="3"/>
      <c r="G195" s="9"/>
      <c r="O195" s="3"/>
    </row>
    <row r="196" spans="4:15" x14ac:dyDescent="0.25">
      <c r="D196" s="8"/>
      <c r="E196" s="8"/>
      <c r="F196" s="3"/>
      <c r="G196" s="9"/>
      <c r="O196" s="3"/>
    </row>
    <row r="197" spans="4:15" x14ac:dyDescent="0.25">
      <c r="D197" s="8"/>
      <c r="E197" s="8"/>
      <c r="F197" s="3"/>
      <c r="G197" s="9"/>
      <c r="O197" s="3"/>
    </row>
    <row r="198" spans="4:15" x14ac:dyDescent="0.25">
      <c r="D198" s="8"/>
      <c r="E198" s="8"/>
      <c r="F198" s="3"/>
      <c r="G198" s="9"/>
      <c r="O198" s="3"/>
    </row>
    <row r="199" spans="4:15" x14ac:dyDescent="0.25">
      <c r="D199" s="8"/>
      <c r="E199" s="8"/>
      <c r="F199" s="3"/>
      <c r="G199" s="9"/>
      <c r="O199" s="3"/>
    </row>
    <row r="200" spans="4:15" x14ac:dyDescent="0.25">
      <c r="D200" s="8"/>
      <c r="E200" s="8"/>
      <c r="F200" s="3"/>
      <c r="G200" s="9"/>
      <c r="O200" s="3"/>
    </row>
    <row r="201" spans="4:15" x14ac:dyDescent="0.25">
      <c r="D201" s="8"/>
      <c r="E201" s="8"/>
      <c r="F201" s="3"/>
      <c r="G201" s="9"/>
      <c r="O201" s="3"/>
    </row>
    <row r="202" spans="4:15" x14ac:dyDescent="0.25">
      <c r="D202" s="8"/>
      <c r="E202" s="8"/>
      <c r="F202" s="3"/>
      <c r="O202" s="3"/>
    </row>
    <row r="203" spans="4:15" x14ac:dyDescent="0.25">
      <c r="D203" s="8"/>
      <c r="E203" s="8"/>
      <c r="F203" s="3"/>
      <c r="G203" s="9"/>
      <c r="O203" s="3"/>
    </row>
    <row r="204" spans="4:15" x14ac:dyDescent="0.25">
      <c r="D204" s="8"/>
      <c r="E204" s="8"/>
      <c r="F204" s="3"/>
      <c r="G204" s="9"/>
      <c r="O204" s="3"/>
    </row>
    <row r="205" spans="4:15" x14ac:dyDescent="0.25">
      <c r="D205" s="8"/>
      <c r="E205" s="8"/>
      <c r="F205" s="3"/>
      <c r="G205" s="9"/>
      <c r="O205" s="3"/>
    </row>
    <row r="206" spans="4:15" x14ac:dyDescent="0.25">
      <c r="D206" s="8"/>
      <c r="E206" s="8"/>
      <c r="F206" s="3"/>
      <c r="G206" s="9"/>
      <c r="O206" s="3"/>
    </row>
    <row r="207" spans="4:15" x14ac:dyDescent="0.25">
      <c r="D207" s="8"/>
      <c r="E207" s="8"/>
      <c r="F207" s="3"/>
      <c r="G207" s="9"/>
      <c r="O207" s="3"/>
    </row>
    <row r="208" spans="4:15" x14ac:dyDescent="0.25">
      <c r="D208" s="8"/>
      <c r="E208" s="8"/>
      <c r="F208" s="3"/>
      <c r="G208" s="9"/>
      <c r="O208" s="3"/>
    </row>
    <row r="209" spans="4:15" x14ac:dyDescent="0.25">
      <c r="D209" s="8"/>
      <c r="E209" s="8"/>
      <c r="F209" s="3"/>
      <c r="G209" s="9"/>
      <c r="O209" s="3"/>
    </row>
    <row r="210" spans="4:15" x14ac:dyDescent="0.25">
      <c r="D210" s="8"/>
      <c r="E210" s="8"/>
      <c r="F210" s="3"/>
      <c r="G210" s="9"/>
      <c r="O210" s="3"/>
    </row>
    <row r="211" spans="4:15" x14ac:dyDescent="0.25">
      <c r="D211" s="8"/>
      <c r="E211" s="8"/>
      <c r="F211" s="3"/>
      <c r="G211" s="9"/>
      <c r="O211" s="3"/>
    </row>
    <row r="212" spans="4:15" x14ac:dyDescent="0.25">
      <c r="D212" s="8"/>
      <c r="E212" s="8"/>
      <c r="F212" s="3"/>
      <c r="G212" s="9"/>
      <c r="O212" s="3"/>
    </row>
    <row r="213" spans="4:15" x14ac:dyDescent="0.25">
      <c r="D213" s="8"/>
      <c r="E213" s="8"/>
      <c r="F213" s="3"/>
      <c r="G213" s="9"/>
      <c r="O213" s="3"/>
    </row>
    <row r="214" spans="4:15" x14ac:dyDescent="0.25">
      <c r="D214" s="8"/>
      <c r="E214" s="8"/>
      <c r="F214" s="3"/>
      <c r="G214" s="9"/>
      <c r="O214" s="3"/>
    </row>
    <row r="215" spans="4:15" x14ac:dyDescent="0.25">
      <c r="D215" s="8"/>
      <c r="E215" s="8"/>
      <c r="F215" s="3"/>
      <c r="G215" s="9"/>
      <c r="O215" s="3"/>
    </row>
    <row r="216" spans="4:15" x14ac:dyDescent="0.25">
      <c r="D216" s="8"/>
      <c r="E216" s="8"/>
      <c r="F216" s="3"/>
      <c r="G216" s="9"/>
      <c r="O216" s="3"/>
    </row>
    <row r="217" spans="4:15" x14ac:dyDescent="0.25">
      <c r="D217" s="8"/>
      <c r="E217" s="8"/>
      <c r="F217" s="3"/>
      <c r="G217" s="9"/>
      <c r="O217" s="3"/>
    </row>
    <row r="218" spans="4:15" x14ac:dyDescent="0.25">
      <c r="D218" s="8"/>
      <c r="E218" s="8"/>
      <c r="F218" s="3"/>
      <c r="G218" s="9"/>
      <c r="O218" s="3"/>
    </row>
    <row r="219" spans="4:15" x14ac:dyDescent="0.25">
      <c r="D219" s="8"/>
      <c r="E219" s="8"/>
      <c r="F219" s="3"/>
      <c r="G219" s="9"/>
      <c r="O219" s="3"/>
    </row>
    <row r="220" spans="4:15" x14ac:dyDescent="0.25">
      <c r="D220" s="8"/>
      <c r="E220" s="8"/>
      <c r="F220" s="3"/>
      <c r="G220" s="9"/>
      <c r="O220" s="3"/>
    </row>
    <row r="221" spans="4:15" x14ac:dyDescent="0.25">
      <c r="D221" s="8"/>
      <c r="E221" s="8"/>
      <c r="F221" s="3"/>
      <c r="G221" s="9"/>
      <c r="O221" s="3"/>
    </row>
    <row r="222" spans="4:15" x14ac:dyDescent="0.25">
      <c r="D222" s="8"/>
      <c r="E222" s="8"/>
      <c r="F222" s="3"/>
      <c r="G222" s="9"/>
      <c r="O222" s="3"/>
    </row>
    <row r="223" spans="4:15" x14ac:dyDescent="0.25">
      <c r="D223" s="8"/>
      <c r="E223" s="8"/>
      <c r="F223" s="3"/>
      <c r="G223" s="9"/>
      <c r="O223" s="3"/>
    </row>
    <row r="224" spans="4:15" x14ac:dyDescent="0.25">
      <c r="D224" s="8"/>
      <c r="E224" s="8"/>
      <c r="F224" s="3"/>
      <c r="G224" s="9"/>
      <c r="O224" s="3"/>
    </row>
    <row r="225" spans="4:15" x14ac:dyDescent="0.25">
      <c r="D225" s="8"/>
      <c r="E225" s="8"/>
      <c r="F225" s="3"/>
      <c r="G225" s="9"/>
      <c r="O225" s="3"/>
    </row>
    <row r="226" spans="4:15" x14ac:dyDescent="0.25">
      <c r="D226" s="8"/>
      <c r="E226" s="8"/>
      <c r="F226" s="3"/>
      <c r="G226" s="9"/>
      <c r="O226" s="3"/>
    </row>
    <row r="227" spans="4:15" x14ac:dyDescent="0.25">
      <c r="D227" s="8"/>
      <c r="E227" s="8"/>
      <c r="F227" s="3"/>
      <c r="O227" s="3"/>
    </row>
    <row r="228" spans="4:15" x14ac:dyDescent="0.25">
      <c r="D228" s="8"/>
      <c r="E228" s="8"/>
      <c r="F228" s="3"/>
      <c r="G228" s="9"/>
      <c r="O228" s="3"/>
    </row>
    <row r="229" spans="4:15" x14ac:dyDescent="0.25">
      <c r="D229" s="8"/>
      <c r="E229" s="8"/>
      <c r="F229" s="3"/>
      <c r="G229" s="9"/>
      <c r="O229" s="3"/>
    </row>
    <row r="230" spans="4:15" x14ac:dyDescent="0.25">
      <c r="D230" s="8"/>
      <c r="E230" s="8"/>
      <c r="F230" s="3"/>
      <c r="G230" s="9"/>
      <c r="O230" s="3"/>
    </row>
    <row r="231" spans="4:15" x14ac:dyDescent="0.25">
      <c r="D231" s="8"/>
      <c r="E231" s="8"/>
      <c r="F231" s="3"/>
      <c r="G231" s="9"/>
      <c r="O231" s="3"/>
    </row>
    <row r="232" spans="4:15" x14ac:dyDescent="0.25">
      <c r="D232" s="8"/>
      <c r="E232" s="8"/>
      <c r="F232" s="3"/>
      <c r="G232" s="9"/>
      <c r="O232" s="3"/>
    </row>
    <row r="233" spans="4:15" x14ac:dyDescent="0.25">
      <c r="D233" s="8"/>
      <c r="E233" s="8"/>
      <c r="F233" s="3"/>
      <c r="G233" s="9"/>
      <c r="O233" s="3"/>
    </row>
    <row r="234" spans="4:15" x14ac:dyDescent="0.25">
      <c r="D234" s="8"/>
      <c r="E234" s="8"/>
      <c r="F234" s="3"/>
      <c r="G234" s="9"/>
      <c r="O234" s="3"/>
    </row>
    <row r="235" spans="4:15" x14ac:dyDescent="0.25">
      <c r="D235" s="8"/>
      <c r="E235" s="8"/>
      <c r="F235" s="3"/>
      <c r="G235" s="9"/>
      <c r="O235" s="3"/>
    </row>
    <row r="236" spans="4:15" x14ac:dyDescent="0.25">
      <c r="D236" s="8"/>
      <c r="E236" s="8"/>
      <c r="F236" s="3"/>
      <c r="G236" s="9"/>
      <c r="O236" s="3"/>
    </row>
    <row r="237" spans="4:15" x14ac:dyDescent="0.25">
      <c r="D237" s="8"/>
      <c r="E237" s="8"/>
      <c r="F237" s="3"/>
      <c r="G237" s="9"/>
      <c r="O237" s="3"/>
    </row>
    <row r="238" spans="4:15" x14ac:dyDescent="0.25">
      <c r="D238" s="8"/>
      <c r="E238" s="8"/>
      <c r="F238" s="3"/>
      <c r="G238" s="9"/>
      <c r="O238" s="3"/>
    </row>
    <row r="239" spans="4:15" x14ac:dyDescent="0.25">
      <c r="D239" s="8"/>
      <c r="E239" s="8"/>
      <c r="F239" s="3"/>
      <c r="G239" s="9"/>
      <c r="O239" s="3"/>
    </row>
    <row r="240" spans="4:15" x14ac:dyDescent="0.25">
      <c r="D240" s="8"/>
      <c r="E240" s="8"/>
      <c r="F240" s="3"/>
      <c r="G240" s="9"/>
      <c r="O240" s="3"/>
    </row>
    <row r="241" spans="4:15" x14ac:dyDescent="0.25">
      <c r="D241" s="8"/>
      <c r="E241" s="8"/>
      <c r="F241" s="3"/>
      <c r="G241" s="9"/>
      <c r="O241" s="3"/>
    </row>
    <row r="242" spans="4:15" x14ac:dyDescent="0.25">
      <c r="D242" s="8"/>
      <c r="E242" s="8"/>
      <c r="F242" s="3"/>
      <c r="G242" s="9"/>
      <c r="O242" s="3"/>
    </row>
    <row r="243" spans="4:15" x14ac:dyDescent="0.25">
      <c r="D243" s="8"/>
      <c r="E243" s="8"/>
      <c r="F243" s="3"/>
      <c r="G243" s="9"/>
      <c r="O243" s="3"/>
    </row>
    <row r="244" spans="4:15" x14ac:dyDescent="0.25">
      <c r="D244" s="8"/>
      <c r="E244" s="8"/>
      <c r="F244" s="3"/>
      <c r="G244" s="9"/>
      <c r="O244" s="3"/>
    </row>
    <row r="245" spans="4:15" x14ac:dyDescent="0.25">
      <c r="D245" s="8"/>
      <c r="E245" s="8"/>
      <c r="F245" s="3"/>
      <c r="G245" s="9"/>
      <c r="O245" s="3"/>
    </row>
    <row r="246" spans="4:15" x14ac:dyDescent="0.25">
      <c r="D246" s="8"/>
      <c r="E246" s="8"/>
      <c r="F246" s="3"/>
      <c r="G246" s="9"/>
      <c r="O246" s="3"/>
    </row>
    <row r="247" spans="4:15" x14ac:dyDescent="0.25">
      <c r="D247" s="8"/>
      <c r="E247" s="8"/>
      <c r="F247" s="3"/>
      <c r="G247" s="9"/>
      <c r="O247" s="3"/>
    </row>
    <row r="248" spans="4:15" x14ac:dyDescent="0.25">
      <c r="D248" s="8"/>
      <c r="E248" s="8"/>
      <c r="F248" s="3"/>
      <c r="G248" s="9"/>
      <c r="O248" s="3"/>
    </row>
    <row r="249" spans="4:15" x14ac:dyDescent="0.25">
      <c r="D249" s="8"/>
      <c r="E249" s="8"/>
      <c r="F249" s="3"/>
      <c r="G249" s="9"/>
      <c r="O249" s="3"/>
    </row>
    <row r="250" spans="4:15" x14ac:dyDescent="0.25">
      <c r="D250" s="8"/>
      <c r="E250" s="8"/>
      <c r="F250" s="3"/>
      <c r="G250" s="9"/>
      <c r="O250" s="3"/>
    </row>
    <row r="251" spans="4:15" x14ac:dyDescent="0.25">
      <c r="D251" s="8"/>
      <c r="E251" s="8"/>
      <c r="F251" s="3"/>
      <c r="G251" s="9"/>
      <c r="O251" s="3"/>
    </row>
    <row r="252" spans="4:15" x14ac:dyDescent="0.25">
      <c r="D252" s="8"/>
      <c r="E252" s="8"/>
      <c r="F252" s="3"/>
      <c r="O252" s="3"/>
    </row>
    <row r="253" spans="4:15" x14ac:dyDescent="0.25">
      <c r="D253" s="8"/>
      <c r="E253" s="8"/>
      <c r="F253" s="3"/>
      <c r="G253" s="9"/>
      <c r="O253" s="3"/>
    </row>
    <row r="254" spans="4:15" x14ac:dyDescent="0.25">
      <c r="D254" s="8"/>
      <c r="E254" s="8"/>
      <c r="F254" s="3"/>
      <c r="G254" s="9"/>
      <c r="O254" s="3"/>
    </row>
    <row r="255" spans="4:15" x14ac:dyDescent="0.25">
      <c r="D255" s="8"/>
      <c r="E255" s="8"/>
      <c r="F255" s="3"/>
      <c r="G255" s="9"/>
      <c r="O255" s="3"/>
    </row>
    <row r="256" spans="4:15" x14ac:dyDescent="0.25">
      <c r="D256" s="8"/>
      <c r="E256" s="8"/>
      <c r="F256" s="3"/>
      <c r="G256" s="9"/>
      <c r="O256" s="3"/>
    </row>
    <row r="257" spans="4:15" x14ac:dyDescent="0.25">
      <c r="D257" s="8"/>
      <c r="E257" s="8"/>
      <c r="F257" s="3"/>
      <c r="G257" s="9"/>
      <c r="O257" s="3"/>
    </row>
    <row r="258" spans="4:15" x14ac:dyDescent="0.25">
      <c r="D258" s="8"/>
      <c r="E258" s="8"/>
      <c r="F258" s="3"/>
      <c r="G258" s="9"/>
      <c r="O258" s="3"/>
    </row>
    <row r="259" spans="4:15" x14ac:dyDescent="0.25">
      <c r="D259" s="8"/>
      <c r="E259" s="8"/>
      <c r="F259" s="3"/>
      <c r="G259" s="9"/>
      <c r="O259" s="3"/>
    </row>
    <row r="260" spans="4:15" x14ac:dyDescent="0.25">
      <c r="D260" s="8"/>
      <c r="E260" s="8"/>
      <c r="F260" s="3"/>
      <c r="G260" s="9"/>
      <c r="O260" s="3"/>
    </row>
    <row r="261" spans="4:15" x14ac:dyDescent="0.25">
      <c r="D261" s="8"/>
      <c r="E261" s="8"/>
      <c r="F261" s="3"/>
      <c r="G261" s="9"/>
      <c r="O261" s="3"/>
    </row>
    <row r="262" spans="4:15" x14ac:dyDescent="0.25">
      <c r="D262" s="8"/>
      <c r="E262" s="8"/>
      <c r="F262" s="3"/>
      <c r="G262" s="9"/>
      <c r="O262" s="3"/>
    </row>
    <row r="263" spans="4:15" x14ac:dyDescent="0.25">
      <c r="D263" s="8"/>
      <c r="E263" s="8"/>
      <c r="F263" s="3"/>
      <c r="G263" s="9"/>
      <c r="O263" s="3"/>
    </row>
    <row r="264" spans="4:15" x14ac:dyDescent="0.25">
      <c r="D264" s="8"/>
      <c r="E264" s="8"/>
      <c r="F264" s="3"/>
      <c r="G264" s="9"/>
      <c r="O264" s="3"/>
    </row>
    <row r="265" spans="4:15" x14ac:dyDescent="0.25">
      <c r="D265" s="8"/>
      <c r="E265" s="8"/>
      <c r="F265" s="3"/>
      <c r="G265" s="9"/>
      <c r="O265" s="3"/>
    </row>
    <row r="266" spans="4:15" x14ac:dyDescent="0.25">
      <c r="D266" s="8"/>
      <c r="E266" s="8"/>
      <c r="F266" s="3"/>
      <c r="G266" s="9"/>
      <c r="O266" s="3"/>
    </row>
    <row r="267" spans="4:15" x14ac:dyDescent="0.25">
      <c r="D267" s="8"/>
      <c r="E267" s="8"/>
      <c r="F267" s="3"/>
      <c r="G267" s="9"/>
      <c r="O267" s="3"/>
    </row>
    <row r="268" spans="4:15" x14ac:dyDescent="0.25">
      <c r="D268" s="8"/>
      <c r="E268" s="8"/>
      <c r="F268" s="3"/>
      <c r="G268" s="9"/>
      <c r="O268" s="3"/>
    </row>
    <row r="269" spans="4:15" x14ac:dyDescent="0.25">
      <c r="D269" s="8"/>
      <c r="E269" s="8"/>
      <c r="F269" s="3"/>
      <c r="G269" s="9"/>
      <c r="O269" s="3"/>
    </row>
    <row r="270" spans="4:15" x14ac:dyDescent="0.25">
      <c r="D270" s="8"/>
      <c r="E270" s="8"/>
      <c r="F270" s="3"/>
      <c r="G270" s="9"/>
      <c r="O270" s="3"/>
    </row>
    <row r="271" spans="4:15" x14ac:dyDescent="0.25">
      <c r="D271" s="8"/>
      <c r="E271" s="8"/>
      <c r="F271" s="3"/>
      <c r="G271" s="9"/>
      <c r="O271" s="3"/>
    </row>
    <row r="272" spans="4:15" x14ac:dyDescent="0.25">
      <c r="D272" s="8"/>
      <c r="E272" s="8"/>
      <c r="F272" s="3"/>
      <c r="G272" s="9"/>
      <c r="O272" s="3"/>
    </row>
    <row r="273" spans="4:15" x14ac:dyDescent="0.25">
      <c r="D273" s="8"/>
      <c r="E273" s="8"/>
      <c r="F273" s="3"/>
      <c r="G273" s="9"/>
      <c r="O273" s="3"/>
    </row>
    <row r="274" spans="4:15" x14ac:dyDescent="0.25">
      <c r="D274" s="8"/>
      <c r="E274" s="8"/>
      <c r="F274" s="3"/>
      <c r="G274" s="9"/>
      <c r="O274" s="3"/>
    </row>
    <row r="275" spans="4:15" x14ac:dyDescent="0.25">
      <c r="D275" s="8"/>
      <c r="E275" s="8"/>
      <c r="F275" s="3"/>
      <c r="G275" s="9"/>
      <c r="O275" s="3"/>
    </row>
    <row r="276" spans="4:15" x14ac:dyDescent="0.25">
      <c r="D276" s="8"/>
      <c r="E276" s="8"/>
      <c r="F276" s="3"/>
      <c r="G276" s="9"/>
      <c r="O276" s="3"/>
    </row>
    <row r="277" spans="4:15" x14ac:dyDescent="0.25">
      <c r="D277" s="8"/>
      <c r="E277" s="8"/>
      <c r="F277" s="3"/>
      <c r="O277" s="3"/>
    </row>
    <row r="278" spans="4:15" x14ac:dyDescent="0.25">
      <c r="D278" s="8"/>
      <c r="E278" s="8"/>
      <c r="F278" s="3"/>
      <c r="G278" s="9"/>
      <c r="O278" s="3"/>
    </row>
    <row r="279" spans="4:15" x14ac:dyDescent="0.25">
      <c r="D279" s="8"/>
      <c r="E279" s="8"/>
      <c r="F279" s="3"/>
      <c r="G279" s="9"/>
      <c r="O279" s="3"/>
    </row>
    <row r="280" spans="4:15" x14ac:dyDescent="0.25">
      <c r="D280" s="8"/>
      <c r="E280" s="8"/>
      <c r="F280" s="3"/>
      <c r="G280" s="9"/>
      <c r="O280" s="3"/>
    </row>
    <row r="281" spans="4:15" x14ac:dyDescent="0.25">
      <c r="D281" s="8"/>
      <c r="E281" s="8"/>
      <c r="F281" s="3"/>
      <c r="G281" s="9"/>
      <c r="O281" s="3"/>
    </row>
    <row r="282" spans="4:15" x14ac:dyDescent="0.25">
      <c r="D282" s="8"/>
      <c r="E282" s="8"/>
      <c r="F282" s="3"/>
      <c r="G282" s="9"/>
      <c r="O282" s="3"/>
    </row>
    <row r="283" spans="4:15" x14ac:dyDescent="0.25">
      <c r="D283" s="8"/>
      <c r="E283" s="8"/>
      <c r="F283" s="3"/>
      <c r="G283" s="9"/>
      <c r="O283" s="3"/>
    </row>
    <row r="284" spans="4:15" x14ac:dyDescent="0.25">
      <c r="D284" s="8"/>
      <c r="E284" s="8"/>
      <c r="F284" s="3"/>
      <c r="G284" s="9"/>
      <c r="O284" s="3"/>
    </row>
    <row r="285" spans="4:15" x14ac:dyDescent="0.25">
      <c r="D285" s="8"/>
      <c r="E285" s="8"/>
      <c r="F285" s="3"/>
      <c r="G285" s="9"/>
      <c r="O285" s="3"/>
    </row>
    <row r="286" spans="4:15" x14ac:dyDescent="0.25">
      <c r="D286" s="8"/>
      <c r="E286" s="8"/>
      <c r="F286" s="3"/>
      <c r="G286" s="9"/>
      <c r="O286" s="3"/>
    </row>
    <row r="287" spans="4:15" x14ac:dyDescent="0.25">
      <c r="D287" s="8"/>
      <c r="E287" s="8"/>
      <c r="F287" s="3"/>
      <c r="G287" s="9"/>
      <c r="O287" s="3"/>
    </row>
    <row r="288" spans="4:15" x14ac:dyDescent="0.25">
      <c r="D288" s="8"/>
      <c r="E288" s="8"/>
      <c r="F288" s="3"/>
      <c r="G288" s="9"/>
      <c r="O288" s="3"/>
    </row>
    <row r="289" spans="4:15" x14ac:dyDescent="0.25">
      <c r="D289" s="8"/>
      <c r="E289" s="8"/>
      <c r="F289" s="3"/>
      <c r="G289" s="9"/>
      <c r="O289" s="3"/>
    </row>
    <row r="290" spans="4:15" x14ac:dyDescent="0.25">
      <c r="D290" s="8"/>
      <c r="E290" s="8"/>
      <c r="F290" s="3"/>
      <c r="G290" s="9"/>
      <c r="O290" s="3"/>
    </row>
    <row r="291" spans="4:15" x14ac:dyDescent="0.25">
      <c r="D291" s="8"/>
      <c r="E291" s="8"/>
      <c r="F291" s="3"/>
      <c r="G291" s="9"/>
      <c r="O291" s="3"/>
    </row>
    <row r="292" spans="4:15" x14ac:dyDescent="0.25">
      <c r="D292" s="8"/>
      <c r="E292" s="8"/>
      <c r="F292" s="3"/>
      <c r="G292" s="9"/>
      <c r="O292" s="3"/>
    </row>
    <row r="293" spans="4:15" x14ac:dyDescent="0.25">
      <c r="D293" s="8"/>
      <c r="E293" s="8"/>
      <c r="F293" s="3"/>
      <c r="G293" s="9"/>
      <c r="O293" s="3"/>
    </row>
    <row r="294" spans="4:15" x14ac:dyDescent="0.25">
      <c r="D294" s="8"/>
      <c r="E294" s="8"/>
      <c r="F294" s="3"/>
      <c r="G294" s="9"/>
      <c r="O294" s="3"/>
    </row>
    <row r="295" spans="4:15" x14ac:dyDescent="0.25">
      <c r="D295" s="8"/>
      <c r="E295" s="8"/>
      <c r="F295" s="3"/>
      <c r="G295" s="9"/>
      <c r="O295" s="3"/>
    </row>
    <row r="296" spans="4:15" x14ac:dyDescent="0.25">
      <c r="D296" s="8"/>
      <c r="E296" s="8"/>
      <c r="F296" s="3"/>
      <c r="G296" s="9"/>
      <c r="O296" s="3"/>
    </row>
    <row r="297" spans="4:15" x14ac:dyDescent="0.25">
      <c r="D297" s="8"/>
      <c r="E297" s="8"/>
      <c r="F297" s="3"/>
      <c r="G297" s="9"/>
      <c r="O297" s="3"/>
    </row>
    <row r="298" spans="4:15" x14ac:dyDescent="0.25">
      <c r="D298" s="8"/>
      <c r="E298" s="8"/>
      <c r="F298" s="3"/>
      <c r="G298" s="9"/>
      <c r="O298" s="3"/>
    </row>
    <row r="299" spans="4:15" x14ac:dyDescent="0.25">
      <c r="D299" s="8"/>
      <c r="E299" s="8"/>
      <c r="F299" s="3"/>
      <c r="G299" s="9"/>
      <c r="O299" s="3"/>
    </row>
    <row r="300" spans="4:15" x14ac:dyDescent="0.25">
      <c r="D300" s="8"/>
      <c r="E300" s="8"/>
      <c r="F300" s="3"/>
      <c r="G300" s="9"/>
      <c r="O300" s="3"/>
    </row>
    <row r="301" spans="4:15" x14ac:dyDescent="0.25">
      <c r="D301" s="8"/>
      <c r="E301" s="8"/>
      <c r="F301" s="3"/>
      <c r="G301" s="9"/>
      <c r="O301" s="3"/>
    </row>
    <row r="302" spans="4:15" x14ac:dyDescent="0.25">
      <c r="D302" s="8"/>
      <c r="E302" s="8"/>
      <c r="F302" s="3"/>
      <c r="O302" s="3"/>
    </row>
    <row r="303" spans="4:15" x14ac:dyDescent="0.25">
      <c r="D303" s="8"/>
      <c r="E303" s="8"/>
      <c r="F303" s="3"/>
      <c r="G303" s="9"/>
      <c r="O303" s="3"/>
    </row>
    <row r="304" spans="4:15" x14ac:dyDescent="0.25">
      <c r="D304" s="8"/>
      <c r="E304" s="8"/>
      <c r="F304" s="3"/>
      <c r="G304" s="9"/>
      <c r="O304" s="3"/>
    </row>
    <row r="305" spans="4:15" x14ac:dyDescent="0.25">
      <c r="D305" s="8"/>
      <c r="E305" s="8"/>
      <c r="F305" s="3"/>
      <c r="G305" s="9"/>
      <c r="O305" s="3"/>
    </row>
    <row r="306" spans="4:15" x14ac:dyDescent="0.25">
      <c r="D306" s="8"/>
      <c r="E306" s="8"/>
      <c r="F306" s="3"/>
      <c r="G306" s="9"/>
      <c r="O306" s="3"/>
    </row>
    <row r="307" spans="4:15" x14ac:dyDescent="0.25">
      <c r="D307" s="8"/>
      <c r="E307" s="8"/>
      <c r="F307" s="3"/>
      <c r="G307" s="9"/>
      <c r="O307" s="3"/>
    </row>
    <row r="308" spans="4:15" x14ac:dyDescent="0.25">
      <c r="D308" s="8"/>
      <c r="E308" s="8"/>
      <c r="F308" s="3"/>
      <c r="G308" s="9"/>
      <c r="O308" s="3"/>
    </row>
    <row r="309" spans="4:15" x14ac:dyDescent="0.25">
      <c r="D309" s="8"/>
      <c r="E309" s="8"/>
      <c r="F309" s="3"/>
      <c r="G309" s="9"/>
      <c r="O309" s="3"/>
    </row>
    <row r="310" spans="4:15" x14ac:dyDescent="0.25">
      <c r="D310" s="8"/>
      <c r="E310" s="8"/>
      <c r="F310" s="3"/>
      <c r="G310" s="9"/>
      <c r="O310" s="3"/>
    </row>
    <row r="311" spans="4:15" x14ac:dyDescent="0.25">
      <c r="D311" s="8"/>
      <c r="E311" s="8"/>
      <c r="F311" s="3"/>
      <c r="G311" s="9"/>
      <c r="O311" s="3"/>
    </row>
    <row r="312" spans="4:15" x14ac:dyDescent="0.25">
      <c r="D312" s="8"/>
      <c r="E312" s="8"/>
      <c r="F312" s="3"/>
      <c r="G312" s="9"/>
      <c r="O312" s="3"/>
    </row>
    <row r="313" spans="4:15" x14ac:dyDescent="0.25">
      <c r="D313" s="8"/>
      <c r="E313" s="8"/>
      <c r="F313" s="3"/>
      <c r="G313" s="9"/>
      <c r="O313" s="3"/>
    </row>
    <row r="314" spans="4:15" x14ac:dyDescent="0.25">
      <c r="D314" s="8"/>
      <c r="E314" s="8"/>
      <c r="F314" s="3"/>
      <c r="G314" s="9"/>
      <c r="O314" s="3"/>
    </row>
    <row r="315" spans="4:15" x14ac:dyDescent="0.25">
      <c r="D315" s="8"/>
      <c r="E315" s="8"/>
      <c r="F315" s="3"/>
      <c r="G315" s="9"/>
      <c r="O315" s="3"/>
    </row>
    <row r="316" spans="4:15" x14ac:dyDescent="0.25">
      <c r="D316" s="8"/>
      <c r="E316" s="8"/>
      <c r="F316" s="3"/>
      <c r="G316" s="9"/>
      <c r="O316" s="3"/>
    </row>
    <row r="317" spans="4:15" x14ac:dyDescent="0.25">
      <c r="D317" s="8"/>
      <c r="E317" s="8"/>
      <c r="F317" s="3"/>
      <c r="G317" s="9"/>
      <c r="O317" s="3"/>
    </row>
    <row r="318" spans="4:15" x14ac:dyDescent="0.25">
      <c r="D318" s="8"/>
      <c r="E318" s="8"/>
      <c r="F318" s="3"/>
      <c r="G318" s="9"/>
      <c r="O318" s="3"/>
    </row>
    <row r="319" spans="4:15" x14ac:dyDescent="0.25">
      <c r="D319" s="8"/>
      <c r="E319" s="8"/>
      <c r="F319" s="3"/>
      <c r="G319" s="9"/>
      <c r="O319" s="3"/>
    </row>
    <row r="320" spans="4:15" x14ac:dyDescent="0.25">
      <c r="D320" s="8"/>
      <c r="E320" s="8"/>
      <c r="F320" s="3"/>
      <c r="G320" s="9"/>
      <c r="O320" s="3"/>
    </row>
    <row r="321" spans="4:15" x14ac:dyDescent="0.25">
      <c r="D321" s="8"/>
      <c r="E321" s="8"/>
      <c r="F321" s="3"/>
      <c r="G321" s="9"/>
      <c r="O321" s="3"/>
    </row>
    <row r="322" spans="4:15" x14ac:dyDescent="0.25">
      <c r="D322" s="8"/>
      <c r="E322" s="8"/>
      <c r="F322" s="3"/>
      <c r="G322" s="9"/>
      <c r="O322" s="3"/>
    </row>
    <row r="323" spans="4:15" x14ac:dyDescent="0.25">
      <c r="D323" s="8"/>
      <c r="E323" s="8"/>
      <c r="F323" s="3"/>
      <c r="G323" s="9"/>
      <c r="O323" s="3"/>
    </row>
    <row r="324" spans="4:15" x14ac:dyDescent="0.25">
      <c r="D324" s="8"/>
      <c r="E324" s="8"/>
      <c r="F324" s="3"/>
      <c r="G324" s="9"/>
      <c r="O324" s="3"/>
    </row>
    <row r="325" spans="4:15" x14ac:dyDescent="0.25">
      <c r="D325" s="8"/>
      <c r="E325" s="8"/>
      <c r="F325" s="3"/>
      <c r="G325" s="9"/>
      <c r="O325" s="3"/>
    </row>
    <row r="326" spans="4:15" x14ac:dyDescent="0.25">
      <c r="D326" s="8"/>
      <c r="E326" s="8"/>
      <c r="F326" s="3"/>
      <c r="G326" s="9"/>
      <c r="O326" s="3"/>
    </row>
    <row r="327" spans="4:15" x14ac:dyDescent="0.25">
      <c r="D327" s="8"/>
      <c r="E327" s="8"/>
      <c r="F327" s="3"/>
      <c r="O327" s="3"/>
    </row>
    <row r="328" spans="4:15" x14ac:dyDescent="0.25">
      <c r="D328" s="8"/>
      <c r="E328" s="8"/>
      <c r="F328" s="3"/>
      <c r="G328" s="9"/>
      <c r="O328" s="3"/>
    </row>
    <row r="329" spans="4:15" x14ac:dyDescent="0.25">
      <c r="D329" s="8"/>
      <c r="E329" s="8"/>
      <c r="F329" s="3"/>
      <c r="G329" s="9"/>
      <c r="O329" s="3"/>
    </row>
    <row r="330" spans="4:15" x14ac:dyDescent="0.25">
      <c r="D330" s="8"/>
      <c r="E330" s="8"/>
      <c r="F330" s="3"/>
      <c r="G330" s="9"/>
      <c r="O330" s="3"/>
    </row>
    <row r="331" spans="4:15" x14ac:dyDescent="0.25">
      <c r="D331" s="8"/>
      <c r="E331" s="8"/>
      <c r="F331" s="3"/>
      <c r="G331" s="9"/>
      <c r="O331" s="3"/>
    </row>
    <row r="332" spans="4:15" x14ac:dyDescent="0.25">
      <c r="D332" s="8"/>
      <c r="E332" s="8"/>
      <c r="F332" s="3"/>
      <c r="G332" s="9"/>
      <c r="O332" s="3"/>
    </row>
    <row r="333" spans="4:15" x14ac:dyDescent="0.25">
      <c r="D333" s="8"/>
      <c r="E333" s="8"/>
      <c r="F333" s="3"/>
      <c r="G333" s="9"/>
      <c r="O333" s="3"/>
    </row>
    <row r="334" spans="4:15" x14ac:dyDescent="0.25">
      <c r="D334" s="8"/>
      <c r="E334" s="8"/>
      <c r="F334" s="3"/>
      <c r="G334" s="9"/>
      <c r="O334" s="3"/>
    </row>
    <row r="335" spans="4:15" x14ac:dyDescent="0.25">
      <c r="D335" s="8"/>
      <c r="E335" s="8"/>
      <c r="F335" s="3"/>
      <c r="G335" s="9"/>
      <c r="O335" s="3"/>
    </row>
    <row r="336" spans="4:15" x14ac:dyDescent="0.25">
      <c r="D336" s="8"/>
      <c r="E336" s="8"/>
      <c r="F336" s="3"/>
      <c r="G336" s="9"/>
      <c r="O336" s="3"/>
    </row>
    <row r="337" spans="4:15" x14ac:dyDescent="0.25">
      <c r="D337" s="8"/>
      <c r="E337" s="8"/>
      <c r="F337" s="3"/>
      <c r="G337" s="9"/>
      <c r="O337" s="3"/>
    </row>
    <row r="338" spans="4:15" x14ac:dyDescent="0.25">
      <c r="D338" s="8"/>
      <c r="E338" s="8"/>
      <c r="F338" s="3"/>
      <c r="G338" s="9"/>
      <c r="O338" s="3"/>
    </row>
    <row r="339" spans="4:15" x14ac:dyDescent="0.25">
      <c r="D339" s="8"/>
      <c r="E339" s="8"/>
      <c r="F339" s="3"/>
      <c r="G339" s="9"/>
      <c r="O339" s="3"/>
    </row>
    <row r="340" spans="4:15" x14ac:dyDescent="0.25">
      <c r="D340" s="8"/>
      <c r="E340" s="8"/>
      <c r="F340" s="3"/>
      <c r="G340" s="9"/>
      <c r="O340" s="3"/>
    </row>
    <row r="341" spans="4:15" x14ac:dyDescent="0.25">
      <c r="D341" s="8"/>
      <c r="E341" s="8"/>
      <c r="F341" s="3"/>
      <c r="G341" s="9"/>
      <c r="O341" s="3"/>
    </row>
    <row r="342" spans="4:15" x14ac:dyDescent="0.25">
      <c r="D342" s="8"/>
      <c r="E342" s="8"/>
      <c r="F342" s="3"/>
      <c r="G342" s="9"/>
      <c r="O342" s="3"/>
    </row>
    <row r="343" spans="4:15" x14ac:dyDescent="0.25">
      <c r="D343" s="8"/>
      <c r="E343" s="8"/>
      <c r="F343" s="3"/>
      <c r="G343" s="9"/>
      <c r="O343" s="3"/>
    </row>
    <row r="344" spans="4:15" x14ac:dyDescent="0.25">
      <c r="D344" s="8"/>
      <c r="E344" s="8"/>
      <c r="F344" s="3"/>
      <c r="G344" s="9"/>
      <c r="O344" s="3"/>
    </row>
    <row r="345" spans="4:15" x14ac:dyDescent="0.25">
      <c r="D345" s="8"/>
      <c r="E345" s="8"/>
      <c r="F345" s="3"/>
      <c r="G345" s="9"/>
      <c r="O345" s="3"/>
    </row>
    <row r="346" spans="4:15" x14ac:dyDescent="0.25">
      <c r="D346" s="8"/>
      <c r="E346" s="8"/>
      <c r="F346" s="3"/>
      <c r="G346" s="9"/>
      <c r="O346" s="3"/>
    </row>
    <row r="347" spans="4:15" x14ac:dyDescent="0.25">
      <c r="D347" s="8"/>
      <c r="E347" s="8"/>
      <c r="F347" s="3"/>
      <c r="G347" s="9"/>
      <c r="O347" s="3"/>
    </row>
    <row r="348" spans="4:15" x14ac:dyDescent="0.25">
      <c r="D348" s="8"/>
      <c r="E348" s="8"/>
      <c r="F348" s="3"/>
      <c r="G348" s="9"/>
      <c r="O348" s="3"/>
    </row>
    <row r="349" spans="4:15" x14ac:dyDescent="0.25">
      <c r="D349" s="8"/>
      <c r="E349" s="8"/>
      <c r="F349" s="3"/>
      <c r="G349" s="9"/>
      <c r="O349" s="3"/>
    </row>
    <row r="350" spans="4:15" x14ac:dyDescent="0.25">
      <c r="D350" s="8"/>
      <c r="E350" s="8"/>
      <c r="F350" s="3"/>
      <c r="G350" s="9"/>
      <c r="O350" s="3"/>
    </row>
    <row r="351" spans="4:15" x14ac:dyDescent="0.25">
      <c r="D351" s="8"/>
      <c r="E351" s="8"/>
      <c r="F351" s="3"/>
      <c r="G351" s="9"/>
      <c r="O351" s="3"/>
    </row>
    <row r="352" spans="4:15" x14ac:dyDescent="0.25">
      <c r="D352" s="8"/>
      <c r="E352" s="8"/>
      <c r="F352" s="3"/>
      <c r="O352" s="3"/>
    </row>
    <row r="353" spans="4:15" x14ac:dyDescent="0.25">
      <c r="D353" s="8"/>
      <c r="E353" s="8"/>
      <c r="F353" s="3"/>
      <c r="G353" s="9"/>
      <c r="O353" s="3"/>
    </row>
    <row r="354" spans="4:15" x14ac:dyDescent="0.25">
      <c r="D354" s="8"/>
      <c r="E354" s="8"/>
      <c r="F354" s="3"/>
      <c r="G354" s="9"/>
      <c r="O354" s="3"/>
    </row>
    <row r="355" spans="4:15" x14ac:dyDescent="0.25">
      <c r="D355" s="8"/>
      <c r="E355" s="8"/>
      <c r="F355" s="3"/>
      <c r="G355" s="9"/>
      <c r="O355" s="3"/>
    </row>
    <row r="356" spans="4:15" x14ac:dyDescent="0.25">
      <c r="D356" s="8"/>
      <c r="E356" s="8"/>
      <c r="F356" s="3"/>
      <c r="G356" s="9"/>
      <c r="O356" s="3"/>
    </row>
    <row r="357" spans="4:15" x14ac:dyDescent="0.25">
      <c r="D357" s="8"/>
      <c r="E357" s="8"/>
      <c r="F357" s="3"/>
      <c r="G357" s="9"/>
      <c r="O357" s="3"/>
    </row>
    <row r="358" spans="4:15" x14ac:dyDescent="0.25">
      <c r="D358" s="8"/>
      <c r="E358" s="8"/>
      <c r="F358" s="3"/>
      <c r="G358" s="9"/>
      <c r="O358" s="3"/>
    </row>
    <row r="359" spans="4:15" x14ac:dyDescent="0.25">
      <c r="D359" s="8"/>
      <c r="E359" s="8"/>
      <c r="F359" s="3"/>
      <c r="G359" s="9"/>
      <c r="O359" s="3"/>
    </row>
    <row r="360" spans="4:15" x14ac:dyDescent="0.25">
      <c r="D360" s="8"/>
      <c r="E360" s="8"/>
      <c r="F360" s="3"/>
      <c r="G360" s="9"/>
      <c r="O360" s="3"/>
    </row>
    <row r="361" spans="4:15" x14ac:dyDescent="0.25">
      <c r="D361" s="8"/>
      <c r="E361" s="8"/>
      <c r="F361" s="3"/>
      <c r="G361" s="9"/>
      <c r="O361" s="3"/>
    </row>
    <row r="362" spans="4:15" x14ac:dyDescent="0.25">
      <c r="D362" s="8"/>
      <c r="E362" s="8"/>
      <c r="F362" s="3"/>
      <c r="G362" s="9"/>
      <c r="O362" s="3"/>
    </row>
    <row r="363" spans="4:15" x14ac:dyDescent="0.25">
      <c r="D363" s="8"/>
      <c r="E363" s="8"/>
      <c r="F363" s="3"/>
      <c r="G363" s="9"/>
      <c r="O363" s="3"/>
    </row>
    <row r="364" spans="4:15" x14ac:dyDescent="0.25">
      <c r="D364" s="8"/>
      <c r="E364" s="8"/>
      <c r="F364" s="3"/>
      <c r="G364" s="9"/>
      <c r="O364" s="3"/>
    </row>
    <row r="365" spans="4:15" x14ac:dyDescent="0.25">
      <c r="D365" s="8"/>
      <c r="E365" s="8"/>
      <c r="F365" s="3"/>
      <c r="G365" s="9"/>
      <c r="O365" s="3"/>
    </row>
    <row r="366" spans="4:15" x14ac:dyDescent="0.25">
      <c r="D366" s="8"/>
      <c r="E366" s="8"/>
      <c r="F366" s="3"/>
      <c r="G366" s="9"/>
      <c r="O366" s="3"/>
    </row>
    <row r="367" spans="4:15" x14ac:dyDescent="0.25">
      <c r="D367" s="8"/>
      <c r="E367" s="8"/>
      <c r="F367" s="3"/>
      <c r="G367" s="9"/>
      <c r="O367" s="3"/>
    </row>
    <row r="368" spans="4:15" x14ac:dyDescent="0.25">
      <c r="D368" s="8"/>
      <c r="E368" s="8"/>
      <c r="F368" s="3"/>
      <c r="G368" s="9"/>
      <c r="O368" s="3"/>
    </row>
    <row r="369" spans="4:15" x14ac:dyDescent="0.25">
      <c r="D369" s="8"/>
      <c r="E369" s="8"/>
      <c r="F369" s="3"/>
      <c r="G369" s="9"/>
      <c r="O369" s="3"/>
    </row>
    <row r="370" spans="4:15" x14ac:dyDescent="0.25">
      <c r="D370" s="8"/>
      <c r="E370" s="8"/>
      <c r="F370" s="3"/>
      <c r="G370" s="9"/>
      <c r="O370" s="3"/>
    </row>
    <row r="371" spans="4:15" x14ac:dyDescent="0.25">
      <c r="D371" s="8"/>
      <c r="E371" s="8"/>
      <c r="F371" s="3"/>
      <c r="G371" s="9"/>
      <c r="O371" s="3"/>
    </row>
    <row r="372" spans="4:15" x14ac:dyDescent="0.25">
      <c r="D372" s="8"/>
      <c r="E372" s="8"/>
      <c r="F372" s="3"/>
      <c r="G372" s="9"/>
      <c r="O372" s="3"/>
    </row>
    <row r="373" spans="4:15" x14ac:dyDescent="0.25">
      <c r="D373" s="8"/>
      <c r="E373" s="8"/>
      <c r="F373" s="3"/>
      <c r="G373" s="9"/>
      <c r="O373" s="3"/>
    </row>
    <row r="374" spans="4:15" x14ac:dyDescent="0.25">
      <c r="D374" s="8"/>
      <c r="E374" s="8"/>
      <c r="F374" s="3"/>
      <c r="G374" s="9"/>
      <c r="O374" s="3"/>
    </row>
    <row r="375" spans="4:15" x14ac:dyDescent="0.25">
      <c r="D375" s="8"/>
      <c r="E375" s="8"/>
      <c r="F375" s="3"/>
      <c r="G375" s="9"/>
      <c r="O375" s="3"/>
    </row>
    <row r="376" spans="4:15" x14ac:dyDescent="0.25">
      <c r="D376" s="8"/>
      <c r="E376" s="8"/>
      <c r="F376" s="3"/>
      <c r="G376" s="9"/>
      <c r="O376" s="3"/>
    </row>
    <row r="377" spans="4:15" x14ac:dyDescent="0.25">
      <c r="D377" s="8"/>
      <c r="E377" s="8"/>
      <c r="F377" s="3"/>
      <c r="O377" s="3"/>
    </row>
    <row r="378" spans="4:15" x14ac:dyDescent="0.25">
      <c r="D378" s="8"/>
      <c r="E378" s="8"/>
      <c r="F378" s="3"/>
      <c r="G378" s="9"/>
      <c r="O378" s="3"/>
    </row>
    <row r="379" spans="4:15" x14ac:dyDescent="0.25">
      <c r="D379" s="8"/>
      <c r="E379" s="8"/>
      <c r="F379" s="3"/>
      <c r="G379" s="9"/>
      <c r="O379" s="3"/>
    </row>
    <row r="380" spans="4:15" x14ac:dyDescent="0.25">
      <c r="D380" s="8"/>
      <c r="E380" s="8"/>
      <c r="F380" s="3"/>
      <c r="G380" s="9"/>
      <c r="O380" s="3"/>
    </row>
    <row r="381" spans="4:15" x14ac:dyDescent="0.25">
      <c r="D381" s="8"/>
      <c r="E381" s="8"/>
      <c r="F381" s="3"/>
      <c r="G381" s="9"/>
      <c r="O381" s="3"/>
    </row>
    <row r="382" spans="4:15" x14ac:dyDescent="0.25">
      <c r="D382" s="8"/>
      <c r="E382" s="8"/>
      <c r="F382" s="3"/>
      <c r="G382" s="9"/>
      <c r="O382" s="3"/>
    </row>
    <row r="383" spans="4:15" x14ac:dyDescent="0.25">
      <c r="D383" s="8"/>
      <c r="E383" s="8"/>
      <c r="F383" s="3"/>
      <c r="G383" s="9"/>
      <c r="O383" s="3"/>
    </row>
    <row r="384" spans="4:15" x14ac:dyDescent="0.25">
      <c r="D384" s="8"/>
      <c r="E384" s="8"/>
      <c r="F384" s="3"/>
      <c r="G384" s="9"/>
      <c r="O384" s="3"/>
    </row>
    <row r="385" spans="4:15" x14ac:dyDescent="0.25">
      <c r="D385" s="8"/>
      <c r="E385" s="8"/>
      <c r="F385" s="3"/>
      <c r="G385" s="9"/>
      <c r="O385" s="3"/>
    </row>
    <row r="386" spans="4:15" x14ac:dyDescent="0.25">
      <c r="D386" s="8"/>
      <c r="E386" s="8"/>
      <c r="F386" s="3"/>
      <c r="G386" s="9"/>
      <c r="O386" s="3"/>
    </row>
    <row r="387" spans="4:15" x14ac:dyDescent="0.25">
      <c r="D387" s="8"/>
      <c r="E387" s="8"/>
      <c r="F387" s="3"/>
      <c r="G387" s="9"/>
      <c r="O387" s="3"/>
    </row>
    <row r="388" spans="4:15" x14ac:dyDescent="0.25">
      <c r="D388" s="8"/>
      <c r="E388" s="8"/>
      <c r="F388" s="3"/>
      <c r="G388" s="9"/>
      <c r="O388" s="3"/>
    </row>
    <row r="389" spans="4:15" x14ac:dyDescent="0.25">
      <c r="D389" s="8"/>
      <c r="E389" s="8"/>
      <c r="F389" s="3"/>
      <c r="G389" s="9"/>
      <c r="O389" s="3"/>
    </row>
    <row r="390" spans="4:15" x14ac:dyDescent="0.25">
      <c r="D390" s="8"/>
      <c r="E390" s="8"/>
      <c r="F390" s="3"/>
      <c r="G390" s="9"/>
      <c r="O390" s="3"/>
    </row>
    <row r="391" spans="4:15" x14ac:dyDescent="0.25">
      <c r="D391" s="8"/>
      <c r="E391" s="8"/>
      <c r="F391" s="3"/>
      <c r="G391" s="9"/>
      <c r="O391" s="3"/>
    </row>
    <row r="392" spans="4:15" x14ac:dyDescent="0.25">
      <c r="D392" s="8"/>
      <c r="E392" s="8"/>
      <c r="F392" s="3"/>
      <c r="G392" s="9"/>
      <c r="O392" s="3"/>
    </row>
    <row r="393" spans="4:15" x14ac:dyDescent="0.25">
      <c r="D393" s="8"/>
      <c r="E393" s="8"/>
      <c r="F393" s="3"/>
      <c r="G393" s="9"/>
      <c r="O393" s="3"/>
    </row>
    <row r="394" spans="4:15" x14ac:dyDescent="0.25">
      <c r="D394" s="8"/>
      <c r="E394" s="8"/>
      <c r="F394" s="3"/>
      <c r="G394" s="9"/>
      <c r="O394" s="3"/>
    </row>
    <row r="395" spans="4:15" x14ac:dyDescent="0.25">
      <c r="D395" s="8"/>
      <c r="E395" s="8"/>
      <c r="F395" s="3"/>
      <c r="G395" s="9"/>
      <c r="O395" s="3"/>
    </row>
    <row r="396" spans="4:15" x14ac:dyDescent="0.25">
      <c r="D396" s="8"/>
      <c r="E396" s="8"/>
      <c r="F396" s="3"/>
      <c r="G396" s="9"/>
      <c r="O396" s="3"/>
    </row>
    <row r="397" spans="4:15" x14ac:dyDescent="0.25">
      <c r="D397" s="8"/>
      <c r="E397" s="8"/>
      <c r="F397" s="3"/>
      <c r="G397" s="9"/>
      <c r="O397" s="3"/>
    </row>
    <row r="398" spans="4:15" x14ac:dyDescent="0.25">
      <c r="D398" s="8"/>
      <c r="E398" s="8"/>
      <c r="F398" s="3"/>
      <c r="G398" s="9"/>
      <c r="O398" s="3"/>
    </row>
    <row r="399" spans="4:15" x14ac:dyDescent="0.25">
      <c r="D399" s="8"/>
      <c r="E399" s="8"/>
      <c r="F399" s="3"/>
      <c r="G399" s="9"/>
      <c r="O399" s="3"/>
    </row>
    <row r="400" spans="4:15" x14ac:dyDescent="0.25">
      <c r="D400" s="8"/>
      <c r="E400" s="8"/>
      <c r="F400" s="3"/>
      <c r="G400" s="9"/>
      <c r="O400" s="3"/>
    </row>
    <row r="401" spans="4:15" x14ac:dyDescent="0.25">
      <c r="D401" s="8"/>
      <c r="E401" s="8"/>
      <c r="F401" s="3"/>
      <c r="G401" s="9"/>
      <c r="O401" s="3"/>
    </row>
    <row r="402" spans="4:15" x14ac:dyDescent="0.25">
      <c r="D402" s="8"/>
      <c r="E402" s="8"/>
      <c r="F402" s="3"/>
      <c r="O402" s="3"/>
    </row>
    <row r="403" spans="4:15" x14ac:dyDescent="0.25">
      <c r="D403" s="8"/>
      <c r="E403" s="8"/>
      <c r="F403" s="3"/>
      <c r="G403" s="9"/>
      <c r="O403" s="3"/>
    </row>
    <row r="404" spans="4:15" x14ac:dyDescent="0.25">
      <c r="D404" s="8"/>
      <c r="E404" s="8"/>
      <c r="F404" s="3"/>
      <c r="G404" s="9"/>
      <c r="O404" s="3"/>
    </row>
    <row r="405" spans="4:15" x14ac:dyDescent="0.25">
      <c r="D405" s="8"/>
      <c r="E405" s="8"/>
      <c r="F405" s="3"/>
      <c r="G405" s="9"/>
      <c r="O405" s="3"/>
    </row>
    <row r="406" spans="4:15" x14ac:dyDescent="0.25">
      <c r="D406" s="8"/>
      <c r="E406" s="8"/>
      <c r="F406" s="3"/>
      <c r="G406" s="9"/>
      <c r="O406" s="3"/>
    </row>
    <row r="407" spans="4:15" x14ac:dyDescent="0.25">
      <c r="D407" s="8"/>
      <c r="E407" s="8"/>
      <c r="F407" s="3"/>
      <c r="G407" s="9"/>
      <c r="O407" s="3"/>
    </row>
    <row r="408" spans="4:15" x14ac:dyDescent="0.25">
      <c r="D408" s="8"/>
      <c r="E408" s="8"/>
      <c r="F408" s="3"/>
      <c r="G408" s="9"/>
      <c r="O408" s="3"/>
    </row>
    <row r="409" spans="4:15" x14ac:dyDescent="0.25">
      <c r="D409" s="8"/>
      <c r="E409" s="8"/>
      <c r="F409" s="3"/>
      <c r="G409" s="9"/>
      <c r="O409" s="3"/>
    </row>
    <row r="410" spans="4:15" x14ac:dyDescent="0.25">
      <c r="D410" s="8"/>
      <c r="E410" s="8"/>
      <c r="F410" s="3"/>
      <c r="G410" s="9"/>
      <c r="O410" s="3"/>
    </row>
    <row r="411" spans="4:15" x14ac:dyDescent="0.25">
      <c r="D411" s="8"/>
      <c r="E411" s="8"/>
      <c r="F411" s="3"/>
      <c r="G411" s="9"/>
      <c r="O411" s="3"/>
    </row>
    <row r="412" spans="4:15" x14ac:dyDescent="0.25">
      <c r="D412" s="8"/>
      <c r="E412" s="8"/>
      <c r="F412" s="3"/>
      <c r="G412" s="9"/>
      <c r="O412" s="3"/>
    </row>
    <row r="413" spans="4:15" x14ac:dyDescent="0.25">
      <c r="D413" s="8"/>
      <c r="E413" s="8"/>
      <c r="F413" s="3"/>
      <c r="G413" s="9"/>
      <c r="O413" s="3"/>
    </row>
    <row r="414" spans="4:15" x14ac:dyDescent="0.25">
      <c r="D414" s="8"/>
      <c r="E414" s="8"/>
      <c r="F414" s="3"/>
      <c r="G414" s="9"/>
      <c r="O414" s="3"/>
    </row>
    <row r="415" spans="4:15" x14ac:dyDescent="0.25">
      <c r="D415" s="8"/>
      <c r="E415" s="8"/>
      <c r="F415" s="3"/>
      <c r="G415" s="9"/>
      <c r="O415" s="3"/>
    </row>
    <row r="416" spans="4:15" x14ac:dyDescent="0.25">
      <c r="D416" s="8"/>
      <c r="E416" s="8"/>
      <c r="F416" s="3"/>
      <c r="G416" s="9"/>
      <c r="O416" s="3"/>
    </row>
    <row r="417" spans="4:15" x14ac:dyDescent="0.25">
      <c r="D417" s="8"/>
      <c r="E417" s="8"/>
      <c r="F417" s="3"/>
      <c r="G417" s="9"/>
      <c r="O417" s="3"/>
    </row>
    <row r="418" spans="4:15" x14ac:dyDescent="0.25">
      <c r="D418" s="8"/>
      <c r="E418" s="8"/>
      <c r="F418" s="3"/>
      <c r="G418" s="9"/>
      <c r="O418" s="3"/>
    </row>
    <row r="419" spans="4:15" x14ac:dyDescent="0.25">
      <c r="D419" s="8"/>
      <c r="E419" s="8"/>
      <c r="F419" s="3"/>
      <c r="G419" s="9"/>
      <c r="O419" s="3"/>
    </row>
    <row r="420" spans="4:15" x14ac:dyDescent="0.25">
      <c r="D420" s="8"/>
      <c r="E420" s="8"/>
      <c r="F420" s="3"/>
      <c r="G420" s="9"/>
      <c r="O420" s="3"/>
    </row>
    <row r="421" spans="4:15" x14ac:dyDescent="0.25">
      <c r="D421" s="8"/>
      <c r="E421" s="8"/>
      <c r="F421" s="3"/>
      <c r="G421" s="9"/>
      <c r="O421" s="3"/>
    </row>
    <row r="422" spans="4:15" x14ac:dyDescent="0.25">
      <c r="D422" s="8"/>
      <c r="E422" s="8"/>
      <c r="F422" s="3"/>
      <c r="G422" s="9"/>
      <c r="O422" s="3"/>
    </row>
    <row r="423" spans="4:15" x14ac:dyDescent="0.25">
      <c r="D423" s="8"/>
      <c r="E423" s="8"/>
      <c r="F423" s="3"/>
      <c r="G423" s="9"/>
      <c r="O423" s="3"/>
    </row>
    <row r="424" spans="4:15" x14ac:dyDescent="0.25">
      <c r="D424" s="8"/>
      <c r="E424" s="8"/>
      <c r="F424" s="3"/>
      <c r="G424" s="9"/>
      <c r="O424" s="3"/>
    </row>
    <row r="425" spans="4:15" x14ac:dyDescent="0.25">
      <c r="D425" s="8"/>
      <c r="E425" s="8"/>
      <c r="F425" s="3"/>
      <c r="G425" s="9"/>
      <c r="O425" s="3"/>
    </row>
    <row r="426" spans="4:15" x14ac:dyDescent="0.25">
      <c r="D426" s="8"/>
      <c r="E426" s="8"/>
      <c r="F426" s="3"/>
      <c r="G426" s="9"/>
      <c r="O426" s="3"/>
    </row>
    <row r="427" spans="4:15" x14ac:dyDescent="0.25">
      <c r="D427" s="8"/>
      <c r="E427" s="8"/>
      <c r="F427" s="3"/>
      <c r="O427" s="3"/>
    </row>
    <row r="428" spans="4:15" x14ac:dyDescent="0.25">
      <c r="D428" s="8"/>
      <c r="E428" s="8"/>
      <c r="F428" s="3"/>
      <c r="G428" s="9"/>
      <c r="O428" s="3"/>
    </row>
    <row r="429" spans="4:15" x14ac:dyDescent="0.25">
      <c r="D429" s="8"/>
      <c r="E429" s="8"/>
      <c r="F429" s="3"/>
      <c r="G429" s="9"/>
      <c r="O429" s="3"/>
    </row>
    <row r="430" spans="4:15" x14ac:dyDescent="0.25">
      <c r="D430" s="8"/>
      <c r="E430" s="8"/>
      <c r="F430" s="3"/>
      <c r="G430" s="9"/>
      <c r="O430" s="3"/>
    </row>
    <row r="431" spans="4:15" x14ac:dyDescent="0.25">
      <c r="D431" s="8"/>
      <c r="E431" s="8"/>
      <c r="F431" s="3"/>
      <c r="G431" s="9"/>
      <c r="O431" s="3"/>
    </row>
    <row r="432" spans="4:15" x14ac:dyDescent="0.25">
      <c r="D432" s="8"/>
      <c r="E432" s="8"/>
      <c r="F432" s="3"/>
      <c r="G432" s="9"/>
      <c r="O432" s="3"/>
    </row>
    <row r="433" spans="4:15" x14ac:dyDescent="0.25">
      <c r="D433" s="8"/>
      <c r="E433" s="8"/>
      <c r="F433" s="3"/>
      <c r="G433" s="9"/>
      <c r="O433" s="3"/>
    </row>
    <row r="434" spans="4:15" x14ac:dyDescent="0.25">
      <c r="D434" s="8"/>
      <c r="E434" s="8"/>
      <c r="F434" s="3"/>
      <c r="G434" s="9"/>
      <c r="O434" s="3"/>
    </row>
    <row r="435" spans="4:15" x14ac:dyDescent="0.25">
      <c r="D435" s="8"/>
      <c r="E435" s="8"/>
      <c r="F435" s="3"/>
      <c r="G435" s="9"/>
      <c r="O435" s="3"/>
    </row>
    <row r="436" spans="4:15" x14ac:dyDescent="0.25">
      <c r="D436" s="8"/>
      <c r="E436" s="8"/>
      <c r="F436" s="3"/>
      <c r="G436" s="9"/>
      <c r="O436" s="3"/>
    </row>
    <row r="437" spans="4:15" x14ac:dyDescent="0.25">
      <c r="D437" s="8"/>
      <c r="E437" s="8"/>
      <c r="F437" s="3"/>
      <c r="G437" s="9"/>
      <c r="O437" s="3"/>
    </row>
    <row r="438" spans="4:15" x14ac:dyDescent="0.25">
      <c r="D438" s="8"/>
      <c r="E438" s="8"/>
      <c r="F438" s="3"/>
      <c r="G438" s="9"/>
      <c r="O438" s="3"/>
    </row>
    <row r="439" spans="4:15" x14ac:dyDescent="0.25">
      <c r="D439" s="8"/>
      <c r="E439" s="8"/>
      <c r="F439" s="3"/>
      <c r="G439" s="9"/>
      <c r="O439" s="3"/>
    </row>
    <row r="440" spans="4:15" x14ac:dyDescent="0.25">
      <c r="D440" s="8"/>
      <c r="E440" s="8"/>
      <c r="F440" s="3"/>
      <c r="G440" s="9"/>
      <c r="O440" s="3"/>
    </row>
    <row r="441" spans="4:15" x14ac:dyDescent="0.25">
      <c r="D441" s="8"/>
      <c r="E441" s="8"/>
      <c r="F441" s="3"/>
      <c r="G441" s="9"/>
      <c r="O441" s="3"/>
    </row>
    <row r="442" spans="4:15" x14ac:dyDescent="0.25">
      <c r="D442" s="8"/>
      <c r="E442" s="8"/>
      <c r="F442" s="3"/>
      <c r="G442" s="9"/>
      <c r="O442" s="3"/>
    </row>
    <row r="443" spans="4:15" x14ac:dyDescent="0.25">
      <c r="D443" s="8"/>
      <c r="E443" s="8"/>
      <c r="F443" s="3"/>
      <c r="G443" s="9"/>
      <c r="O443" s="3"/>
    </row>
    <row r="444" spans="4:15" x14ac:dyDescent="0.25">
      <c r="D444" s="8"/>
      <c r="E444" s="8"/>
      <c r="F444" s="3"/>
      <c r="G444" s="9"/>
      <c r="O444" s="3"/>
    </row>
    <row r="445" spans="4:15" x14ac:dyDescent="0.25">
      <c r="D445" s="8"/>
      <c r="E445" s="8"/>
      <c r="F445" s="3"/>
      <c r="G445" s="9"/>
      <c r="O445" s="3"/>
    </row>
    <row r="446" spans="4:15" x14ac:dyDescent="0.25">
      <c r="D446" s="8"/>
      <c r="E446" s="8"/>
      <c r="F446" s="3"/>
      <c r="G446" s="9"/>
      <c r="O446" s="3"/>
    </row>
    <row r="447" spans="4:15" x14ac:dyDescent="0.25">
      <c r="D447" s="8"/>
      <c r="E447" s="8"/>
      <c r="F447" s="3"/>
      <c r="G447" s="9"/>
      <c r="O447" s="3"/>
    </row>
    <row r="448" spans="4:15" x14ac:dyDescent="0.25">
      <c r="D448" s="8"/>
      <c r="E448" s="8"/>
      <c r="F448" s="3"/>
      <c r="G448" s="9"/>
      <c r="O448" s="3"/>
    </row>
    <row r="449" spans="4:15" x14ac:dyDescent="0.25">
      <c r="D449" s="8"/>
      <c r="E449" s="8"/>
      <c r="F449" s="3"/>
      <c r="G449" s="9"/>
      <c r="O449" s="3"/>
    </row>
    <row r="450" spans="4:15" x14ac:dyDescent="0.25">
      <c r="D450" s="8"/>
      <c r="E450" s="8"/>
      <c r="F450" s="3"/>
      <c r="G450" s="9"/>
      <c r="O450" s="3"/>
    </row>
    <row r="451" spans="4:15" x14ac:dyDescent="0.25">
      <c r="D451" s="8"/>
      <c r="E451" s="8"/>
      <c r="F451" s="3"/>
      <c r="G451" s="9"/>
      <c r="O451" s="3"/>
    </row>
    <row r="452" spans="4:15" x14ac:dyDescent="0.25">
      <c r="D452" s="8"/>
      <c r="E452" s="8"/>
      <c r="F452" s="3"/>
      <c r="O452" s="3"/>
    </row>
    <row r="453" spans="4:15" x14ac:dyDescent="0.25">
      <c r="D453" s="8"/>
      <c r="E453" s="8"/>
      <c r="F453" s="3"/>
      <c r="G453" s="9"/>
      <c r="O453" s="3"/>
    </row>
    <row r="454" spans="4:15" x14ac:dyDescent="0.25">
      <c r="D454" s="8"/>
      <c r="E454" s="8"/>
      <c r="F454" s="3"/>
      <c r="G454" s="9"/>
      <c r="O454" s="3"/>
    </row>
    <row r="455" spans="4:15" x14ac:dyDescent="0.25">
      <c r="D455" s="8"/>
      <c r="E455" s="8"/>
      <c r="F455" s="3"/>
      <c r="G455" s="9"/>
      <c r="O455" s="3"/>
    </row>
    <row r="456" spans="4:15" x14ac:dyDescent="0.25">
      <c r="D456" s="8"/>
      <c r="E456" s="8"/>
      <c r="F456" s="3"/>
      <c r="G456" s="9"/>
      <c r="O456" s="3"/>
    </row>
    <row r="457" spans="4:15" x14ac:dyDescent="0.25">
      <c r="D457" s="8"/>
      <c r="E457" s="8"/>
      <c r="F457" s="3"/>
      <c r="G457" s="9"/>
      <c r="O457" s="3"/>
    </row>
    <row r="458" spans="4:15" x14ac:dyDescent="0.25">
      <c r="D458" s="8"/>
      <c r="E458" s="8"/>
      <c r="F458" s="3"/>
      <c r="G458" s="9"/>
      <c r="O458" s="3"/>
    </row>
    <row r="459" spans="4:15" x14ac:dyDescent="0.25">
      <c r="D459" s="8"/>
      <c r="E459" s="8"/>
      <c r="F459" s="3"/>
      <c r="G459" s="9"/>
      <c r="O459" s="3"/>
    </row>
    <row r="460" spans="4:15" x14ac:dyDescent="0.25">
      <c r="D460" s="8"/>
      <c r="E460" s="8"/>
      <c r="F460" s="3"/>
      <c r="G460" s="9"/>
      <c r="O460" s="3"/>
    </row>
    <row r="461" spans="4:15" x14ac:dyDescent="0.25">
      <c r="D461" s="8"/>
      <c r="E461" s="8"/>
      <c r="F461" s="3"/>
      <c r="G461" s="9"/>
      <c r="O461" s="3"/>
    </row>
    <row r="462" spans="4:15" x14ac:dyDescent="0.25">
      <c r="D462" s="8"/>
      <c r="E462" s="8"/>
      <c r="F462" s="3"/>
      <c r="G462" s="9"/>
      <c r="O462" s="3"/>
    </row>
    <row r="463" spans="4:15" x14ac:dyDescent="0.25">
      <c r="D463" s="8"/>
      <c r="E463" s="8"/>
      <c r="F463" s="3"/>
      <c r="G463" s="9"/>
      <c r="O463" s="3"/>
    </row>
    <row r="464" spans="4:15" x14ac:dyDescent="0.25">
      <c r="D464" s="8"/>
      <c r="E464" s="8"/>
      <c r="F464" s="3"/>
      <c r="G464" s="9"/>
      <c r="O464" s="3"/>
    </row>
    <row r="465" spans="4:15" x14ac:dyDescent="0.25">
      <c r="D465" s="8"/>
      <c r="E465" s="8"/>
      <c r="F465" s="3"/>
      <c r="G465" s="9"/>
      <c r="O465" s="3"/>
    </row>
    <row r="466" spans="4:15" x14ac:dyDescent="0.25">
      <c r="D466" s="8"/>
      <c r="E466" s="8"/>
      <c r="F466" s="3"/>
      <c r="G466" s="9"/>
      <c r="O466" s="3"/>
    </row>
    <row r="467" spans="4:15" x14ac:dyDescent="0.25">
      <c r="D467" s="8"/>
      <c r="E467" s="8"/>
      <c r="F467" s="3"/>
      <c r="G467" s="9"/>
      <c r="O467" s="3"/>
    </row>
    <row r="468" spans="4:15" x14ac:dyDescent="0.25">
      <c r="D468" s="8"/>
      <c r="E468" s="8"/>
      <c r="F468" s="3"/>
      <c r="G468" s="9"/>
      <c r="O468" s="3"/>
    </row>
    <row r="469" spans="4:15" x14ac:dyDescent="0.25">
      <c r="D469" s="8"/>
      <c r="E469" s="8"/>
      <c r="F469" s="3"/>
      <c r="G469" s="9"/>
      <c r="O469" s="3"/>
    </row>
    <row r="470" spans="4:15" x14ac:dyDescent="0.25">
      <c r="D470" s="8"/>
      <c r="E470" s="8"/>
      <c r="F470" s="3"/>
      <c r="G470" s="9"/>
      <c r="O470" s="3"/>
    </row>
    <row r="471" spans="4:15" x14ac:dyDescent="0.25">
      <c r="D471" s="8"/>
      <c r="E471" s="8"/>
      <c r="F471" s="3"/>
      <c r="G471" s="9"/>
      <c r="O471" s="3"/>
    </row>
    <row r="472" spans="4:15" x14ac:dyDescent="0.25">
      <c r="D472" s="8"/>
      <c r="E472" s="8"/>
      <c r="F472" s="3"/>
      <c r="G472" s="9"/>
      <c r="O472" s="3"/>
    </row>
    <row r="473" spans="4:15" x14ac:dyDescent="0.25">
      <c r="D473" s="8"/>
      <c r="E473" s="8"/>
      <c r="F473" s="3"/>
      <c r="G473" s="9"/>
      <c r="O473" s="3"/>
    </row>
    <row r="474" spans="4:15" x14ac:dyDescent="0.25">
      <c r="D474" s="8"/>
      <c r="E474" s="8"/>
      <c r="F474" s="3"/>
      <c r="G474" s="9"/>
      <c r="O474" s="3"/>
    </row>
    <row r="475" spans="4:15" x14ac:dyDescent="0.25">
      <c r="D475" s="8"/>
      <c r="E475" s="8"/>
      <c r="F475" s="3"/>
      <c r="G475" s="9"/>
      <c r="O475" s="3"/>
    </row>
    <row r="476" spans="4:15" x14ac:dyDescent="0.25">
      <c r="D476" s="8"/>
      <c r="E476" s="8"/>
      <c r="F476" s="3"/>
      <c r="G476" s="9"/>
      <c r="O476" s="3"/>
    </row>
    <row r="477" spans="4:15" x14ac:dyDescent="0.25">
      <c r="D477" s="8"/>
      <c r="E477" s="8"/>
      <c r="F477" s="3"/>
      <c r="O477" s="3"/>
    </row>
    <row r="478" spans="4:15" x14ac:dyDescent="0.25">
      <c r="D478" s="8"/>
      <c r="E478" s="8"/>
      <c r="F478" s="3"/>
      <c r="G478" s="9"/>
      <c r="O478" s="3"/>
    </row>
    <row r="479" spans="4:15" x14ac:dyDescent="0.25">
      <c r="D479" s="8"/>
      <c r="E479" s="8"/>
      <c r="F479" s="3"/>
      <c r="G479" s="9"/>
      <c r="O479" s="3"/>
    </row>
    <row r="480" spans="4:15" x14ac:dyDescent="0.25">
      <c r="D480" s="8"/>
      <c r="E480" s="8"/>
      <c r="F480" s="3"/>
      <c r="G480" s="9"/>
      <c r="O480" s="3"/>
    </row>
    <row r="481" spans="4:15" x14ac:dyDescent="0.25">
      <c r="D481" s="8"/>
      <c r="E481" s="8"/>
      <c r="F481" s="3"/>
      <c r="G481" s="9"/>
      <c r="O481" s="3"/>
    </row>
    <row r="482" spans="4:15" x14ac:dyDescent="0.25">
      <c r="D482" s="8"/>
      <c r="E482" s="8"/>
      <c r="F482" s="3"/>
      <c r="G482" s="9"/>
      <c r="O482" s="3"/>
    </row>
    <row r="483" spans="4:15" x14ac:dyDescent="0.25">
      <c r="D483" s="8"/>
      <c r="E483" s="8"/>
      <c r="F483" s="3"/>
      <c r="G483" s="9"/>
      <c r="O483" s="3"/>
    </row>
    <row r="484" spans="4:15" x14ac:dyDescent="0.25">
      <c r="D484" s="8"/>
      <c r="E484" s="8"/>
      <c r="F484" s="3"/>
      <c r="G484" s="9"/>
      <c r="O484" s="3"/>
    </row>
    <row r="485" spans="4:15" x14ac:dyDescent="0.25">
      <c r="D485" s="8"/>
      <c r="E485" s="8"/>
      <c r="F485" s="3"/>
      <c r="G485" s="9"/>
      <c r="O485" s="3"/>
    </row>
    <row r="486" spans="4:15" x14ac:dyDescent="0.25">
      <c r="D486" s="8"/>
      <c r="E486" s="8"/>
      <c r="F486" s="3"/>
      <c r="G486" s="9"/>
      <c r="O486" s="3"/>
    </row>
    <row r="487" spans="4:15" x14ac:dyDescent="0.25">
      <c r="D487" s="8"/>
      <c r="E487" s="8"/>
      <c r="F487" s="3"/>
      <c r="G487" s="9"/>
      <c r="O487" s="3"/>
    </row>
    <row r="488" spans="4:15" x14ac:dyDescent="0.25">
      <c r="D488" s="8"/>
      <c r="E488" s="8"/>
      <c r="F488" s="3"/>
      <c r="G488" s="9"/>
      <c r="O488" s="3"/>
    </row>
    <row r="489" spans="4:15" x14ac:dyDescent="0.25">
      <c r="D489" s="8"/>
      <c r="E489" s="8"/>
      <c r="F489" s="3"/>
      <c r="G489" s="9"/>
      <c r="O489" s="3"/>
    </row>
    <row r="490" spans="4:15" x14ac:dyDescent="0.25">
      <c r="D490" s="8"/>
      <c r="E490" s="8"/>
      <c r="F490" s="3"/>
      <c r="G490" s="9"/>
      <c r="O490" s="3"/>
    </row>
    <row r="491" spans="4:15" x14ac:dyDescent="0.25">
      <c r="D491" s="8"/>
      <c r="E491" s="8"/>
      <c r="F491" s="3"/>
      <c r="G491" s="9"/>
      <c r="O491" s="3"/>
    </row>
    <row r="492" spans="4:15" x14ac:dyDescent="0.25">
      <c r="D492" s="8"/>
      <c r="E492" s="8"/>
      <c r="F492" s="3"/>
      <c r="G492" s="9"/>
      <c r="O492" s="3"/>
    </row>
    <row r="493" spans="4:15" x14ac:dyDescent="0.25">
      <c r="D493" s="8"/>
      <c r="E493" s="8"/>
      <c r="F493" s="3"/>
      <c r="G493" s="9"/>
      <c r="O493" s="3"/>
    </row>
    <row r="494" spans="4:15" x14ac:dyDescent="0.25">
      <c r="D494" s="8"/>
      <c r="E494" s="8"/>
      <c r="F494" s="3"/>
      <c r="G494" s="9"/>
      <c r="O494" s="3"/>
    </row>
    <row r="495" spans="4:15" x14ac:dyDescent="0.25">
      <c r="D495" s="8"/>
      <c r="E495" s="8"/>
      <c r="F495" s="3"/>
      <c r="G495" s="9"/>
      <c r="O495" s="3"/>
    </row>
    <row r="496" spans="4:15" x14ac:dyDescent="0.25">
      <c r="D496" s="8"/>
      <c r="E496" s="8"/>
      <c r="F496" s="3"/>
      <c r="G496" s="9"/>
      <c r="O496" s="3"/>
    </row>
    <row r="497" spans="4:15" x14ac:dyDescent="0.25">
      <c r="D497" s="8"/>
      <c r="E497" s="8"/>
      <c r="F497" s="3"/>
      <c r="G497" s="9"/>
      <c r="O497" s="3"/>
    </row>
    <row r="498" spans="4:15" x14ac:dyDescent="0.25">
      <c r="D498" s="8"/>
      <c r="E498" s="8"/>
      <c r="F498" s="3"/>
      <c r="G498" s="9"/>
      <c r="O498" s="3"/>
    </row>
    <row r="499" spans="4:15" x14ac:dyDescent="0.25">
      <c r="D499" s="8"/>
      <c r="E499" s="8"/>
      <c r="F499" s="3"/>
      <c r="G499" s="9"/>
      <c r="O499" s="3"/>
    </row>
    <row r="500" spans="4:15" x14ac:dyDescent="0.25">
      <c r="D500" s="8"/>
      <c r="E500" s="8"/>
      <c r="F500" s="3"/>
      <c r="G500" s="9"/>
      <c r="O500" s="3"/>
    </row>
    <row r="501" spans="4:15" x14ac:dyDescent="0.25">
      <c r="D501" s="8"/>
      <c r="E501" s="8"/>
      <c r="F501" s="3"/>
      <c r="G501" s="9"/>
      <c r="O501" s="3"/>
    </row>
    <row r="502" spans="4:15" x14ac:dyDescent="0.25">
      <c r="D502" s="8"/>
      <c r="E502" s="8"/>
      <c r="F502" s="3"/>
      <c r="O502" s="3"/>
    </row>
    <row r="503" spans="4:15" x14ac:dyDescent="0.25">
      <c r="D503" s="8"/>
      <c r="E503" s="8"/>
      <c r="F503" s="3"/>
      <c r="G503" s="9"/>
      <c r="O503" s="3"/>
    </row>
    <row r="504" spans="4:15" x14ac:dyDescent="0.25">
      <c r="D504" s="8"/>
      <c r="E504" s="8"/>
      <c r="F504" s="3"/>
      <c r="G504" s="9"/>
      <c r="O504" s="3"/>
    </row>
    <row r="505" spans="4:15" x14ac:dyDescent="0.25">
      <c r="D505" s="8"/>
      <c r="E505" s="8"/>
      <c r="F505" s="3"/>
      <c r="G505" s="9"/>
      <c r="O505" s="3"/>
    </row>
    <row r="506" spans="4:15" x14ac:dyDescent="0.25">
      <c r="D506" s="8"/>
      <c r="E506" s="8"/>
      <c r="F506" s="3"/>
      <c r="G506" s="9"/>
      <c r="O506" s="3"/>
    </row>
    <row r="507" spans="4:15" x14ac:dyDescent="0.25">
      <c r="D507" s="8"/>
      <c r="E507" s="8"/>
      <c r="F507" s="3"/>
      <c r="G507" s="9"/>
      <c r="O507" s="3"/>
    </row>
    <row r="508" spans="4:15" x14ac:dyDescent="0.25">
      <c r="D508" s="8"/>
      <c r="E508" s="8"/>
      <c r="F508" s="3"/>
      <c r="G508" s="9"/>
      <c r="O508" s="3"/>
    </row>
    <row r="509" spans="4:15" x14ac:dyDescent="0.25">
      <c r="D509" s="8"/>
      <c r="E509" s="8"/>
      <c r="F509" s="3"/>
      <c r="G509" s="9"/>
      <c r="O509" s="3"/>
    </row>
    <row r="510" spans="4:15" x14ac:dyDescent="0.25">
      <c r="D510" s="8"/>
      <c r="E510" s="8"/>
      <c r="F510" s="3"/>
      <c r="G510" s="9"/>
      <c r="O510" s="3"/>
    </row>
    <row r="511" spans="4:15" x14ac:dyDescent="0.25">
      <c r="D511" s="8"/>
      <c r="E511" s="8"/>
      <c r="F511" s="3"/>
      <c r="G511" s="9"/>
      <c r="O511" s="3"/>
    </row>
    <row r="512" spans="4:15" x14ac:dyDescent="0.25">
      <c r="D512" s="8"/>
      <c r="E512" s="8"/>
      <c r="F512" s="3"/>
      <c r="G512" s="9"/>
      <c r="O512" s="3"/>
    </row>
    <row r="513" spans="4:15" x14ac:dyDescent="0.25">
      <c r="D513" s="8"/>
      <c r="E513" s="8"/>
      <c r="F513" s="3"/>
      <c r="G513" s="9"/>
      <c r="O513" s="3"/>
    </row>
    <row r="514" spans="4:15" x14ac:dyDescent="0.25">
      <c r="D514" s="8"/>
      <c r="E514" s="8"/>
      <c r="F514" s="3"/>
      <c r="G514" s="9"/>
      <c r="O514" s="3"/>
    </row>
    <row r="515" spans="4:15" x14ac:dyDescent="0.25">
      <c r="D515" s="8"/>
      <c r="E515" s="8"/>
      <c r="F515" s="3"/>
      <c r="G515" s="9"/>
      <c r="O515" s="3"/>
    </row>
    <row r="516" spans="4:15" x14ac:dyDescent="0.25">
      <c r="D516" s="8"/>
      <c r="E516" s="8"/>
      <c r="F516" s="3"/>
      <c r="G516" s="9"/>
      <c r="O516" s="3"/>
    </row>
    <row r="517" spans="4:15" x14ac:dyDescent="0.25">
      <c r="D517" s="8"/>
      <c r="E517" s="8"/>
      <c r="F517" s="3"/>
      <c r="G517" s="9"/>
      <c r="O517" s="3"/>
    </row>
    <row r="518" spans="4:15" x14ac:dyDescent="0.25">
      <c r="D518" s="8"/>
      <c r="E518" s="8"/>
      <c r="F518" s="3"/>
      <c r="G518" s="9"/>
      <c r="O518" s="3"/>
    </row>
    <row r="519" spans="4:15" x14ac:dyDescent="0.25">
      <c r="D519" s="8"/>
      <c r="E519" s="8"/>
      <c r="F519" s="3"/>
      <c r="G519" s="9"/>
      <c r="O519" s="3"/>
    </row>
    <row r="520" spans="4:15" x14ac:dyDescent="0.25">
      <c r="D520" s="8"/>
      <c r="E520" s="8"/>
      <c r="F520" s="3"/>
      <c r="G520" s="9"/>
      <c r="O520" s="3"/>
    </row>
    <row r="521" spans="4:15" x14ac:dyDescent="0.25">
      <c r="D521" s="8"/>
      <c r="E521" s="8"/>
      <c r="F521" s="3"/>
      <c r="G521" s="9"/>
      <c r="O521" s="3"/>
    </row>
    <row r="522" spans="4:15" x14ac:dyDescent="0.25">
      <c r="D522" s="8"/>
      <c r="E522" s="8"/>
      <c r="F522" s="3"/>
      <c r="G522" s="9"/>
      <c r="O522" s="3"/>
    </row>
    <row r="523" spans="4:15" x14ac:dyDescent="0.25">
      <c r="D523" s="8"/>
      <c r="E523" s="8"/>
      <c r="F523" s="3"/>
      <c r="G523" s="9"/>
      <c r="O523" s="3"/>
    </row>
    <row r="524" spans="4:15" x14ac:dyDescent="0.25">
      <c r="D524" s="8"/>
      <c r="E524" s="8"/>
      <c r="F524" s="3"/>
      <c r="G524" s="9"/>
      <c r="O524" s="3"/>
    </row>
    <row r="525" spans="4:15" x14ac:dyDescent="0.25">
      <c r="D525" s="8"/>
      <c r="E525" s="8"/>
      <c r="F525" s="3"/>
      <c r="G525" s="9"/>
      <c r="O525" s="3"/>
    </row>
    <row r="526" spans="4:15" x14ac:dyDescent="0.25">
      <c r="D526" s="8"/>
      <c r="E526" s="8"/>
      <c r="F526" s="3"/>
      <c r="G526" s="9"/>
      <c r="O526" s="3"/>
    </row>
    <row r="527" spans="4:15" x14ac:dyDescent="0.25">
      <c r="D527" s="8"/>
      <c r="E527" s="8"/>
      <c r="F527" s="3"/>
      <c r="O527" s="3"/>
    </row>
    <row r="528" spans="4:15" x14ac:dyDescent="0.25">
      <c r="D528" s="8"/>
      <c r="E528" s="8"/>
      <c r="F528" s="3"/>
      <c r="G528" s="9"/>
      <c r="O528" s="3"/>
    </row>
    <row r="529" spans="4:15" x14ac:dyDescent="0.25">
      <c r="D529" s="8"/>
      <c r="E529" s="8"/>
      <c r="F529" s="3"/>
      <c r="G529" s="9"/>
      <c r="O529" s="3"/>
    </row>
    <row r="530" spans="4:15" x14ac:dyDescent="0.25">
      <c r="D530" s="8"/>
      <c r="E530" s="8"/>
      <c r="F530" s="3"/>
      <c r="G530" s="9"/>
      <c r="O530" s="3"/>
    </row>
    <row r="531" spans="4:15" x14ac:dyDescent="0.25">
      <c r="D531" s="8"/>
      <c r="E531" s="8"/>
      <c r="F531" s="3"/>
      <c r="G531" s="9"/>
      <c r="O531" s="3"/>
    </row>
    <row r="532" spans="4:15" x14ac:dyDescent="0.25">
      <c r="D532" s="8"/>
      <c r="E532" s="8"/>
      <c r="F532" s="3"/>
      <c r="G532" s="9"/>
      <c r="O532" s="3"/>
    </row>
    <row r="533" spans="4:15" x14ac:dyDescent="0.25">
      <c r="D533" s="8"/>
      <c r="E533" s="8"/>
      <c r="F533" s="3"/>
      <c r="G533" s="9"/>
      <c r="O533" s="3"/>
    </row>
    <row r="534" spans="4:15" x14ac:dyDescent="0.25">
      <c r="D534" s="8"/>
      <c r="E534" s="8"/>
      <c r="F534" s="3"/>
      <c r="G534" s="9"/>
      <c r="O534" s="3"/>
    </row>
    <row r="535" spans="4:15" x14ac:dyDescent="0.25">
      <c r="D535" s="8"/>
      <c r="E535" s="8"/>
      <c r="F535" s="3"/>
      <c r="G535" s="9"/>
      <c r="O535" s="3"/>
    </row>
    <row r="536" spans="4:15" x14ac:dyDescent="0.25">
      <c r="D536" s="8"/>
      <c r="E536" s="8"/>
      <c r="F536" s="3"/>
      <c r="G536" s="9"/>
      <c r="O536" s="3"/>
    </row>
    <row r="537" spans="4:15" x14ac:dyDescent="0.25">
      <c r="D537" s="8"/>
      <c r="E537" s="8"/>
      <c r="F537" s="3"/>
      <c r="G537" s="9"/>
      <c r="O537" s="3"/>
    </row>
    <row r="538" spans="4:15" x14ac:dyDescent="0.25">
      <c r="D538" s="8"/>
      <c r="E538" s="8"/>
      <c r="F538" s="3"/>
      <c r="G538" s="9"/>
      <c r="O538" s="3"/>
    </row>
    <row r="539" spans="4:15" x14ac:dyDescent="0.25">
      <c r="D539" s="8"/>
      <c r="E539" s="8"/>
      <c r="F539" s="3"/>
      <c r="G539" s="9"/>
      <c r="O539" s="3"/>
    </row>
    <row r="540" spans="4:15" x14ac:dyDescent="0.25">
      <c r="D540" s="8"/>
      <c r="E540" s="8"/>
      <c r="F540" s="3"/>
      <c r="G540" s="9"/>
      <c r="O540" s="3"/>
    </row>
    <row r="541" spans="4:15" x14ac:dyDescent="0.25">
      <c r="D541" s="8"/>
      <c r="E541" s="8"/>
      <c r="F541" s="3"/>
      <c r="G541" s="9"/>
      <c r="O541" s="3"/>
    </row>
    <row r="542" spans="4:15" x14ac:dyDescent="0.25">
      <c r="D542" s="8"/>
      <c r="E542" s="8"/>
      <c r="F542" s="3"/>
      <c r="G542" s="9"/>
      <c r="O542" s="3"/>
    </row>
    <row r="543" spans="4:15" x14ac:dyDescent="0.25">
      <c r="D543" s="8"/>
      <c r="E543" s="8"/>
      <c r="F543" s="3"/>
      <c r="G543" s="9"/>
      <c r="O543" s="3"/>
    </row>
    <row r="544" spans="4:15" x14ac:dyDescent="0.25">
      <c r="D544" s="8"/>
      <c r="E544" s="8"/>
      <c r="F544" s="3"/>
      <c r="G544" s="9"/>
      <c r="O544" s="3"/>
    </row>
    <row r="545" spans="4:15" x14ac:dyDescent="0.25">
      <c r="D545" s="8"/>
      <c r="E545" s="8"/>
      <c r="F545" s="3"/>
      <c r="G545" s="9"/>
      <c r="O545" s="3"/>
    </row>
    <row r="546" spans="4:15" x14ac:dyDescent="0.25">
      <c r="D546" s="8"/>
      <c r="E546" s="8"/>
      <c r="F546" s="3"/>
      <c r="G546" s="9"/>
      <c r="O546" s="3"/>
    </row>
    <row r="547" spans="4:15" x14ac:dyDescent="0.25">
      <c r="D547" s="8"/>
      <c r="E547" s="8"/>
      <c r="F547" s="3"/>
      <c r="G547" s="9"/>
      <c r="O547" s="3"/>
    </row>
    <row r="548" spans="4:15" x14ac:dyDescent="0.25">
      <c r="D548" s="8"/>
      <c r="E548" s="8"/>
      <c r="F548" s="3"/>
      <c r="G548" s="9"/>
      <c r="O548" s="3"/>
    </row>
    <row r="549" spans="4:15" x14ac:dyDescent="0.25">
      <c r="D549" s="8"/>
      <c r="E549" s="8"/>
      <c r="F549" s="3"/>
      <c r="G549" s="9"/>
      <c r="O549" s="3"/>
    </row>
    <row r="550" spans="4:15" x14ac:dyDescent="0.25">
      <c r="D550" s="8"/>
      <c r="E550" s="8"/>
      <c r="F550" s="3"/>
      <c r="G550" s="9"/>
      <c r="O550" s="3"/>
    </row>
    <row r="551" spans="4:15" x14ac:dyDescent="0.25">
      <c r="D551" s="8"/>
      <c r="E551" s="8"/>
      <c r="F551" s="3"/>
      <c r="G551" s="9"/>
      <c r="O551" s="3"/>
    </row>
    <row r="552" spans="4:15" x14ac:dyDescent="0.25">
      <c r="D552" s="8"/>
      <c r="E552" s="8"/>
      <c r="F552" s="3"/>
      <c r="O552" s="3"/>
    </row>
    <row r="553" spans="4:15" x14ac:dyDescent="0.25">
      <c r="D553" s="8"/>
      <c r="E553" s="8"/>
      <c r="F553" s="3"/>
      <c r="G553" s="9"/>
      <c r="O553" s="3"/>
    </row>
    <row r="554" spans="4:15" x14ac:dyDescent="0.25">
      <c r="D554" s="8"/>
      <c r="E554" s="8"/>
      <c r="F554" s="3"/>
      <c r="G554" s="9"/>
      <c r="O554" s="3"/>
    </row>
    <row r="555" spans="4:15" x14ac:dyDescent="0.25">
      <c r="D555" s="8"/>
      <c r="E555" s="8"/>
      <c r="F555" s="3"/>
      <c r="G555" s="9"/>
      <c r="O555" s="3"/>
    </row>
    <row r="556" spans="4:15" x14ac:dyDescent="0.25">
      <c r="D556" s="8"/>
      <c r="E556" s="8"/>
      <c r="F556" s="3"/>
      <c r="G556" s="9"/>
      <c r="O556" s="3"/>
    </row>
    <row r="557" spans="4:15" x14ac:dyDescent="0.25">
      <c r="D557" s="8"/>
      <c r="E557" s="8"/>
      <c r="F557" s="3"/>
      <c r="G557" s="9"/>
      <c r="O557" s="3"/>
    </row>
    <row r="558" spans="4:15" x14ac:dyDescent="0.25">
      <c r="D558" s="8"/>
      <c r="E558" s="8"/>
      <c r="F558" s="3"/>
      <c r="G558" s="9"/>
      <c r="O558" s="3"/>
    </row>
    <row r="559" spans="4:15" x14ac:dyDescent="0.25">
      <c r="D559" s="8"/>
      <c r="E559" s="8"/>
      <c r="F559" s="3"/>
      <c r="G559" s="9"/>
      <c r="O559" s="3"/>
    </row>
    <row r="560" spans="4:15" x14ac:dyDescent="0.25">
      <c r="D560" s="8"/>
      <c r="E560" s="8"/>
      <c r="F560" s="3"/>
      <c r="G560" s="9"/>
      <c r="O560" s="3"/>
    </row>
    <row r="561" spans="4:15" x14ac:dyDescent="0.25">
      <c r="D561" s="8"/>
      <c r="E561" s="8"/>
      <c r="F561" s="3"/>
      <c r="G561" s="9"/>
      <c r="O561" s="3"/>
    </row>
    <row r="562" spans="4:15" x14ac:dyDescent="0.25">
      <c r="D562" s="8"/>
      <c r="E562" s="8"/>
      <c r="F562" s="3"/>
      <c r="G562" s="9"/>
      <c r="O562" s="3"/>
    </row>
    <row r="563" spans="4:15" x14ac:dyDescent="0.25">
      <c r="D563" s="8"/>
      <c r="E563" s="8"/>
      <c r="F563" s="3"/>
      <c r="G563" s="9"/>
      <c r="O563" s="3"/>
    </row>
    <row r="564" spans="4:15" x14ac:dyDescent="0.25">
      <c r="D564" s="8"/>
      <c r="E564" s="8"/>
      <c r="F564" s="3"/>
      <c r="G564" s="9"/>
      <c r="O564" s="3"/>
    </row>
    <row r="565" spans="4:15" x14ac:dyDescent="0.25">
      <c r="D565" s="8"/>
      <c r="E565" s="8"/>
      <c r="F565" s="3"/>
      <c r="G565" s="9"/>
      <c r="O565" s="3"/>
    </row>
    <row r="566" spans="4:15" x14ac:dyDescent="0.25">
      <c r="D566" s="8"/>
      <c r="E566" s="8"/>
      <c r="F566" s="3"/>
      <c r="G566" s="9"/>
      <c r="O566" s="3"/>
    </row>
    <row r="567" spans="4:15" x14ac:dyDescent="0.25">
      <c r="D567" s="8"/>
      <c r="E567" s="8"/>
      <c r="F567" s="3"/>
      <c r="G567" s="9"/>
      <c r="O567" s="3"/>
    </row>
    <row r="568" spans="4:15" x14ac:dyDescent="0.25">
      <c r="D568" s="8"/>
      <c r="E568" s="8"/>
      <c r="F568" s="3"/>
      <c r="G568" s="9"/>
      <c r="O568" s="3"/>
    </row>
    <row r="569" spans="4:15" x14ac:dyDescent="0.25">
      <c r="D569" s="8"/>
      <c r="E569" s="8"/>
      <c r="F569" s="3"/>
      <c r="G569" s="9"/>
      <c r="O569" s="3"/>
    </row>
    <row r="570" spans="4:15" x14ac:dyDescent="0.25">
      <c r="D570" s="8"/>
      <c r="E570" s="8"/>
      <c r="F570" s="3"/>
      <c r="G570" s="9"/>
      <c r="O570" s="3"/>
    </row>
    <row r="571" spans="4:15" x14ac:dyDescent="0.25">
      <c r="D571" s="8"/>
      <c r="E571" s="8"/>
      <c r="F571" s="3"/>
      <c r="G571" s="9"/>
      <c r="O571" s="3"/>
    </row>
    <row r="572" spans="4:15" x14ac:dyDescent="0.25">
      <c r="D572" s="8"/>
      <c r="E572" s="8"/>
      <c r="F572" s="3"/>
      <c r="G572" s="9"/>
      <c r="O572" s="3"/>
    </row>
    <row r="573" spans="4:15" x14ac:dyDescent="0.25">
      <c r="D573" s="8"/>
      <c r="E573" s="8"/>
      <c r="F573" s="3"/>
      <c r="G573" s="9"/>
      <c r="O573" s="3"/>
    </row>
    <row r="574" spans="4:15" x14ac:dyDescent="0.25">
      <c r="D574" s="8"/>
      <c r="E574" s="8"/>
      <c r="F574" s="3"/>
      <c r="G574" s="9"/>
      <c r="O574" s="3"/>
    </row>
    <row r="575" spans="4:15" x14ac:dyDescent="0.25">
      <c r="D575" s="8"/>
      <c r="E575" s="8"/>
      <c r="F575" s="3"/>
      <c r="G575" s="9"/>
      <c r="O575" s="3"/>
    </row>
    <row r="576" spans="4:15" x14ac:dyDescent="0.25">
      <c r="D576" s="8"/>
      <c r="E576" s="8"/>
      <c r="F576" s="3"/>
      <c r="G576" s="9"/>
      <c r="O576" s="3"/>
    </row>
    <row r="577" spans="4:15" x14ac:dyDescent="0.25">
      <c r="D577" s="8"/>
      <c r="E577" s="8"/>
      <c r="F577" s="3"/>
      <c r="O577" s="3"/>
    </row>
    <row r="578" spans="4:15" x14ac:dyDescent="0.25">
      <c r="D578" s="8"/>
      <c r="E578" s="8"/>
      <c r="F578" s="3"/>
      <c r="G578" s="9"/>
      <c r="O578" s="3"/>
    </row>
    <row r="579" spans="4:15" x14ac:dyDescent="0.25">
      <c r="D579" s="8"/>
      <c r="E579" s="8"/>
      <c r="F579" s="3"/>
      <c r="G579" s="9"/>
      <c r="O579" s="3"/>
    </row>
    <row r="580" spans="4:15" x14ac:dyDescent="0.25">
      <c r="D580" s="8"/>
      <c r="E580" s="8"/>
      <c r="F580" s="3"/>
      <c r="G580" s="9"/>
      <c r="O580" s="3"/>
    </row>
    <row r="581" spans="4:15" x14ac:dyDescent="0.25">
      <c r="D581" s="8"/>
      <c r="E581" s="8"/>
      <c r="F581" s="3"/>
      <c r="G581" s="9"/>
      <c r="O581" s="3"/>
    </row>
    <row r="582" spans="4:15" x14ac:dyDescent="0.25">
      <c r="D582" s="8"/>
      <c r="E582" s="8"/>
      <c r="F582" s="3"/>
      <c r="G582" s="9"/>
      <c r="O582" s="3"/>
    </row>
    <row r="583" spans="4:15" x14ac:dyDescent="0.25">
      <c r="D583" s="8"/>
      <c r="E583" s="8"/>
      <c r="F583" s="3"/>
      <c r="G583" s="9"/>
      <c r="O583" s="3"/>
    </row>
    <row r="584" spans="4:15" x14ac:dyDescent="0.25">
      <c r="D584" s="8"/>
      <c r="E584" s="8"/>
      <c r="F584" s="3"/>
      <c r="G584" s="9"/>
      <c r="O584" s="3"/>
    </row>
    <row r="585" spans="4:15" x14ac:dyDescent="0.25">
      <c r="D585" s="8"/>
      <c r="E585" s="8"/>
      <c r="F585" s="3"/>
      <c r="G585" s="9"/>
      <c r="O585" s="3"/>
    </row>
    <row r="586" spans="4:15" x14ac:dyDescent="0.25">
      <c r="D586" s="8"/>
      <c r="E586" s="8"/>
      <c r="F586" s="3"/>
      <c r="G586" s="9"/>
      <c r="O586" s="3"/>
    </row>
    <row r="587" spans="4:15" x14ac:dyDescent="0.25">
      <c r="D587" s="8"/>
      <c r="E587" s="8"/>
      <c r="F587" s="3"/>
      <c r="G587" s="9"/>
      <c r="O587" s="3"/>
    </row>
    <row r="588" spans="4:15" x14ac:dyDescent="0.25">
      <c r="D588" s="8"/>
      <c r="E588" s="8"/>
      <c r="F588" s="3"/>
      <c r="G588" s="9"/>
      <c r="O588" s="3"/>
    </row>
    <row r="589" spans="4:15" x14ac:dyDescent="0.25">
      <c r="D589" s="8"/>
      <c r="E589" s="8"/>
      <c r="F589" s="3"/>
      <c r="G589" s="9"/>
      <c r="O589" s="3"/>
    </row>
    <row r="590" spans="4:15" x14ac:dyDescent="0.25">
      <c r="D590" s="8"/>
      <c r="E590" s="8"/>
      <c r="F590" s="3"/>
      <c r="G590" s="9"/>
      <c r="O590" s="3"/>
    </row>
    <row r="591" spans="4:15" x14ac:dyDescent="0.25">
      <c r="D591" s="8"/>
      <c r="E591" s="8"/>
      <c r="F591" s="3"/>
      <c r="G591" s="9"/>
      <c r="O591" s="3"/>
    </row>
    <row r="592" spans="4:15" x14ac:dyDescent="0.25">
      <c r="D592" s="8"/>
      <c r="E592" s="8"/>
      <c r="F592" s="3"/>
      <c r="G592" s="9"/>
      <c r="O592" s="3"/>
    </row>
    <row r="593" spans="4:15" x14ac:dyDescent="0.25">
      <c r="D593" s="8"/>
      <c r="E593" s="8"/>
      <c r="F593" s="3"/>
      <c r="G593" s="9"/>
      <c r="O593" s="3"/>
    </row>
    <row r="594" spans="4:15" x14ac:dyDescent="0.25">
      <c r="D594" s="8"/>
      <c r="E594" s="8"/>
      <c r="F594" s="3"/>
      <c r="G594" s="9"/>
      <c r="O594" s="3"/>
    </row>
    <row r="595" spans="4:15" x14ac:dyDescent="0.25">
      <c r="D595" s="8"/>
      <c r="E595" s="8"/>
      <c r="F595" s="3"/>
      <c r="G595" s="9"/>
      <c r="O595" s="3"/>
    </row>
    <row r="596" spans="4:15" x14ac:dyDescent="0.25">
      <c r="D596" s="8"/>
      <c r="E596" s="8"/>
      <c r="F596" s="3"/>
      <c r="G596" s="9"/>
      <c r="O596" s="3"/>
    </row>
    <row r="597" spans="4:15" x14ac:dyDescent="0.25">
      <c r="D597" s="8"/>
      <c r="E597" s="8"/>
      <c r="F597" s="3"/>
      <c r="G597" s="9"/>
      <c r="O597" s="3"/>
    </row>
    <row r="598" spans="4:15" x14ac:dyDescent="0.25">
      <c r="D598" s="8"/>
      <c r="E598" s="8"/>
      <c r="F598" s="3"/>
      <c r="G598" s="9"/>
      <c r="O598" s="3"/>
    </row>
    <row r="599" spans="4:15" x14ac:dyDescent="0.25">
      <c r="D599" s="8"/>
      <c r="E599" s="8"/>
      <c r="F599" s="3"/>
      <c r="G599" s="9"/>
      <c r="O599" s="3"/>
    </row>
    <row r="600" spans="4:15" x14ac:dyDescent="0.25">
      <c r="D600" s="8"/>
      <c r="E600" s="8"/>
      <c r="F600" s="3"/>
      <c r="G600" s="9"/>
      <c r="O600" s="3"/>
    </row>
    <row r="601" spans="4:15" x14ac:dyDescent="0.25">
      <c r="D601" s="8"/>
      <c r="E601" s="8"/>
      <c r="F601" s="3"/>
      <c r="G601" s="9"/>
      <c r="O601" s="3"/>
    </row>
    <row r="602" spans="4:15" x14ac:dyDescent="0.25">
      <c r="D602" s="8"/>
      <c r="E602" s="8"/>
      <c r="F602" s="3"/>
      <c r="O602" s="3"/>
    </row>
    <row r="603" spans="4:15" x14ac:dyDescent="0.25">
      <c r="D603" s="8"/>
      <c r="E603" s="8"/>
      <c r="F603" s="3"/>
      <c r="G603" s="9"/>
      <c r="O603" s="3"/>
    </row>
    <row r="604" spans="4:15" x14ac:dyDescent="0.25">
      <c r="D604" s="8"/>
      <c r="E604" s="8"/>
      <c r="F604" s="3"/>
      <c r="G604" s="9"/>
      <c r="O604" s="3"/>
    </row>
    <row r="605" spans="4:15" x14ac:dyDescent="0.25">
      <c r="D605" s="8"/>
      <c r="E605" s="8"/>
      <c r="F605" s="3"/>
      <c r="G605" s="9"/>
      <c r="O605" s="3"/>
    </row>
    <row r="606" spans="4:15" x14ac:dyDescent="0.25">
      <c r="D606" s="8"/>
      <c r="E606" s="8"/>
      <c r="F606" s="3"/>
      <c r="G606" s="9"/>
      <c r="O606" s="3"/>
    </row>
    <row r="607" spans="4:15" x14ac:dyDescent="0.25">
      <c r="D607" s="8"/>
      <c r="E607" s="8"/>
      <c r="F607" s="3"/>
      <c r="G607" s="9"/>
      <c r="O607" s="3"/>
    </row>
    <row r="608" spans="4:15" x14ac:dyDescent="0.25">
      <c r="D608" s="8"/>
      <c r="E608" s="8"/>
      <c r="F608" s="3"/>
      <c r="G608" s="9"/>
      <c r="O608" s="3"/>
    </row>
    <row r="609" spans="4:15" x14ac:dyDescent="0.25">
      <c r="D609" s="8"/>
      <c r="E609" s="8"/>
      <c r="F609" s="3"/>
      <c r="G609" s="9"/>
      <c r="O609" s="3"/>
    </row>
    <row r="610" spans="4:15" x14ac:dyDescent="0.25">
      <c r="D610" s="8"/>
      <c r="E610" s="8"/>
      <c r="F610" s="3"/>
      <c r="G610" s="9"/>
      <c r="O610" s="3"/>
    </row>
    <row r="611" spans="4:15" x14ac:dyDescent="0.25">
      <c r="D611" s="8"/>
      <c r="E611" s="8"/>
      <c r="F611" s="3"/>
      <c r="G611" s="9"/>
      <c r="O611" s="3"/>
    </row>
    <row r="612" spans="4:15" x14ac:dyDescent="0.25">
      <c r="D612" s="8"/>
      <c r="E612" s="8"/>
      <c r="F612" s="3"/>
      <c r="G612" s="9"/>
      <c r="O612" s="3"/>
    </row>
    <row r="613" spans="4:15" x14ac:dyDescent="0.25">
      <c r="D613" s="8"/>
      <c r="E613" s="8"/>
      <c r="F613" s="3"/>
      <c r="G613" s="9"/>
      <c r="O613" s="3"/>
    </row>
    <row r="614" spans="4:15" x14ac:dyDescent="0.25">
      <c r="D614" s="8"/>
      <c r="E614" s="8"/>
      <c r="F614" s="3"/>
      <c r="G614" s="9"/>
      <c r="O614" s="3"/>
    </row>
    <row r="615" spans="4:15" x14ac:dyDescent="0.25">
      <c r="D615" s="8"/>
      <c r="E615" s="8"/>
      <c r="F615" s="3"/>
      <c r="G615" s="9"/>
      <c r="O615" s="3"/>
    </row>
    <row r="616" spans="4:15" x14ac:dyDescent="0.25">
      <c r="D616" s="8"/>
      <c r="E616" s="8"/>
      <c r="F616" s="3"/>
      <c r="G616" s="9"/>
      <c r="O616" s="3"/>
    </row>
    <row r="617" spans="4:15" x14ac:dyDescent="0.25">
      <c r="D617" s="8"/>
      <c r="E617" s="8"/>
      <c r="F617" s="3"/>
      <c r="G617" s="9"/>
      <c r="O617" s="3"/>
    </row>
    <row r="618" spans="4:15" x14ac:dyDescent="0.25">
      <c r="D618" s="8"/>
      <c r="E618" s="8"/>
      <c r="F618" s="3"/>
      <c r="G618" s="9"/>
      <c r="O618" s="3"/>
    </row>
    <row r="619" spans="4:15" x14ac:dyDescent="0.25">
      <c r="D619" s="8"/>
      <c r="E619" s="8"/>
      <c r="F619" s="3"/>
      <c r="G619" s="9"/>
      <c r="O619" s="3"/>
    </row>
    <row r="620" spans="4:15" x14ac:dyDescent="0.25">
      <c r="D620" s="8"/>
      <c r="E620" s="8"/>
      <c r="F620" s="3"/>
      <c r="G620" s="9"/>
      <c r="O620" s="3"/>
    </row>
    <row r="621" spans="4:15" x14ac:dyDescent="0.25">
      <c r="D621" s="8"/>
      <c r="E621" s="8"/>
      <c r="F621" s="3"/>
      <c r="G621" s="9"/>
      <c r="O621" s="3"/>
    </row>
    <row r="622" spans="4:15" x14ac:dyDescent="0.25">
      <c r="D622" s="8"/>
      <c r="E622" s="8"/>
      <c r="F622" s="3"/>
      <c r="G622" s="9"/>
      <c r="O622" s="3"/>
    </row>
    <row r="623" spans="4:15" x14ac:dyDescent="0.25">
      <c r="D623" s="8"/>
      <c r="E623" s="8"/>
      <c r="F623" s="3"/>
      <c r="G623" s="9"/>
      <c r="O623" s="3"/>
    </row>
    <row r="624" spans="4:15" x14ac:dyDescent="0.25">
      <c r="D624" s="8"/>
      <c r="E624" s="8"/>
      <c r="F624" s="3"/>
      <c r="G624" s="9"/>
      <c r="O624" s="3"/>
    </row>
    <row r="625" spans="4:15" x14ac:dyDescent="0.25">
      <c r="D625" s="8"/>
      <c r="E625" s="8"/>
      <c r="F625" s="3"/>
      <c r="G625" s="9"/>
      <c r="O625" s="3"/>
    </row>
    <row r="626" spans="4:15" x14ac:dyDescent="0.25">
      <c r="D626" s="8"/>
      <c r="E626" s="8"/>
      <c r="F626" s="3"/>
      <c r="G626" s="9"/>
      <c r="O626" s="3"/>
    </row>
    <row r="627" spans="4:15" x14ac:dyDescent="0.25">
      <c r="D627" s="8"/>
      <c r="E627" s="8"/>
      <c r="F627" s="3"/>
      <c r="O627" s="3"/>
    </row>
    <row r="628" spans="4:15" x14ac:dyDescent="0.25">
      <c r="D628" s="8"/>
      <c r="E628" s="8"/>
      <c r="F628" s="3"/>
      <c r="G628" s="9"/>
      <c r="O628" s="3"/>
    </row>
    <row r="629" spans="4:15" x14ac:dyDescent="0.25">
      <c r="D629" s="8"/>
      <c r="E629" s="8"/>
      <c r="F629" s="3"/>
      <c r="G629" s="9"/>
      <c r="O629" s="3"/>
    </row>
    <row r="630" spans="4:15" x14ac:dyDescent="0.25">
      <c r="D630" s="8"/>
      <c r="E630" s="8"/>
      <c r="F630" s="3"/>
      <c r="G630" s="9"/>
      <c r="O630" s="3"/>
    </row>
    <row r="631" spans="4:15" x14ac:dyDescent="0.25">
      <c r="D631" s="8"/>
      <c r="E631" s="8"/>
      <c r="F631" s="3"/>
      <c r="G631" s="9"/>
      <c r="O631" s="3"/>
    </row>
    <row r="632" spans="4:15" x14ac:dyDescent="0.25">
      <c r="D632" s="8"/>
      <c r="E632" s="8"/>
      <c r="F632" s="3"/>
      <c r="G632" s="9"/>
      <c r="O632" s="3"/>
    </row>
    <row r="633" spans="4:15" x14ac:dyDescent="0.25">
      <c r="D633" s="8"/>
      <c r="E633" s="8"/>
      <c r="F633" s="3"/>
      <c r="G633" s="9"/>
      <c r="O633" s="3"/>
    </row>
    <row r="634" spans="4:15" x14ac:dyDescent="0.25">
      <c r="D634" s="8"/>
      <c r="E634" s="8"/>
      <c r="F634" s="3"/>
      <c r="G634" s="9"/>
      <c r="O634" s="3"/>
    </row>
    <row r="635" spans="4:15" x14ac:dyDescent="0.25">
      <c r="D635" s="8"/>
      <c r="E635" s="8"/>
      <c r="F635" s="3"/>
      <c r="G635" s="9"/>
      <c r="O635" s="3"/>
    </row>
    <row r="636" spans="4:15" x14ac:dyDescent="0.25">
      <c r="D636" s="8"/>
      <c r="E636" s="8"/>
      <c r="F636" s="3"/>
      <c r="G636" s="9"/>
      <c r="O636" s="3"/>
    </row>
    <row r="637" spans="4:15" x14ac:dyDescent="0.25">
      <c r="D637" s="8"/>
      <c r="E637" s="8"/>
      <c r="F637" s="3"/>
      <c r="G637" s="9"/>
      <c r="O637" s="3"/>
    </row>
    <row r="638" spans="4:15" x14ac:dyDescent="0.25">
      <c r="D638" s="8"/>
      <c r="E638" s="8"/>
      <c r="F638" s="3"/>
      <c r="G638" s="9"/>
      <c r="O638" s="3"/>
    </row>
    <row r="639" spans="4:15" x14ac:dyDescent="0.25">
      <c r="D639" s="8"/>
      <c r="E639" s="8"/>
      <c r="F639" s="3"/>
      <c r="G639" s="9"/>
      <c r="O639" s="3"/>
    </row>
    <row r="640" spans="4:15" x14ac:dyDescent="0.25">
      <c r="D640" s="8"/>
      <c r="E640" s="8"/>
      <c r="F640" s="3"/>
      <c r="G640" s="9"/>
      <c r="O640" s="3"/>
    </row>
    <row r="641" spans="4:15" x14ac:dyDescent="0.25">
      <c r="D641" s="8"/>
      <c r="E641" s="8"/>
      <c r="F641" s="3"/>
      <c r="G641" s="9"/>
      <c r="O641" s="3"/>
    </row>
    <row r="642" spans="4:15" x14ac:dyDescent="0.25">
      <c r="D642" s="8"/>
      <c r="E642" s="8"/>
      <c r="F642" s="3"/>
      <c r="G642" s="9"/>
      <c r="O642" s="3"/>
    </row>
    <row r="643" spans="4:15" x14ac:dyDescent="0.25">
      <c r="D643" s="8"/>
      <c r="E643" s="8"/>
      <c r="F643" s="3"/>
      <c r="G643" s="9"/>
      <c r="O643" s="3"/>
    </row>
    <row r="644" spans="4:15" x14ac:dyDescent="0.25">
      <c r="D644" s="8"/>
      <c r="E644" s="8"/>
      <c r="F644" s="3"/>
      <c r="G644" s="9"/>
      <c r="O644" s="3"/>
    </row>
    <row r="645" spans="4:15" x14ac:dyDescent="0.25">
      <c r="D645" s="8"/>
      <c r="E645" s="8"/>
      <c r="F645" s="3"/>
      <c r="G645" s="9"/>
      <c r="O645" s="3"/>
    </row>
    <row r="646" spans="4:15" x14ac:dyDescent="0.25">
      <c r="D646" s="8"/>
      <c r="E646" s="8"/>
      <c r="F646" s="3"/>
      <c r="G646" s="9"/>
      <c r="O646" s="3"/>
    </row>
    <row r="647" spans="4:15" x14ac:dyDescent="0.25">
      <c r="D647" s="8"/>
      <c r="E647" s="8"/>
      <c r="F647" s="3"/>
      <c r="G647" s="9"/>
      <c r="O647" s="3"/>
    </row>
    <row r="648" spans="4:15" x14ac:dyDescent="0.25">
      <c r="D648" s="8"/>
      <c r="E648" s="8"/>
      <c r="F648" s="3"/>
      <c r="G648" s="9"/>
      <c r="O648" s="3"/>
    </row>
    <row r="649" spans="4:15" x14ac:dyDescent="0.25">
      <c r="D649" s="8"/>
      <c r="E649" s="8"/>
      <c r="F649" s="3"/>
      <c r="G649" s="9"/>
      <c r="O649" s="3"/>
    </row>
    <row r="650" spans="4:15" x14ac:dyDescent="0.25">
      <c r="D650" s="8"/>
      <c r="E650" s="8"/>
      <c r="F650" s="3"/>
      <c r="G650" s="9"/>
      <c r="O650" s="3"/>
    </row>
    <row r="651" spans="4:15" x14ac:dyDescent="0.25">
      <c r="D651" s="8"/>
      <c r="E651" s="8"/>
      <c r="F651" s="3"/>
      <c r="G651" s="9"/>
      <c r="O651" s="3"/>
    </row>
    <row r="652" spans="4:15" x14ac:dyDescent="0.25">
      <c r="D652" s="8"/>
      <c r="E652" s="8"/>
      <c r="F652" s="3"/>
      <c r="O652" s="3"/>
    </row>
    <row r="653" spans="4:15" x14ac:dyDescent="0.25">
      <c r="D653" s="8"/>
      <c r="E653" s="8"/>
      <c r="F653" s="3"/>
      <c r="G653" s="9"/>
      <c r="O653" s="3"/>
    </row>
    <row r="654" spans="4:15" x14ac:dyDescent="0.25">
      <c r="D654" s="8"/>
      <c r="E654" s="8"/>
      <c r="F654" s="3"/>
      <c r="G654" s="9"/>
      <c r="O654" s="3"/>
    </row>
    <row r="655" spans="4:15" x14ac:dyDescent="0.25">
      <c r="D655" s="8"/>
      <c r="E655" s="8"/>
      <c r="F655" s="3"/>
      <c r="G655" s="9"/>
      <c r="O655" s="3"/>
    </row>
    <row r="656" spans="4:15" x14ac:dyDescent="0.25">
      <c r="D656" s="8"/>
      <c r="E656" s="8"/>
      <c r="F656" s="3"/>
      <c r="G656" s="9"/>
      <c r="O656" s="3"/>
    </row>
    <row r="657" spans="4:15" x14ac:dyDescent="0.25">
      <c r="D657" s="8"/>
      <c r="E657" s="8"/>
      <c r="F657" s="3"/>
      <c r="G657" s="9"/>
      <c r="O657" s="3"/>
    </row>
    <row r="658" spans="4:15" x14ac:dyDescent="0.25">
      <c r="D658" s="8"/>
      <c r="E658" s="8"/>
      <c r="F658" s="3"/>
      <c r="G658" s="9"/>
      <c r="O658" s="3"/>
    </row>
    <row r="659" spans="4:15" x14ac:dyDescent="0.25">
      <c r="D659" s="8"/>
      <c r="E659" s="8"/>
      <c r="F659" s="3"/>
      <c r="G659" s="9"/>
      <c r="O659" s="3"/>
    </row>
    <row r="660" spans="4:15" x14ac:dyDescent="0.25">
      <c r="D660" s="8"/>
      <c r="E660" s="8"/>
      <c r="F660" s="3"/>
      <c r="G660" s="9"/>
      <c r="O660" s="3"/>
    </row>
    <row r="661" spans="4:15" x14ac:dyDescent="0.25">
      <c r="D661" s="8"/>
      <c r="E661" s="8"/>
      <c r="F661" s="3"/>
      <c r="G661" s="9"/>
      <c r="O661" s="3"/>
    </row>
    <row r="662" spans="4:15" x14ac:dyDescent="0.25">
      <c r="D662" s="8"/>
      <c r="E662" s="8"/>
      <c r="F662" s="3"/>
      <c r="G662" s="9"/>
      <c r="O662" s="3"/>
    </row>
    <row r="663" spans="4:15" x14ac:dyDescent="0.25">
      <c r="D663" s="8"/>
      <c r="E663" s="8"/>
      <c r="F663" s="3"/>
      <c r="G663" s="9"/>
      <c r="O663" s="3"/>
    </row>
    <row r="664" spans="4:15" x14ac:dyDescent="0.25">
      <c r="D664" s="8"/>
      <c r="E664" s="8"/>
      <c r="F664" s="3"/>
      <c r="G664" s="9"/>
      <c r="O664" s="3"/>
    </row>
    <row r="665" spans="4:15" x14ac:dyDescent="0.25">
      <c r="D665" s="8"/>
      <c r="E665" s="8"/>
      <c r="F665" s="3"/>
      <c r="G665" s="9"/>
      <c r="O665" s="3"/>
    </row>
    <row r="666" spans="4:15" x14ac:dyDescent="0.25">
      <c r="D666" s="8"/>
      <c r="E666" s="8"/>
      <c r="F666" s="3"/>
      <c r="G666" s="9"/>
      <c r="O666" s="3"/>
    </row>
    <row r="667" spans="4:15" x14ac:dyDescent="0.25">
      <c r="D667" s="8"/>
      <c r="E667" s="8"/>
      <c r="F667" s="3"/>
      <c r="G667" s="9"/>
      <c r="O667" s="3"/>
    </row>
    <row r="668" spans="4:15" x14ac:dyDescent="0.25">
      <c r="D668" s="8"/>
      <c r="E668" s="8"/>
      <c r="F668" s="3"/>
      <c r="G668" s="9"/>
      <c r="O668" s="3"/>
    </row>
    <row r="669" spans="4:15" x14ac:dyDescent="0.25">
      <c r="D669" s="8"/>
      <c r="E669" s="8"/>
      <c r="F669" s="3"/>
      <c r="G669" s="9"/>
      <c r="O669" s="3"/>
    </row>
    <row r="670" spans="4:15" x14ac:dyDescent="0.25">
      <c r="D670" s="8"/>
      <c r="E670" s="8"/>
      <c r="F670" s="3"/>
      <c r="G670" s="9"/>
      <c r="O670" s="3"/>
    </row>
    <row r="671" spans="4:15" x14ac:dyDescent="0.25">
      <c r="D671" s="8"/>
      <c r="E671" s="8"/>
      <c r="F671" s="3"/>
      <c r="G671" s="9"/>
      <c r="O671" s="3"/>
    </row>
    <row r="672" spans="4:15" x14ac:dyDescent="0.25">
      <c r="D672" s="8"/>
      <c r="E672" s="8"/>
      <c r="F672" s="3"/>
      <c r="G672" s="9"/>
      <c r="O672" s="3"/>
    </row>
    <row r="673" spans="4:15" x14ac:dyDescent="0.25">
      <c r="D673" s="8"/>
      <c r="E673" s="8"/>
      <c r="F673" s="3"/>
      <c r="G673" s="9"/>
      <c r="O673" s="3"/>
    </row>
    <row r="674" spans="4:15" x14ac:dyDescent="0.25">
      <c r="D674" s="8"/>
      <c r="E674" s="8"/>
      <c r="F674" s="3"/>
      <c r="G674" s="9"/>
      <c r="O674" s="3"/>
    </row>
    <row r="675" spans="4:15" x14ac:dyDescent="0.25">
      <c r="D675" s="8"/>
      <c r="E675" s="8"/>
      <c r="F675" s="3"/>
      <c r="G675" s="9"/>
      <c r="O675" s="3"/>
    </row>
    <row r="676" spans="4:15" x14ac:dyDescent="0.25">
      <c r="D676" s="8"/>
      <c r="E676" s="8"/>
      <c r="F676" s="3"/>
      <c r="G676" s="9"/>
      <c r="O676" s="3"/>
    </row>
    <row r="677" spans="4:15" x14ac:dyDescent="0.25">
      <c r="D677" s="8"/>
      <c r="E677" s="8"/>
      <c r="F677" s="3"/>
      <c r="O677" s="3"/>
    </row>
    <row r="678" spans="4:15" x14ac:dyDescent="0.25">
      <c r="D678" s="8"/>
      <c r="E678" s="8"/>
      <c r="F678" s="3"/>
      <c r="G678" s="9"/>
      <c r="O678" s="3"/>
    </row>
    <row r="679" spans="4:15" x14ac:dyDescent="0.25">
      <c r="D679" s="8"/>
      <c r="E679" s="8"/>
      <c r="F679" s="3"/>
      <c r="G679" s="9"/>
      <c r="O679" s="3"/>
    </row>
    <row r="680" spans="4:15" x14ac:dyDescent="0.25">
      <c r="D680" s="8"/>
      <c r="E680" s="8"/>
      <c r="F680" s="3"/>
      <c r="G680" s="9"/>
      <c r="O680" s="3"/>
    </row>
    <row r="681" spans="4:15" x14ac:dyDescent="0.25">
      <c r="D681" s="8"/>
      <c r="E681" s="8"/>
      <c r="F681" s="3"/>
      <c r="G681" s="9"/>
      <c r="O681" s="3"/>
    </row>
    <row r="682" spans="4:15" x14ac:dyDescent="0.25">
      <c r="D682" s="8"/>
      <c r="E682" s="8"/>
      <c r="F682" s="3"/>
      <c r="G682" s="9"/>
      <c r="O682" s="3"/>
    </row>
    <row r="683" spans="4:15" x14ac:dyDescent="0.25">
      <c r="D683" s="8"/>
      <c r="E683" s="8"/>
      <c r="F683" s="3"/>
      <c r="G683" s="9"/>
      <c r="O683" s="3"/>
    </row>
    <row r="684" spans="4:15" x14ac:dyDescent="0.25">
      <c r="D684" s="8"/>
      <c r="E684" s="8"/>
      <c r="F684" s="3"/>
      <c r="G684" s="9"/>
      <c r="O684" s="3"/>
    </row>
    <row r="685" spans="4:15" x14ac:dyDescent="0.25">
      <c r="D685" s="8"/>
      <c r="E685" s="8"/>
      <c r="F685" s="3"/>
      <c r="G685" s="9"/>
      <c r="O685" s="3"/>
    </row>
    <row r="686" spans="4:15" x14ac:dyDescent="0.25">
      <c r="D686" s="8"/>
      <c r="E686" s="8"/>
      <c r="F686" s="3"/>
      <c r="G686" s="9"/>
      <c r="O686" s="3"/>
    </row>
    <row r="687" spans="4:15" x14ac:dyDescent="0.25">
      <c r="D687" s="8"/>
      <c r="E687" s="8"/>
      <c r="F687" s="3"/>
      <c r="G687" s="9"/>
      <c r="O687" s="3"/>
    </row>
    <row r="688" spans="4:15" x14ac:dyDescent="0.25">
      <c r="D688" s="8"/>
      <c r="E688" s="8"/>
      <c r="F688" s="3"/>
      <c r="G688" s="9"/>
      <c r="O688" s="3"/>
    </row>
    <row r="689" spans="4:15" x14ac:dyDescent="0.25">
      <c r="D689" s="8"/>
      <c r="E689" s="8"/>
      <c r="F689" s="3"/>
      <c r="G689" s="9"/>
      <c r="O689" s="3"/>
    </row>
    <row r="690" spans="4:15" x14ac:dyDescent="0.25">
      <c r="D690" s="8"/>
      <c r="E690" s="8"/>
      <c r="F690" s="3"/>
      <c r="G690" s="9"/>
      <c r="O690" s="3"/>
    </row>
    <row r="691" spans="4:15" x14ac:dyDescent="0.25">
      <c r="D691" s="8"/>
      <c r="E691" s="8"/>
      <c r="F691" s="3"/>
      <c r="G691" s="9"/>
      <c r="O691" s="3"/>
    </row>
    <row r="692" spans="4:15" x14ac:dyDescent="0.25">
      <c r="D692" s="8"/>
      <c r="E692" s="8"/>
      <c r="F692" s="3"/>
      <c r="G692" s="9"/>
      <c r="O692" s="3"/>
    </row>
    <row r="693" spans="4:15" x14ac:dyDescent="0.25">
      <c r="D693" s="8"/>
      <c r="E693" s="8"/>
      <c r="F693" s="3"/>
      <c r="G693" s="9"/>
      <c r="O693" s="3"/>
    </row>
    <row r="694" spans="4:15" x14ac:dyDescent="0.25">
      <c r="D694" s="8"/>
      <c r="E694" s="8"/>
      <c r="F694" s="3"/>
      <c r="G694" s="9"/>
      <c r="O694" s="3"/>
    </row>
    <row r="695" spans="4:15" x14ac:dyDescent="0.25">
      <c r="D695" s="8"/>
      <c r="E695" s="8"/>
      <c r="F695" s="3"/>
      <c r="G695" s="9"/>
      <c r="O695" s="3"/>
    </row>
    <row r="696" spans="4:15" x14ac:dyDescent="0.25">
      <c r="D696" s="8"/>
      <c r="E696" s="8"/>
      <c r="F696" s="3"/>
      <c r="G696" s="9"/>
      <c r="O696" s="3"/>
    </row>
    <row r="697" spans="4:15" x14ac:dyDescent="0.25">
      <c r="D697" s="8"/>
      <c r="E697" s="8"/>
      <c r="F697" s="3"/>
      <c r="G697" s="9"/>
      <c r="O697" s="3"/>
    </row>
    <row r="698" spans="4:15" x14ac:dyDescent="0.25">
      <c r="D698" s="8"/>
      <c r="E698" s="8"/>
      <c r="F698" s="3"/>
      <c r="G698" s="9"/>
      <c r="O698" s="3"/>
    </row>
    <row r="699" spans="4:15" x14ac:dyDescent="0.25">
      <c r="D699" s="8"/>
      <c r="E699" s="8"/>
      <c r="F699" s="3"/>
      <c r="G699" s="9"/>
      <c r="O699" s="3"/>
    </row>
    <row r="700" spans="4:15" x14ac:dyDescent="0.25">
      <c r="D700" s="8"/>
      <c r="E700" s="8"/>
      <c r="F700" s="3"/>
      <c r="G700" s="9"/>
      <c r="O700" s="3"/>
    </row>
    <row r="701" spans="4:15" x14ac:dyDescent="0.25">
      <c r="D701" s="8"/>
      <c r="E701" s="8"/>
      <c r="F701" s="3"/>
      <c r="G701" s="9"/>
      <c r="O701" s="3"/>
    </row>
    <row r="702" spans="4:15" x14ac:dyDescent="0.25">
      <c r="D702" s="8"/>
      <c r="E702" s="8"/>
      <c r="F702" s="3"/>
      <c r="O702" s="3"/>
    </row>
    <row r="703" spans="4:15" x14ac:dyDescent="0.25">
      <c r="D703" s="8"/>
      <c r="E703" s="8"/>
      <c r="F703" s="3"/>
      <c r="G703" s="9"/>
      <c r="O703" s="3"/>
    </row>
    <row r="704" spans="4:15" x14ac:dyDescent="0.25">
      <c r="D704" s="8"/>
      <c r="E704" s="8"/>
      <c r="F704" s="3"/>
      <c r="G704" s="9"/>
      <c r="O704" s="3"/>
    </row>
    <row r="705" spans="4:15" x14ac:dyDescent="0.25">
      <c r="D705" s="8"/>
      <c r="E705" s="8"/>
      <c r="F705" s="3"/>
      <c r="G705" s="9"/>
      <c r="O705" s="3"/>
    </row>
    <row r="706" spans="4:15" x14ac:dyDescent="0.25">
      <c r="D706" s="8"/>
      <c r="E706" s="8"/>
      <c r="F706" s="3"/>
      <c r="G706" s="9"/>
      <c r="O706" s="3"/>
    </row>
    <row r="707" spans="4:15" x14ac:dyDescent="0.25">
      <c r="D707" s="8"/>
      <c r="E707" s="8"/>
      <c r="F707" s="3"/>
      <c r="G707" s="9"/>
      <c r="O707" s="3"/>
    </row>
    <row r="708" spans="4:15" x14ac:dyDescent="0.25">
      <c r="D708" s="8"/>
      <c r="E708" s="8"/>
      <c r="F708" s="3"/>
      <c r="G708" s="9"/>
      <c r="O708" s="3"/>
    </row>
    <row r="709" spans="4:15" x14ac:dyDescent="0.25">
      <c r="D709" s="8"/>
      <c r="E709" s="8"/>
      <c r="F709" s="3"/>
      <c r="G709" s="9"/>
      <c r="O709" s="3"/>
    </row>
    <row r="710" spans="4:15" x14ac:dyDescent="0.25">
      <c r="D710" s="8"/>
      <c r="E710" s="8"/>
      <c r="F710" s="3"/>
      <c r="G710" s="9"/>
      <c r="O710" s="3"/>
    </row>
    <row r="711" spans="4:15" x14ac:dyDescent="0.25">
      <c r="D711" s="8"/>
      <c r="E711" s="8"/>
      <c r="F711" s="3"/>
      <c r="G711" s="9"/>
      <c r="O711" s="3"/>
    </row>
    <row r="712" spans="4:15" x14ac:dyDescent="0.25">
      <c r="D712" s="8"/>
      <c r="E712" s="8"/>
      <c r="F712" s="3"/>
      <c r="G712" s="9"/>
      <c r="O712" s="3"/>
    </row>
    <row r="713" spans="4:15" x14ac:dyDescent="0.25">
      <c r="D713" s="8"/>
      <c r="E713" s="8"/>
      <c r="F713" s="3"/>
      <c r="G713" s="9"/>
      <c r="O713" s="3"/>
    </row>
    <row r="714" spans="4:15" x14ac:dyDescent="0.25">
      <c r="D714" s="8"/>
      <c r="E714" s="8"/>
      <c r="F714" s="3"/>
      <c r="G714" s="9"/>
      <c r="O714" s="3"/>
    </row>
    <row r="715" spans="4:15" x14ac:dyDescent="0.25">
      <c r="D715" s="8"/>
      <c r="E715" s="8"/>
      <c r="F715" s="3"/>
      <c r="G715" s="9"/>
      <c r="O715" s="3"/>
    </row>
    <row r="716" spans="4:15" x14ac:dyDescent="0.25">
      <c r="D716" s="8"/>
      <c r="E716" s="8"/>
      <c r="F716" s="3"/>
      <c r="G716" s="9"/>
      <c r="O716" s="3"/>
    </row>
    <row r="717" spans="4:15" x14ac:dyDescent="0.25">
      <c r="D717" s="8"/>
      <c r="E717" s="8"/>
      <c r="F717" s="3"/>
      <c r="G717" s="9"/>
      <c r="O717" s="3"/>
    </row>
    <row r="718" spans="4:15" x14ac:dyDescent="0.25">
      <c r="D718" s="3"/>
      <c r="F718" s="3"/>
      <c r="G718" s="9"/>
      <c r="O718" s="3"/>
    </row>
    <row r="719" spans="4:15" x14ac:dyDescent="0.25">
      <c r="F719" s="3"/>
      <c r="G719" s="9"/>
      <c r="O719" s="3"/>
    </row>
    <row r="720" spans="4:15" x14ac:dyDescent="0.25">
      <c r="F720" s="3"/>
      <c r="G720" s="9"/>
      <c r="O720" s="3"/>
    </row>
    <row r="721" spans="6:15" x14ac:dyDescent="0.25">
      <c r="F721" s="3"/>
      <c r="G721" s="9"/>
      <c r="O721" s="3"/>
    </row>
    <row r="722" spans="6:15" x14ac:dyDescent="0.25">
      <c r="F722" s="3"/>
      <c r="G722" s="9"/>
      <c r="O722" s="3"/>
    </row>
    <row r="723" spans="6:15" x14ac:dyDescent="0.25">
      <c r="F723" s="3"/>
      <c r="G723" s="9"/>
      <c r="O723" s="3"/>
    </row>
    <row r="724" spans="6:15" x14ac:dyDescent="0.25">
      <c r="F724" s="3"/>
      <c r="G724" s="9"/>
      <c r="O724" s="3"/>
    </row>
    <row r="725" spans="6:15" x14ac:dyDescent="0.25">
      <c r="F725" s="3"/>
      <c r="G725" s="9"/>
      <c r="O725" s="3"/>
    </row>
    <row r="726" spans="6:15" x14ac:dyDescent="0.25">
      <c r="F726" s="3"/>
      <c r="G726" s="9"/>
      <c r="O726" s="3"/>
    </row>
    <row r="727" spans="6:15" x14ac:dyDescent="0.25">
      <c r="F727" s="3"/>
      <c r="O727" s="3"/>
    </row>
    <row r="728" spans="6:15" x14ac:dyDescent="0.25">
      <c r="F728" s="3"/>
      <c r="G728" s="9"/>
      <c r="O728" s="3"/>
    </row>
    <row r="729" spans="6:15" x14ac:dyDescent="0.25">
      <c r="F729" s="3"/>
      <c r="G729" s="9"/>
      <c r="O729" s="3"/>
    </row>
    <row r="730" spans="6:15" x14ac:dyDescent="0.25">
      <c r="F730" s="3"/>
      <c r="G730" s="9"/>
      <c r="O730" s="3"/>
    </row>
    <row r="731" spans="6:15" x14ac:dyDescent="0.25">
      <c r="F731" s="3"/>
      <c r="G731" s="9"/>
      <c r="O731" s="3"/>
    </row>
    <row r="732" spans="6:15" x14ac:dyDescent="0.25">
      <c r="F732" s="3"/>
      <c r="G732" s="9"/>
      <c r="O732" s="3"/>
    </row>
    <row r="733" spans="6:15" x14ac:dyDescent="0.25">
      <c r="F733" s="3"/>
      <c r="G733" s="9"/>
      <c r="O733" s="3"/>
    </row>
    <row r="734" spans="6:15" x14ac:dyDescent="0.25">
      <c r="F73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B743"/>
  <sheetViews>
    <sheetView workbookViewId="0">
      <selection sqref="A1:B1048576"/>
    </sheetView>
  </sheetViews>
  <sheetFormatPr defaultRowHeight="15" x14ac:dyDescent="0.25"/>
  <sheetData>
    <row r="1" spans="1:2" x14ac:dyDescent="0.25">
      <c r="B1" s="2">
        <v>45134</v>
      </c>
    </row>
    <row r="2" spans="1:2" x14ac:dyDescent="0.25">
      <c r="A2" t="s">
        <v>0</v>
      </c>
      <c r="B2" t="s">
        <v>1</v>
      </c>
    </row>
    <row r="3" spans="1:2" x14ac:dyDescent="0.25">
      <c r="A3">
        <v>2</v>
      </c>
      <c r="B3" s="3">
        <v>14.478314285714285</v>
      </c>
    </row>
    <row r="4" spans="1:2" x14ac:dyDescent="0.25">
      <c r="A4">
        <v>4</v>
      </c>
      <c r="B4" s="3">
        <v>12.16187142857143</v>
      </c>
    </row>
    <row r="5" spans="1:2" x14ac:dyDescent="0.25">
      <c r="A5">
        <v>6</v>
      </c>
      <c r="B5" s="3">
        <v>10.720242857142855</v>
      </c>
    </row>
    <row r="6" spans="1:2" x14ac:dyDescent="0.25">
      <c r="A6">
        <v>8</v>
      </c>
      <c r="B6" s="3">
        <v>9.3402571428571424</v>
      </c>
    </row>
    <row r="7" spans="1:2" x14ac:dyDescent="0.25">
      <c r="A7">
        <v>10</v>
      </c>
      <c r="B7" s="3">
        <v>7.8816428571428574</v>
      </c>
    </row>
    <row r="8" spans="1:2" x14ac:dyDescent="0.25">
      <c r="A8">
        <v>12</v>
      </c>
      <c r="B8" s="3">
        <v>6.7093571428571428</v>
      </c>
    </row>
    <row r="9" spans="1:2" x14ac:dyDescent="0.25">
      <c r="A9">
        <v>14</v>
      </c>
      <c r="B9" s="3">
        <v>5.9455428571428568</v>
      </c>
    </row>
    <row r="10" spans="1:2" x14ac:dyDescent="0.25">
      <c r="A10">
        <v>16</v>
      </c>
      <c r="B10" s="3">
        <v>5.2812000000000001</v>
      </c>
    </row>
    <row r="11" spans="1:2" x14ac:dyDescent="0.25">
      <c r="A11">
        <v>18</v>
      </c>
      <c r="B11" s="3">
        <v>4.850200000000001</v>
      </c>
    </row>
    <row r="12" spans="1:2" x14ac:dyDescent="0.25">
      <c r="A12">
        <v>20</v>
      </c>
      <c r="B12" s="3">
        <v>4.5959000000000003</v>
      </c>
    </row>
    <row r="13" spans="1:2" x14ac:dyDescent="0.25">
      <c r="A13">
        <v>22</v>
      </c>
      <c r="B13" s="3">
        <v>4.4119285714285708</v>
      </c>
    </row>
    <row r="14" spans="1:2" x14ac:dyDescent="0.25">
      <c r="A14">
        <v>24</v>
      </c>
      <c r="B14" s="3">
        <v>4.2725857142857135</v>
      </c>
    </row>
    <row r="15" spans="1:2" x14ac:dyDescent="0.25">
      <c r="A15">
        <v>26</v>
      </c>
      <c r="B15" s="3">
        <v>4.1670714285714281</v>
      </c>
    </row>
    <row r="16" spans="1:2" x14ac:dyDescent="0.25">
      <c r="A16">
        <v>28</v>
      </c>
      <c r="B16" s="3">
        <v>4.090985714285714</v>
      </c>
    </row>
    <row r="17" spans="1:2" x14ac:dyDescent="0.25">
      <c r="A17">
        <v>30</v>
      </c>
      <c r="B17" s="3">
        <v>4.0432714285714288</v>
      </c>
    </row>
    <row r="18" spans="1:2" x14ac:dyDescent="0.25">
      <c r="A18">
        <v>32</v>
      </c>
      <c r="B18" s="3">
        <v>4.0070142857142859</v>
      </c>
    </row>
    <row r="19" spans="1:2" x14ac:dyDescent="0.25">
      <c r="A19">
        <v>34</v>
      </c>
      <c r="B19" s="3">
        <v>3.9708857142857146</v>
      </c>
    </row>
    <row r="20" spans="1:2" x14ac:dyDescent="0.25">
      <c r="A20">
        <v>36</v>
      </c>
      <c r="B20" s="3">
        <v>3.9419285714285714</v>
      </c>
    </row>
    <row r="21" spans="1:2" x14ac:dyDescent="0.25">
      <c r="A21">
        <v>38</v>
      </c>
      <c r="B21" s="3">
        <v>3.9157714285714285</v>
      </c>
    </row>
    <row r="22" spans="1:2" x14ac:dyDescent="0.25">
      <c r="A22">
        <v>40</v>
      </c>
      <c r="B22" s="3">
        <v>3.9051285714285711</v>
      </c>
    </row>
    <row r="23" spans="1:2" x14ac:dyDescent="0.25">
      <c r="A23">
        <v>42</v>
      </c>
      <c r="B23" s="3">
        <v>3.8995571428571423</v>
      </c>
    </row>
    <row r="24" spans="1:2" x14ac:dyDescent="0.25">
      <c r="A24">
        <v>44</v>
      </c>
      <c r="B24" s="3">
        <v>3.8935571428571429</v>
      </c>
    </row>
    <row r="25" spans="1:2" x14ac:dyDescent="0.25">
      <c r="A25">
        <v>46</v>
      </c>
      <c r="B25" s="3">
        <v>3.8945428571428571</v>
      </c>
    </row>
    <row r="26" spans="1:2" x14ac:dyDescent="0.25">
      <c r="A26">
        <v>48</v>
      </c>
      <c r="B26" s="3">
        <v>3.8911857142857142</v>
      </c>
    </row>
    <row r="27" spans="1:2" x14ac:dyDescent="0.25">
      <c r="A27">
        <v>50</v>
      </c>
      <c r="B27" s="3">
        <v>3.8893428571428572</v>
      </c>
    </row>
    <row r="28" spans="1:2" x14ac:dyDescent="0.25">
      <c r="A28">
        <v>52</v>
      </c>
      <c r="B28" s="3">
        <v>3.888471428571429</v>
      </c>
    </row>
    <row r="29" spans="1:2" x14ac:dyDescent="0.25">
      <c r="A29">
        <v>54</v>
      </c>
      <c r="B29" s="3">
        <v>3.884757142857143</v>
      </c>
    </row>
    <row r="30" spans="1:2" x14ac:dyDescent="0.25">
      <c r="A30">
        <v>56</v>
      </c>
      <c r="B30" s="3">
        <v>3.8806714285714285</v>
      </c>
    </row>
    <row r="31" spans="1:2" x14ac:dyDescent="0.25">
      <c r="A31">
        <v>58</v>
      </c>
      <c r="B31" s="3">
        <v>3.8823571428571428</v>
      </c>
    </row>
    <row r="32" spans="1:2" x14ac:dyDescent="0.25">
      <c r="A32">
        <v>60</v>
      </c>
      <c r="B32" s="3">
        <v>3.8806571428571428</v>
      </c>
    </row>
    <row r="33" spans="1:2" x14ac:dyDescent="0.25">
      <c r="A33">
        <v>62</v>
      </c>
      <c r="B33" s="3">
        <v>3.8778142857142859</v>
      </c>
    </row>
    <row r="34" spans="1:2" x14ac:dyDescent="0.25">
      <c r="A34">
        <v>64</v>
      </c>
      <c r="B34" s="3">
        <v>3.8778142857142859</v>
      </c>
    </row>
    <row r="35" spans="1:2" x14ac:dyDescent="0.25">
      <c r="A35">
        <v>66</v>
      </c>
      <c r="B35" s="3">
        <v>3.8760428571428571</v>
      </c>
    </row>
    <row r="36" spans="1:2" x14ac:dyDescent="0.25">
      <c r="A36">
        <v>68</v>
      </c>
      <c r="B36" s="3">
        <v>3.8754285714285714</v>
      </c>
    </row>
    <row r="37" spans="1:2" x14ac:dyDescent="0.25">
      <c r="A37">
        <v>70</v>
      </c>
      <c r="B37" s="3">
        <v>3.8726714285714285</v>
      </c>
    </row>
    <row r="38" spans="1:2" x14ac:dyDescent="0.25">
      <c r="A38">
        <v>72</v>
      </c>
      <c r="B38" s="3">
        <v>3.870657142857143</v>
      </c>
    </row>
    <row r="39" spans="1:2" x14ac:dyDescent="0.25">
      <c r="A39">
        <v>74</v>
      </c>
      <c r="B39" s="3">
        <v>3.8674857142857144</v>
      </c>
    </row>
    <row r="40" spans="1:2" x14ac:dyDescent="0.25">
      <c r="A40">
        <v>76</v>
      </c>
      <c r="B40" s="3">
        <v>3.863085714285714</v>
      </c>
    </row>
    <row r="41" spans="1:2" x14ac:dyDescent="0.25">
      <c r="A41">
        <v>78</v>
      </c>
      <c r="B41" s="3">
        <v>3.8593428571428574</v>
      </c>
    </row>
    <row r="42" spans="1:2" x14ac:dyDescent="0.25">
      <c r="A42">
        <v>80</v>
      </c>
      <c r="B42" s="3">
        <v>3.8545000000000007</v>
      </c>
    </row>
    <row r="43" spans="1:2" x14ac:dyDescent="0.25">
      <c r="A43">
        <v>82</v>
      </c>
      <c r="B43" s="3">
        <v>3.8515857142857146</v>
      </c>
    </row>
    <row r="44" spans="1:2" x14ac:dyDescent="0.25">
      <c r="A44">
        <v>84</v>
      </c>
      <c r="B44" s="3">
        <v>3.8454714285714284</v>
      </c>
    </row>
    <row r="45" spans="1:2" x14ac:dyDescent="0.25">
      <c r="A45">
        <v>86</v>
      </c>
      <c r="B45" s="3">
        <v>3.8399857142857146</v>
      </c>
    </row>
    <row r="46" spans="1:2" x14ac:dyDescent="0.25">
      <c r="A46">
        <v>88</v>
      </c>
      <c r="B46" s="3">
        <v>3.8350714285714282</v>
      </c>
    </row>
    <row r="47" spans="1:2" x14ac:dyDescent="0.25">
      <c r="A47">
        <v>90</v>
      </c>
      <c r="B47" s="3">
        <v>3.8328571428571432</v>
      </c>
    </row>
    <row r="48" spans="1:2" x14ac:dyDescent="0.25">
      <c r="A48">
        <v>92</v>
      </c>
      <c r="B48" s="3">
        <v>3.8275285714285716</v>
      </c>
    </row>
    <row r="49" spans="1:2" x14ac:dyDescent="0.25">
      <c r="A49">
        <v>94</v>
      </c>
      <c r="B49" s="3">
        <v>3.8240714285714286</v>
      </c>
    </row>
    <row r="50" spans="1:2" x14ac:dyDescent="0.25">
      <c r="A50">
        <v>96</v>
      </c>
      <c r="B50" s="3">
        <v>3.8211571428571429</v>
      </c>
    </row>
    <row r="51" spans="1:2" x14ac:dyDescent="0.25">
      <c r="A51">
        <v>98</v>
      </c>
      <c r="B51" s="3">
        <v>3.816585714285714</v>
      </c>
    </row>
    <row r="52" spans="1:2" x14ac:dyDescent="0.25">
      <c r="A52">
        <v>100</v>
      </c>
      <c r="B52" s="3">
        <v>3.8139428571428575</v>
      </c>
    </row>
    <row r="53" spans="1:2" x14ac:dyDescent="0.25">
      <c r="A53">
        <v>102</v>
      </c>
      <c r="B53" s="3">
        <v>3.8113857142857142</v>
      </c>
    </row>
    <row r="54" spans="1:2" x14ac:dyDescent="0.25">
      <c r="A54">
        <v>104</v>
      </c>
      <c r="B54" s="3">
        <v>3.8077714285714284</v>
      </c>
    </row>
    <row r="55" spans="1:2" x14ac:dyDescent="0.25">
      <c r="A55">
        <v>106</v>
      </c>
      <c r="B55" s="3">
        <v>3.8068285714285715</v>
      </c>
    </row>
    <row r="56" spans="1:2" x14ac:dyDescent="0.25">
      <c r="A56">
        <v>108</v>
      </c>
      <c r="B56" s="3">
        <v>3.802685714285714</v>
      </c>
    </row>
    <row r="57" spans="1:2" x14ac:dyDescent="0.25">
      <c r="A57">
        <v>110</v>
      </c>
      <c r="B57" s="3">
        <v>3.7995285714285716</v>
      </c>
    </row>
    <row r="58" spans="1:2" x14ac:dyDescent="0.25">
      <c r="A58">
        <v>112</v>
      </c>
      <c r="B58" s="3">
        <v>3.7991571428571436</v>
      </c>
    </row>
    <row r="59" spans="1:2" x14ac:dyDescent="0.25">
      <c r="A59">
        <v>114</v>
      </c>
      <c r="B59" s="3">
        <v>3.7998714285714286</v>
      </c>
    </row>
    <row r="60" spans="1:2" x14ac:dyDescent="0.25">
      <c r="A60">
        <v>116</v>
      </c>
      <c r="B60" s="3">
        <v>3.7954428571428571</v>
      </c>
    </row>
    <row r="61" spans="1:2" x14ac:dyDescent="0.25">
      <c r="A61">
        <v>118</v>
      </c>
      <c r="B61" s="3">
        <v>3.7927571428571425</v>
      </c>
    </row>
    <row r="62" spans="1:2" x14ac:dyDescent="0.25">
      <c r="A62">
        <v>120</v>
      </c>
      <c r="B62" s="3">
        <v>3.7901285714285713</v>
      </c>
    </row>
    <row r="63" spans="1:2" x14ac:dyDescent="0.25">
      <c r="A63">
        <v>122</v>
      </c>
      <c r="B63" s="3">
        <v>3.7879571428571426</v>
      </c>
    </row>
    <row r="64" spans="1:2" x14ac:dyDescent="0.25">
      <c r="A64">
        <v>124</v>
      </c>
      <c r="B64" s="3">
        <v>3.7837714285714283</v>
      </c>
    </row>
    <row r="65" spans="1:2" x14ac:dyDescent="0.25">
      <c r="A65">
        <v>126</v>
      </c>
      <c r="B65" s="3">
        <v>3.7779857142857138</v>
      </c>
    </row>
    <row r="66" spans="1:2" x14ac:dyDescent="0.25">
      <c r="A66">
        <v>128</v>
      </c>
      <c r="B66" s="3">
        <v>3.7770285714285712</v>
      </c>
    </row>
    <row r="67" spans="1:2" x14ac:dyDescent="0.25">
      <c r="A67">
        <v>130</v>
      </c>
      <c r="B67" s="3">
        <v>3.7754571428571424</v>
      </c>
    </row>
    <row r="68" spans="1:2" x14ac:dyDescent="0.25">
      <c r="A68">
        <v>132</v>
      </c>
      <c r="B68" s="3">
        <v>3.7729571428571425</v>
      </c>
    </row>
    <row r="69" spans="1:2" x14ac:dyDescent="0.25">
      <c r="A69">
        <v>134</v>
      </c>
      <c r="B69" s="3">
        <v>3.7685571428571421</v>
      </c>
    </row>
    <row r="70" spans="1:2" x14ac:dyDescent="0.25">
      <c r="A70">
        <v>136</v>
      </c>
      <c r="B70" s="3">
        <v>3.7615857142857143</v>
      </c>
    </row>
    <row r="71" spans="1:2" x14ac:dyDescent="0.25">
      <c r="A71">
        <v>138</v>
      </c>
      <c r="B71" s="3">
        <v>3.7567857142857148</v>
      </c>
    </row>
    <row r="72" spans="1:2" x14ac:dyDescent="0.25">
      <c r="A72">
        <v>140</v>
      </c>
      <c r="B72" s="3">
        <v>3.7529857142857139</v>
      </c>
    </row>
    <row r="73" spans="1:2" x14ac:dyDescent="0.25">
      <c r="A73">
        <v>142</v>
      </c>
      <c r="B73" s="3">
        <v>3.7496142857142858</v>
      </c>
    </row>
    <row r="74" spans="1:2" x14ac:dyDescent="0.25">
      <c r="A74">
        <v>144</v>
      </c>
      <c r="B74" s="3">
        <v>3.7424999999999997</v>
      </c>
    </row>
    <row r="75" spans="1:2" x14ac:dyDescent="0.25">
      <c r="A75">
        <v>146</v>
      </c>
      <c r="B75" s="3">
        <v>3.7396142857142856</v>
      </c>
    </row>
    <row r="76" spans="1:2" x14ac:dyDescent="0.25">
      <c r="A76">
        <v>148</v>
      </c>
      <c r="B76" s="3">
        <v>3.7369714285714286</v>
      </c>
    </row>
    <row r="77" spans="1:2" x14ac:dyDescent="0.25">
      <c r="A77">
        <v>150</v>
      </c>
      <c r="B77" s="3">
        <v>3.732071428571428</v>
      </c>
    </row>
    <row r="78" spans="1:2" x14ac:dyDescent="0.25">
      <c r="A78">
        <v>152</v>
      </c>
      <c r="B78" s="3">
        <v>3.7283714285714287</v>
      </c>
    </row>
    <row r="79" spans="1:2" x14ac:dyDescent="0.25">
      <c r="A79">
        <v>154</v>
      </c>
      <c r="B79" s="3">
        <v>3.723785714285714</v>
      </c>
    </row>
    <row r="80" spans="1:2" x14ac:dyDescent="0.25">
      <c r="A80">
        <v>156</v>
      </c>
      <c r="B80" s="3">
        <v>3.7203000000000004</v>
      </c>
    </row>
    <row r="81" spans="1:2" x14ac:dyDescent="0.25">
      <c r="A81">
        <v>158</v>
      </c>
      <c r="B81" s="3">
        <v>3.7152857142857139</v>
      </c>
    </row>
    <row r="82" spans="1:2" x14ac:dyDescent="0.25">
      <c r="A82">
        <v>160</v>
      </c>
      <c r="B82" s="3">
        <v>3.7122571428571431</v>
      </c>
    </row>
    <row r="83" spans="1:2" x14ac:dyDescent="0.25">
      <c r="A83">
        <v>162</v>
      </c>
      <c r="B83" s="3">
        <v>3.7084714285714284</v>
      </c>
    </row>
    <row r="84" spans="1:2" x14ac:dyDescent="0.25">
      <c r="A84">
        <v>164</v>
      </c>
      <c r="B84" s="3">
        <v>3.7032285714285713</v>
      </c>
    </row>
    <row r="85" spans="1:2" x14ac:dyDescent="0.25">
      <c r="A85">
        <v>166</v>
      </c>
      <c r="B85" s="3">
        <v>3.6995857142857145</v>
      </c>
    </row>
    <row r="86" spans="1:2" x14ac:dyDescent="0.25">
      <c r="A86">
        <v>168</v>
      </c>
      <c r="B86" s="3">
        <v>3.6966285714285716</v>
      </c>
    </row>
    <row r="87" spans="1:2" x14ac:dyDescent="0.25">
      <c r="A87">
        <v>170</v>
      </c>
      <c r="B87" s="3">
        <v>3.6967999999999996</v>
      </c>
    </row>
    <row r="88" spans="1:2" x14ac:dyDescent="0.25">
      <c r="A88">
        <v>172</v>
      </c>
      <c r="B88" s="3">
        <v>3.6927857142857143</v>
      </c>
    </row>
    <row r="89" spans="1:2" x14ac:dyDescent="0.25">
      <c r="A89">
        <v>174</v>
      </c>
      <c r="B89" s="3">
        <v>3.6877714285714283</v>
      </c>
    </row>
    <row r="90" spans="1:2" x14ac:dyDescent="0.25">
      <c r="A90">
        <v>176</v>
      </c>
      <c r="B90" s="3">
        <v>3.6831857142857141</v>
      </c>
    </row>
    <row r="91" spans="1:2" x14ac:dyDescent="0.25">
      <c r="A91">
        <v>178</v>
      </c>
      <c r="B91" s="3">
        <v>3.6787142857142858</v>
      </c>
    </row>
    <row r="92" spans="1:2" x14ac:dyDescent="0.25">
      <c r="A92">
        <v>180</v>
      </c>
      <c r="B92" s="3">
        <v>3.6720714285714289</v>
      </c>
    </row>
    <row r="93" spans="1:2" x14ac:dyDescent="0.25">
      <c r="A93">
        <v>182</v>
      </c>
      <c r="B93" s="3">
        <v>3.6685857142857143</v>
      </c>
    </row>
    <row r="94" spans="1:2" x14ac:dyDescent="0.25">
      <c r="A94">
        <v>184</v>
      </c>
      <c r="B94" s="3">
        <v>3.6653571428571428</v>
      </c>
    </row>
    <row r="95" spans="1:2" x14ac:dyDescent="0.25">
      <c r="A95">
        <v>186</v>
      </c>
      <c r="B95" s="3">
        <v>3.6616428571428576</v>
      </c>
    </row>
    <row r="96" spans="1:2" x14ac:dyDescent="0.25">
      <c r="A96">
        <v>188</v>
      </c>
      <c r="B96" s="3">
        <v>3.6578142857142857</v>
      </c>
    </row>
    <row r="97" spans="1:2" x14ac:dyDescent="0.25">
      <c r="A97">
        <v>190</v>
      </c>
      <c r="B97" s="3">
        <v>3.6543571428571426</v>
      </c>
    </row>
    <row r="98" spans="1:2" x14ac:dyDescent="0.25">
      <c r="A98">
        <v>192</v>
      </c>
      <c r="B98" s="3">
        <v>3.6518714285714289</v>
      </c>
    </row>
    <row r="99" spans="1:2" x14ac:dyDescent="0.25">
      <c r="A99">
        <v>194</v>
      </c>
      <c r="B99" s="3">
        <v>3.6493428571428574</v>
      </c>
    </row>
    <row r="100" spans="1:2" x14ac:dyDescent="0.25">
      <c r="A100">
        <v>196</v>
      </c>
      <c r="B100" s="3">
        <v>3.6462142857142861</v>
      </c>
    </row>
    <row r="101" spans="1:2" x14ac:dyDescent="0.25">
      <c r="A101">
        <v>198</v>
      </c>
      <c r="B101" s="3">
        <v>3.6439142857142861</v>
      </c>
    </row>
    <row r="102" spans="1:2" x14ac:dyDescent="0.25">
      <c r="A102">
        <v>200</v>
      </c>
      <c r="B102" s="3">
        <v>3.6412142857142853</v>
      </c>
    </row>
    <row r="103" spans="1:2" x14ac:dyDescent="0.25">
      <c r="A103">
        <v>202</v>
      </c>
      <c r="B103" s="3">
        <v>3.6385714285714279</v>
      </c>
    </row>
    <row r="104" spans="1:2" x14ac:dyDescent="0.25">
      <c r="A104">
        <v>204</v>
      </c>
      <c r="B104" s="3">
        <v>3.6340714285714282</v>
      </c>
    </row>
    <row r="105" spans="1:2" x14ac:dyDescent="0.25">
      <c r="A105">
        <v>206</v>
      </c>
      <c r="B105" s="3">
        <v>3.631242857142857</v>
      </c>
    </row>
    <row r="106" spans="1:2" x14ac:dyDescent="0.25">
      <c r="A106">
        <v>208</v>
      </c>
      <c r="B106" s="3">
        <v>3.6275428571428567</v>
      </c>
    </row>
    <row r="107" spans="1:2" x14ac:dyDescent="0.25">
      <c r="A107">
        <v>210</v>
      </c>
      <c r="B107" s="3">
        <v>3.6245000000000003</v>
      </c>
    </row>
    <row r="108" spans="1:2" x14ac:dyDescent="0.25">
      <c r="A108">
        <v>212</v>
      </c>
      <c r="B108" s="3">
        <v>3.6212428571428577</v>
      </c>
    </row>
    <row r="109" spans="1:2" x14ac:dyDescent="0.25">
      <c r="A109">
        <v>214</v>
      </c>
      <c r="B109" s="3">
        <v>3.6187428571428568</v>
      </c>
    </row>
    <row r="110" spans="1:2" x14ac:dyDescent="0.25">
      <c r="A110">
        <v>216</v>
      </c>
      <c r="B110" s="3">
        <v>3.6173285714285712</v>
      </c>
    </row>
    <row r="111" spans="1:2" x14ac:dyDescent="0.25">
      <c r="A111">
        <v>218</v>
      </c>
      <c r="B111" s="3">
        <v>3.6134142857142852</v>
      </c>
    </row>
    <row r="112" spans="1:2" x14ac:dyDescent="0.25">
      <c r="A112">
        <v>220</v>
      </c>
      <c r="B112" s="3">
        <v>3.6109857142857145</v>
      </c>
    </row>
    <row r="113" spans="1:2" x14ac:dyDescent="0.25">
      <c r="A113">
        <v>222</v>
      </c>
      <c r="B113" s="3">
        <v>3.6094714285714287</v>
      </c>
    </row>
    <row r="114" spans="1:2" x14ac:dyDescent="0.25">
      <c r="A114">
        <v>224</v>
      </c>
      <c r="B114" s="3">
        <v>3.6084428571428573</v>
      </c>
    </row>
    <row r="115" spans="1:2" x14ac:dyDescent="0.25">
      <c r="A115">
        <v>226</v>
      </c>
      <c r="B115" s="3">
        <v>3.607328571428571</v>
      </c>
    </row>
    <row r="116" spans="1:2" x14ac:dyDescent="0.25">
      <c r="A116">
        <v>228</v>
      </c>
      <c r="B116" s="3">
        <v>3.6060285714285714</v>
      </c>
    </row>
    <row r="117" spans="1:2" x14ac:dyDescent="0.25">
      <c r="A117">
        <v>230</v>
      </c>
      <c r="B117" s="3">
        <v>3.6031571428571425</v>
      </c>
    </row>
    <row r="118" spans="1:2" x14ac:dyDescent="0.25">
      <c r="A118">
        <v>232</v>
      </c>
      <c r="B118" s="3">
        <v>3.6030285714285712</v>
      </c>
    </row>
    <row r="119" spans="1:2" x14ac:dyDescent="0.25">
      <c r="A119">
        <v>234</v>
      </c>
      <c r="B119" s="3">
        <v>3.6011142857142859</v>
      </c>
    </row>
    <row r="120" spans="1:2" x14ac:dyDescent="0.25">
      <c r="A120">
        <v>236</v>
      </c>
      <c r="B120" s="3">
        <v>3.5990285714285712</v>
      </c>
    </row>
    <row r="121" spans="1:2" x14ac:dyDescent="0.25">
      <c r="A121">
        <v>238</v>
      </c>
      <c r="B121" s="3">
        <v>3.5976714285714286</v>
      </c>
    </row>
    <row r="122" spans="1:2" x14ac:dyDescent="0.25">
      <c r="A122">
        <v>240</v>
      </c>
      <c r="B122" s="3">
        <v>3.5960571428571435</v>
      </c>
    </row>
    <row r="123" spans="1:2" x14ac:dyDescent="0.25">
      <c r="A123">
        <v>242</v>
      </c>
      <c r="B123" s="3">
        <v>3.5939714285714284</v>
      </c>
    </row>
    <row r="124" spans="1:2" x14ac:dyDescent="0.25">
      <c r="A124">
        <v>244</v>
      </c>
      <c r="B124" s="3">
        <v>3.5936571428571433</v>
      </c>
    </row>
    <row r="125" spans="1:2" x14ac:dyDescent="0.25">
      <c r="A125">
        <v>246</v>
      </c>
      <c r="B125" s="3">
        <v>3.5911428571428567</v>
      </c>
    </row>
    <row r="126" spans="1:2" x14ac:dyDescent="0.25">
      <c r="A126">
        <v>248</v>
      </c>
      <c r="B126" s="3">
        <v>3.5889714285714294</v>
      </c>
    </row>
    <row r="127" spans="1:2" x14ac:dyDescent="0.25">
      <c r="A127">
        <v>250</v>
      </c>
      <c r="B127" s="3">
        <v>3.5873714285714287</v>
      </c>
    </row>
    <row r="128" spans="1:2" x14ac:dyDescent="0.25">
      <c r="A128">
        <v>252</v>
      </c>
      <c r="B128" s="3">
        <v>3.5862428571428575</v>
      </c>
    </row>
    <row r="129" spans="1:2" x14ac:dyDescent="0.25">
      <c r="A129">
        <v>254</v>
      </c>
      <c r="B129" s="3">
        <v>3.5841285714285713</v>
      </c>
    </row>
    <row r="130" spans="1:2" x14ac:dyDescent="0.25">
      <c r="A130">
        <v>256</v>
      </c>
      <c r="B130" s="3">
        <v>3.5823</v>
      </c>
    </row>
    <row r="131" spans="1:2" x14ac:dyDescent="0.25">
      <c r="A131">
        <v>258</v>
      </c>
      <c r="B131" s="3">
        <v>3.5802999999999998</v>
      </c>
    </row>
    <row r="132" spans="1:2" x14ac:dyDescent="0.25">
      <c r="A132">
        <v>260</v>
      </c>
      <c r="B132" s="3">
        <v>3.5790714285714285</v>
      </c>
    </row>
    <row r="133" spans="1:2" x14ac:dyDescent="0.25">
      <c r="A133">
        <v>262</v>
      </c>
      <c r="B133" s="3">
        <v>3.5772857142857144</v>
      </c>
    </row>
    <row r="134" spans="1:2" x14ac:dyDescent="0.25">
      <c r="A134">
        <v>264</v>
      </c>
      <c r="B134" s="3">
        <v>3.5753142857142857</v>
      </c>
    </row>
    <row r="135" spans="1:2" x14ac:dyDescent="0.25">
      <c r="A135">
        <v>266</v>
      </c>
      <c r="B135" s="3">
        <v>3.5735428571428569</v>
      </c>
    </row>
    <row r="136" spans="1:2" x14ac:dyDescent="0.25">
      <c r="A136">
        <v>268</v>
      </c>
      <c r="B136" s="3">
        <v>3.5719571428571433</v>
      </c>
    </row>
    <row r="137" spans="1:2" x14ac:dyDescent="0.25">
      <c r="A137">
        <v>270</v>
      </c>
      <c r="B137" s="3">
        <v>3.5701000000000001</v>
      </c>
    </row>
    <row r="138" spans="1:2" x14ac:dyDescent="0.25">
      <c r="A138">
        <v>272</v>
      </c>
      <c r="B138" s="3">
        <v>3.5685428571428575</v>
      </c>
    </row>
    <row r="139" spans="1:2" x14ac:dyDescent="0.25">
      <c r="A139">
        <v>274</v>
      </c>
      <c r="B139" s="3">
        <v>3.5675428571428571</v>
      </c>
    </row>
    <row r="140" spans="1:2" x14ac:dyDescent="0.25">
      <c r="A140">
        <v>276</v>
      </c>
      <c r="B140" s="3">
        <v>3.5665428571428572</v>
      </c>
    </row>
    <row r="141" spans="1:2" x14ac:dyDescent="0.25">
      <c r="A141">
        <v>278</v>
      </c>
      <c r="B141" s="3">
        <v>3.5649999999999999</v>
      </c>
    </row>
    <row r="142" spans="1:2" x14ac:dyDescent="0.25">
      <c r="A142">
        <v>280</v>
      </c>
      <c r="B142" s="3">
        <v>3.5638285714285716</v>
      </c>
    </row>
    <row r="143" spans="1:2" x14ac:dyDescent="0.25">
      <c r="A143">
        <v>282</v>
      </c>
      <c r="B143" s="3">
        <v>3.5624428571428566</v>
      </c>
    </row>
    <row r="144" spans="1:2" x14ac:dyDescent="0.25">
      <c r="A144">
        <v>284</v>
      </c>
      <c r="B144" s="3">
        <v>3.5611571428571422</v>
      </c>
    </row>
    <row r="145" spans="1:2" x14ac:dyDescent="0.25">
      <c r="A145">
        <v>286</v>
      </c>
      <c r="B145" s="3">
        <v>3.5598285714285716</v>
      </c>
    </row>
    <row r="146" spans="1:2" x14ac:dyDescent="0.25">
      <c r="A146">
        <v>288</v>
      </c>
      <c r="B146" s="3">
        <v>3.5589857142857144</v>
      </c>
    </row>
    <row r="147" spans="1:2" x14ac:dyDescent="0.25">
      <c r="A147">
        <v>290</v>
      </c>
      <c r="B147" s="3">
        <v>3.5581285714285715</v>
      </c>
    </row>
    <row r="148" spans="1:2" x14ac:dyDescent="0.25">
      <c r="A148">
        <v>292</v>
      </c>
      <c r="B148" s="3">
        <v>3.5573571428571431</v>
      </c>
    </row>
    <row r="149" spans="1:2" x14ac:dyDescent="0.25">
      <c r="A149">
        <v>294</v>
      </c>
      <c r="B149" s="3">
        <v>3.5566285714285715</v>
      </c>
    </row>
    <row r="150" spans="1:2" x14ac:dyDescent="0.25">
      <c r="A150">
        <v>296</v>
      </c>
      <c r="B150" s="3">
        <v>3.5559857142857147</v>
      </c>
    </row>
    <row r="151" spans="1:2" x14ac:dyDescent="0.25">
      <c r="A151">
        <v>298</v>
      </c>
      <c r="B151" s="3">
        <v>3.5550428571428574</v>
      </c>
    </row>
    <row r="152" spans="1:2" x14ac:dyDescent="0.25">
      <c r="A152">
        <v>300</v>
      </c>
      <c r="B152" s="3">
        <v>3.5538142857142856</v>
      </c>
    </row>
    <row r="153" spans="1:2" x14ac:dyDescent="0.25">
      <c r="A153">
        <v>302</v>
      </c>
      <c r="B153" s="3">
        <v>3.5526714285714283</v>
      </c>
    </row>
    <row r="154" spans="1:2" x14ac:dyDescent="0.25">
      <c r="A154">
        <v>304</v>
      </c>
      <c r="B154" s="3">
        <v>3.5515857142857143</v>
      </c>
    </row>
    <row r="155" spans="1:2" x14ac:dyDescent="0.25">
      <c r="A155">
        <v>306</v>
      </c>
      <c r="B155" s="3">
        <v>3.5507142857142857</v>
      </c>
    </row>
    <row r="156" spans="1:2" x14ac:dyDescent="0.25">
      <c r="A156">
        <v>308</v>
      </c>
      <c r="B156" s="3">
        <v>3.5498571428571433</v>
      </c>
    </row>
    <row r="157" spans="1:2" x14ac:dyDescent="0.25">
      <c r="A157">
        <v>310</v>
      </c>
      <c r="B157" s="3">
        <v>3.5491857142857137</v>
      </c>
    </row>
    <row r="158" spans="1:2" x14ac:dyDescent="0.25">
      <c r="A158">
        <v>312</v>
      </c>
      <c r="B158" s="3">
        <v>3.5483285714285713</v>
      </c>
    </row>
    <row r="159" spans="1:2" x14ac:dyDescent="0.25">
      <c r="A159">
        <v>314</v>
      </c>
      <c r="B159" s="3">
        <v>3.5473571428571433</v>
      </c>
    </row>
    <row r="160" spans="1:2" x14ac:dyDescent="0.25">
      <c r="A160">
        <v>316</v>
      </c>
      <c r="B160" s="3">
        <v>3.5461714285714288</v>
      </c>
    </row>
    <row r="161" spans="1:2" x14ac:dyDescent="0.25">
      <c r="A161">
        <v>318</v>
      </c>
      <c r="B161" s="3">
        <v>3.5451000000000006</v>
      </c>
    </row>
    <row r="162" spans="1:2" x14ac:dyDescent="0.25">
      <c r="A162">
        <v>320</v>
      </c>
      <c r="B162" s="3">
        <v>3.5444142857142862</v>
      </c>
    </row>
    <row r="163" spans="1:2" x14ac:dyDescent="0.25">
      <c r="A163">
        <v>322</v>
      </c>
      <c r="B163" s="3">
        <v>3.5435571428571428</v>
      </c>
    </row>
    <row r="164" spans="1:2" x14ac:dyDescent="0.25">
      <c r="A164">
        <v>324</v>
      </c>
      <c r="B164" s="3">
        <v>3.5425142857142857</v>
      </c>
    </row>
    <row r="165" spans="1:2" x14ac:dyDescent="0.25">
      <c r="A165">
        <v>326</v>
      </c>
      <c r="B165" s="3">
        <v>3.541957142857143</v>
      </c>
    </row>
    <row r="166" spans="1:2" x14ac:dyDescent="0.25">
      <c r="A166">
        <v>328</v>
      </c>
      <c r="B166" s="3">
        <v>3.5408571428571425</v>
      </c>
    </row>
    <row r="167" spans="1:2" x14ac:dyDescent="0.25">
      <c r="A167">
        <v>330</v>
      </c>
      <c r="B167" s="3">
        <v>3.5393285714285718</v>
      </c>
    </row>
    <row r="168" spans="1:2" x14ac:dyDescent="0.25">
      <c r="A168">
        <v>332</v>
      </c>
      <c r="B168" s="3">
        <v>3.5381</v>
      </c>
    </row>
    <row r="169" spans="1:2" x14ac:dyDescent="0.25">
      <c r="A169">
        <v>334</v>
      </c>
      <c r="B169" s="3">
        <v>3.5373142857142854</v>
      </c>
    </row>
    <row r="170" spans="1:2" x14ac:dyDescent="0.25">
      <c r="A170">
        <v>336</v>
      </c>
      <c r="B170" s="3">
        <v>3.5358857142857145</v>
      </c>
    </row>
    <row r="171" spans="1:2" x14ac:dyDescent="0.25">
      <c r="A171">
        <v>338</v>
      </c>
      <c r="B171" s="3">
        <v>3.5344571428571427</v>
      </c>
    </row>
    <row r="172" spans="1:2" x14ac:dyDescent="0.25">
      <c r="A172">
        <v>340</v>
      </c>
      <c r="B172" s="3">
        <v>3.5335428571428573</v>
      </c>
    </row>
    <row r="173" spans="1:2" x14ac:dyDescent="0.25">
      <c r="A173">
        <v>342</v>
      </c>
      <c r="B173" s="3">
        <v>3.5323142857142855</v>
      </c>
    </row>
    <row r="174" spans="1:2" x14ac:dyDescent="0.25">
      <c r="A174">
        <v>344</v>
      </c>
      <c r="B174" s="3">
        <v>3.5312571428571427</v>
      </c>
    </row>
    <row r="175" spans="1:2" x14ac:dyDescent="0.25">
      <c r="A175">
        <v>346</v>
      </c>
      <c r="B175" s="3">
        <v>3.5302857142857142</v>
      </c>
    </row>
    <row r="176" spans="1:2" x14ac:dyDescent="0.25">
      <c r="A176">
        <v>348</v>
      </c>
      <c r="B176" s="3">
        <v>3.5292142857142852</v>
      </c>
    </row>
    <row r="177" spans="1:2" x14ac:dyDescent="0.25">
      <c r="A177">
        <v>350</v>
      </c>
      <c r="B177" s="3">
        <v>3.5281857142857147</v>
      </c>
    </row>
    <row r="178" spans="1:2" x14ac:dyDescent="0.25">
      <c r="A178">
        <v>352</v>
      </c>
      <c r="B178" s="3">
        <v>3.5271714285714286</v>
      </c>
    </row>
    <row r="179" spans="1:2" x14ac:dyDescent="0.25">
      <c r="A179">
        <v>354</v>
      </c>
      <c r="B179" s="3">
        <v>3.5260428571428575</v>
      </c>
    </row>
    <row r="180" spans="1:2" x14ac:dyDescent="0.25">
      <c r="A180">
        <v>356</v>
      </c>
      <c r="B180" s="3">
        <v>3.5246999999999997</v>
      </c>
    </row>
    <row r="181" spans="1:2" x14ac:dyDescent="0.25">
      <c r="A181">
        <v>358</v>
      </c>
      <c r="B181" s="3">
        <v>3.5237000000000003</v>
      </c>
    </row>
    <row r="182" spans="1:2" x14ac:dyDescent="0.25">
      <c r="A182">
        <v>360</v>
      </c>
      <c r="B182" s="3">
        <v>3.5227142857142857</v>
      </c>
    </row>
    <row r="183" spans="1:2" x14ac:dyDescent="0.25">
      <c r="A183">
        <v>362</v>
      </c>
      <c r="B183" s="3">
        <v>3.5221428571428568</v>
      </c>
    </row>
    <row r="184" spans="1:2" x14ac:dyDescent="0.25">
      <c r="A184">
        <v>364</v>
      </c>
      <c r="B184" s="3">
        <v>3.5203571428571432</v>
      </c>
    </row>
    <row r="185" spans="1:2" x14ac:dyDescent="0.25">
      <c r="A185">
        <v>366</v>
      </c>
      <c r="B185" s="3">
        <v>3.5188571428571427</v>
      </c>
    </row>
    <row r="186" spans="1:2" x14ac:dyDescent="0.25">
      <c r="A186">
        <v>368</v>
      </c>
      <c r="B186" s="3">
        <v>3.5178428571428566</v>
      </c>
    </row>
    <row r="187" spans="1:2" x14ac:dyDescent="0.25">
      <c r="A187">
        <v>370</v>
      </c>
      <c r="B187" s="3">
        <v>3.5170999999999997</v>
      </c>
    </row>
    <row r="188" spans="1:2" x14ac:dyDescent="0.25">
      <c r="A188">
        <v>372</v>
      </c>
      <c r="B188" s="3">
        <v>3.5159142857142855</v>
      </c>
    </row>
    <row r="189" spans="1:2" x14ac:dyDescent="0.25">
      <c r="A189">
        <v>374</v>
      </c>
      <c r="B189" s="3">
        <v>3.5147999999999997</v>
      </c>
    </row>
    <row r="190" spans="1:2" x14ac:dyDescent="0.25">
      <c r="A190">
        <v>376</v>
      </c>
      <c r="B190" s="3">
        <v>3.5139714285714292</v>
      </c>
    </row>
    <row r="191" spans="1:2" x14ac:dyDescent="0.25">
      <c r="A191">
        <v>378</v>
      </c>
      <c r="B191" s="3">
        <v>3.5129285714285712</v>
      </c>
    </row>
    <row r="192" spans="1:2" x14ac:dyDescent="0.25">
      <c r="A192">
        <v>380</v>
      </c>
      <c r="B192" s="3">
        <v>3.5117000000000003</v>
      </c>
    </row>
    <row r="193" spans="1:2" x14ac:dyDescent="0.25">
      <c r="A193">
        <v>382</v>
      </c>
      <c r="B193" s="3">
        <v>3.5101428571428568</v>
      </c>
    </row>
    <row r="194" spans="1:2" x14ac:dyDescent="0.25">
      <c r="A194">
        <v>384</v>
      </c>
      <c r="B194" s="3">
        <v>3.5093428571428578</v>
      </c>
    </row>
    <row r="195" spans="1:2" x14ac:dyDescent="0.25">
      <c r="A195">
        <v>386</v>
      </c>
      <c r="B195" s="3">
        <v>3.5080714285714287</v>
      </c>
    </row>
    <row r="196" spans="1:2" x14ac:dyDescent="0.25">
      <c r="A196">
        <v>388</v>
      </c>
      <c r="B196" s="3">
        <v>3.5064714285714289</v>
      </c>
    </row>
    <row r="197" spans="1:2" x14ac:dyDescent="0.25">
      <c r="A197">
        <v>390</v>
      </c>
      <c r="B197" s="3">
        <v>3.5053571428571426</v>
      </c>
    </row>
    <row r="198" spans="1:2" x14ac:dyDescent="0.25">
      <c r="A198">
        <v>392</v>
      </c>
      <c r="B198" s="3">
        <v>3.5047285714285716</v>
      </c>
    </row>
    <row r="199" spans="1:2" x14ac:dyDescent="0.25">
      <c r="A199">
        <v>394</v>
      </c>
      <c r="B199" s="3">
        <v>3.5037571428571432</v>
      </c>
    </row>
    <row r="200" spans="1:2" x14ac:dyDescent="0.25">
      <c r="A200">
        <v>396</v>
      </c>
      <c r="B200" s="3">
        <v>3.5028999999999999</v>
      </c>
    </row>
    <row r="201" spans="1:2" x14ac:dyDescent="0.25">
      <c r="A201">
        <v>398</v>
      </c>
      <c r="B201" s="3">
        <v>3.5022571428571432</v>
      </c>
    </row>
    <row r="202" spans="1:2" x14ac:dyDescent="0.25">
      <c r="A202">
        <v>400</v>
      </c>
      <c r="B202" s="3">
        <v>3.5013714285714284</v>
      </c>
    </row>
    <row r="203" spans="1:2" x14ac:dyDescent="0.25">
      <c r="A203">
        <v>402</v>
      </c>
      <c r="B203" s="3">
        <v>3.5006714285714287</v>
      </c>
    </row>
    <row r="204" spans="1:2" x14ac:dyDescent="0.25">
      <c r="A204">
        <v>404</v>
      </c>
      <c r="B204" s="3">
        <v>3.4997714285714285</v>
      </c>
    </row>
    <row r="205" spans="1:2" x14ac:dyDescent="0.25">
      <c r="A205">
        <v>406</v>
      </c>
      <c r="B205" s="3">
        <v>3.4988999999999999</v>
      </c>
    </row>
    <row r="206" spans="1:2" x14ac:dyDescent="0.25">
      <c r="A206">
        <v>408</v>
      </c>
      <c r="B206" s="3">
        <v>3.4978000000000002</v>
      </c>
    </row>
    <row r="207" spans="1:2" x14ac:dyDescent="0.25">
      <c r="A207">
        <v>410</v>
      </c>
      <c r="B207" s="3">
        <v>3.4967428571428569</v>
      </c>
    </row>
    <row r="208" spans="1:2" x14ac:dyDescent="0.25">
      <c r="A208">
        <v>412</v>
      </c>
      <c r="B208" s="3">
        <v>3.4954714285714283</v>
      </c>
    </row>
    <row r="209" spans="1:2" x14ac:dyDescent="0.25">
      <c r="A209">
        <v>414</v>
      </c>
      <c r="B209" s="3">
        <v>3.4947428571428576</v>
      </c>
    </row>
    <row r="210" spans="1:2" x14ac:dyDescent="0.25">
      <c r="A210">
        <v>416</v>
      </c>
      <c r="B210" s="3">
        <v>3.4939142857142853</v>
      </c>
    </row>
    <row r="211" spans="1:2" x14ac:dyDescent="0.25">
      <c r="A211">
        <v>418</v>
      </c>
      <c r="B211" s="3">
        <v>3.4926571428571433</v>
      </c>
    </row>
    <row r="212" spans="1:2" x14ac:dyDescent="0.25">
      <c r="A212">
        <v>420</v>
      </c>
      <c r="B212" s="3">
        <v>3.4917571428571423</v>
      </c>
    </row>
    <row r="213" spans="1:2" x14ac:dyDescent="0.25">
      <c r="A213">
        <v>422</v>
      </c>
      <c r="B213" s="3">
        <v>3.4908428571428574</v>
      </c>
    </row>
    <row r="214" spans="1:2" x14ac:dyDescent="0.25">
      <c r="A214">
        <v>424</v>
      </c>
      <c r="B214" s="3">
        <v>3.4897714285714279</v>
      </c>
    </row>
    <row r="215" spans="1:2" x14ac:dyDescent="0.25">
      <c r="A215">
        <v>426</v>
      </c>
      <c r="B215" s="3">
        <v>3.4890142857142861</v>
      </c>
    </row>
    <row r="216" spans="1:2" x14ac:dyDescent="0.25">
      <c r="A216">
        <v>428</v>
      </c>
      <c r="B216" s="3">
        <v>3.4882571428571429</v>
      </c>
    </row>
    <row r="217" spans="1:2" x14ac:dyDescent="0.25">
      <c r="A217">
        <v>430</v>
      </c>
      <c r="B217" s="3">
        <v>3.4872857142857137</v>
      </c>
    </row>
    <row r="218" spans="1:2" x14ac:dyDescent="0.25">
      <c r="A218">
        <v>432</v>
      </c>
      <c r="B218" s="3">
        <v>3.4863</v>
      </c>
    </row>
    <row r="219" spans="1:2" x14ac:dyDescent="0.25">
      <c r="A219">
        <v>434</v>
      </c>
      <c r="B219" s="3">
        <v>3.4852714285714286</v>
      </c>
    </row>
    <row r="220" spans="1:2" x14ac:dyDescent="0.25">
      <c r="A220">
        <v>436</v>
      </c>
      <c r="B220" s="3">
        <v>3.4841714285714289</v>
      </c>
    </row>
    <row r="221" spans="1:2" x14ac:dyDescent="0.25">
      <c r="A221">
        <v>438</v>
      </c>
      <c r="B221" s="3">
        <v>3.4836571428571426</v>
      </c>
    </row>
    <row r="222" spans="1:2" x14ac:dyDescent="0.25">
      <c r="A222">
        <v>440</v>
      </c>
      <c r="B222" s="3">
        <v>3.4827142857142861</v>
      </c>
    </row>
    <row r="223" spans="1:2" x14ac:dyDescent="0.25">
      <c r="A223">
        <v>442</v>
      </c>
      <c r="B223" s="3">
        <v>3.4815285714285715</v>
      </c>
    </row>
    <row r="224" spans="1:2" x14ac:dyDescent="0.25">
      <c r="A224">
        <v>444</v>
      </c>
      <c r="B224" s="3">
        <v>3.4805428571428574</v>
      </c>
    </row>
    <row r="225" spans="1:2" x14ac:dyDescent="0.25">
      <c r="A225">
        <v>446</v>
      </c>
      <c r="B225" s="3">
        <v>3.4795714285714281</v>
      </c>
    </row>
    <row r="226" spans="1:2" x14ac:dyDescent="0.25">
      <c r="A226">
        <v>448</v>
      </c>
      <c r="B226" s="3">
        <v>3.4782000000000002</v>
      </c>
    </row>
    <row r="227" spans="1:2" x14ac:dyDescent="0.25">
      <c r="A227">
        <v>450</v>
      </c>
      <c r="B227" s="3">
        <v>3.477671428571429</v>
      </c>
    </row>
    <row r="228" spans="1:2" x14ac:dyDescent="0.25">
      <c r="A228">
        <v>452</v>
      </c>
      <c r="B228" s="3">
        <v>3.4767571428571427</v>
      </c>
    </row>
    <row r="229" spans="1:2" x14ac:dyDescent="0.25">
      <c r="A229">
        <v>454</v>
      </c>
      <c r="B229" s="3">
        <v>3.4760142857142857</v>
      </c>
    </row>
    <row r="230" spans="1:2" x14ac:dyDescent="0.25">
      <c r="A230">
        <v>456</v>
      </c>
      <c r="B230" s="3">
        <v>3.4751428571428566</v>
      </c>
    </row>
    <row r="231" spans="1:2" x14ac:dyDescent="0.25">
      <c r="A231">
        <v>458</v>
      </c>
      <c r="B231" s="3">
        <v>3.4745428571428572</v>
      </c>
    </row>
    <row r="232" spans="1:2" x14ac:dyDescent="0.25">
      <c r="A232">
        <v>460</v>
      </c>
      <c r="B232" s="3">
        <v>3.4737000000000005</v>
      </c>
    </row>
    <row r="233" spans="1:2" x14ac:dyDescent="0.25">
      <c r="A233">
        <v>462</v>
      </c>
      <c r="B233" s="3">
        <v>3.4729428571428573</v>
      </c>
    </row>
    <row r="234" spans="1:2" x14ac:dyDescent="0.25">
      <c r="A234">
        <v>464</v>
      </c>
      <c r="B234" s="3">
        <v>3.4722</v>
      </c>
    </row>
    <row r="235" spans="1:2" x14ac:dyDescent="0.25">
      <c r="A235">
        <v>466</v>
      </c>
      <c r="B235" s="3">
        <v>3.471457142857143</v>
      </c>
    </row>
    <row r="236" spans="1:2" x14ac:dyDescent="0.25">
      <c r="A236">
        <v>468</v>
      </c>
      <c r="B236" s="3">
        <v>3.4706428571428574</v>
      </c>
    </row>
    <row r="237" spans="1:2" x14ac:dyDescent="0.25">
      <c r="A237">
        <v>470</v>
      </c>
      <c r="B237" s="3">
        <v>3.4697999999999998</v>
      </c>
    </row>
    <row r="238" spans="1:2" x14ac:dyDescent="0.25">
      <c r="A238">
        <v>472</v>
      </c>
      <c r="B238" s="3">
        <v>3.4688142857142852</v>
      </c>
    </row>
    <row r="239" spans="1:2" x14ac:dyDescent="0.25">
      <c r="A239">
        <v>474</v>
      </c>
      <c r="B239" s="3">
        <v>3.4677571428571428</v>
      </c>
    </row>
    <row r="240" spans="1:2" x14ac:dyDescent="0.25">
      <c r="A240">
        <v>476</v>
      </c>
      <c r="B240" s="3">
        <v>3.4666999999999999</v>
      </c>
    </row>
    <row r="241" spans="1:2" x14ac:dyDescent="0.25">
      <c r="A241">
        <v>478</v>
      </c>
      <c r="B241" s="3">
        <v>3.4657857142857145</v>
      </c>
    </row>
    <row r="242" spans="1:2" x14ac:dyDescent="0.25">
      <c r="A242">
        <v>480</v>
      </c>
      <c r="B242" s="3">
        <v>3.4653428571428573</v>
      </c>
    </row>
    <row r="243" spans="1:2" x14ac:dyDescent="0.25">
      <c r="A243">
        <v>482</v>
      </c>
      <c r="B243" s="3">
        <v>3.4647571428571431</v>
      </c>
    </row>
    <row r="244" spans="1:2" x14ac:dyDescent="0.25">
      <c r="A244">
        <v>484</v>
      </c>
      <c r="B244" s="3">
        <v>3.4641857142857142</v>
      </c>
    </row>
    <row r="245" spans="1:2" x14ac:dyDescent="0.25">
      <c r="A245">
        <v>486</v>
      </c>
      <c r="B245" s="3">
        <v>3.4634571428571435</v>
      </c>
    </row>
    <row r="246" spans="1:2" x14ac:dyDescent="0.25">
      <c r="A246">
        <v>488</v>
      </c>
      <c r="B246" s="3">
        <v>3.4631714285714281</v>
      </c>
    </row>
    <row r="247" spans="1:2" x14ac:dyDescent="0.25">
      <c r="A247">
        <v>490</v>
      </c>
      <c r="B247" s="3">
        <v>3.4624285714285712</v>
      </c>
    </row>
    <row r="248" spans="1:2" x14ac:dyDescent="0.25">
      <c r="A248">
        <v>492</v>
      </c>
      <c r="B248" s="3">
        <v>3.461642857142857</v>
      </c>
    </row>
    <row r="249" spans="1:2" x14ac:dyDescent="0.25">
      <c r="A249">
        <v>494</v>
      </c>
      <c r="B249" s="3">
        <v>3.4611285714285711</v>
      </c>
    </row>
    <row r="250" spans="1:2" x14ac:dyDescent="0.25">
      <c r="A250">
        <v>496</v>
      </c>
      <c r="B250" s="3">
        <v>3.4606285714285714</v>
      </c>
    </row>
    <row r="251" spans="1:2" x14ac:dyDescent="0.25">
      <c r="A251">
        <v>498</v>
      </c>
      <c r="B251" s="3">
        <v>3.4598714285714287</v>
      </c>
    </row>
    <row r="252" spans="1:2" x14ac:dyDescent="0.25">
      <c r="A252">
        <v>500</v>
      </c>
      <c r="B252" s="3">
        <v>3.4592571428571435</v>
      </c>
    </row>
    <row r="253" spans="1:2" x14ac:dyDescent="0.25">
      <c r="A253">
        <v>502</v>
      </c>
      <c r="B253" s="3">
        <v>3.4585999999999997</v>
      </c>
    </row>
    <row r="254" spans="1:2" x14ac:dyDescent="0.25">
      <c r="A254">
        <v>504</v>
      </c>
      <c r="B254" s="3">
        <v>3.4580285714285712</v>
      </c>
    </row>
    <row r="255" spans="1:2" x14ac:dyDescent="0.25">
      <c r="A255">
        <v>506</v>
      </c>
      <c r="B255" s="3">
        <v>3.4572999999999996</v>
      </c>
    </row>
    <row r="256" spans="1:2" x14ac:dyDescent="0.25">
      <c r="A256">
        <v>508</v>
      </c>
      <c r="B256" s="3">
        <v>3.4567000000000005</v>
      </c>
    </row>
    <row r="257" spans="1:2" x14ac:dyDescent="0.25">
      <c r="A257">
        <v>510</v>
      </c>
      <c r="B257" s="3">
        <v>3.4562285714285714</v>
      </c>
    </row>
    <row r="258" spans="1:2" x14ac:dyDescent="0.25">
      <c r="A258">
        <v>512</v>
      </c>
      <c r="B258" s="3">
        <v>3.455542857142857</v>
      </c>
    </row>
    <row r="259" spans="1:2" x14ac:dyDescent="0.25">
      <c r="A259">
        <v>514</v>
      </c>
      <c r="B259" s="3">
        <v>3.4551428571428571</v>
      </c>
    </row>
    <row r="260" spans="1:2" x14ac:dyDescent="0.25">
      <c r="A260">
        <v>516</v>
      </c>
      <c r="B260" s="3">
        <v>3.4546000000000001</v>
      </c>
    </row>
    <row r="261" spans="1:2" x14ac:dyDescent="0.25">
      <c r="A261">
        <v>518</v>
      </c>
      <c r="B261" s="3">
        <v>3.453757142857143</v>
      </c>
    </row>
    <row r="262" spans="1:2" x14ac:dyDescent="0.25">
      <c r="A262">
        <v>520</v>
      </c>
      <c r="B262" s="3">
        <v>3.4530285714285713</v>
      </c>
    </row>
    <row r="263" spans="1:2" x14ac:dyDescent="0.25">
      <c r="A263">
        <v>522</v>
      </c>
      <c r="B263" s="3">
        <v>3.4521571428571431</v>
      </c>
    </row>
    <row r="264" spans="1:2" x14ac:dyDescent="0.25">
      <c r="A264">
        <v>524</v>
      </c>
      <c r="B264" s="3">
        <v>3.4513999999999996</v>
      </c>
    </row>
    <row r="265" spans="1:2" x14ac:dyDescent="0.25">
      <c r="A265">
        <v>526</v>
      </c>
      <c r="B265" s="3">
        <v>3.4509285714285709</v>
      </c>
    </row>
    <row r="266" spans="1:2" x14ac:dyDescent="0.25">
      <c r="A266">
        <v>528</v>
      </c>
      <c r="B266" s="3">
        <v>3.4503428571428572</v>
      </c>
    </row>
    <row r="267" spans="1:2" x14ac:dyDescent="0.25">
      <c r="A267">
        <v>530</v>
      </c>
      <c r="B267" s="3">
        <v>3.4498000000000002</v>
      </c>
    </row>
    <row r="268" spans="1:2" x14ac:dyDescent="0.25">
      <c r="A268">
        <v>532</v>
      </c>
      <c r="B268" s="3">
        <v>3.4493000000000005</v>
      </c>
    </row>
    <row r="269" spans="1:2" x14ac:dyDescent="0.25">
      <c r="A269">
        <v>534</v>
      </c>
      <c r="B269" s="3">
        <v>3.4486714285714277</v>
      </c>
    </row>
    <row r="270" spans="1:2" x14ac:dyDescent="0.25">
      <c r="A270">
        <v>536</v>
      </c>
      <c r="B270" s="3">
        <v>3.4480142857142861</v>
      </c>
    </row>
    <row r="271" spans="1:2" x14ac:dyDescent="0.25">
      <c r="A271">
        <v>538</v>
      </c>
      <c r="B271" s="3">
        <v>3.4475714285714285</v>
      </c>
    </row>
    <row r="272" spans="1:2" x14ac:dyDescent="0.25">
      <c r="A272">
        <v>540</v>
      </c>
      <c r="B272" s="3">
        <v>3.4470999999999998</v>
      </c>
    </row>
    <row r="273" spans="1:2" x14ac:dyDescent="0.25">
      <c r="A273">
        <v>542</v>
      </c>
      <c r="B273" s="3">
        <v>3.4462285714285712</v>
      </c>
    </row>
    <row r="274" spans="1:2" x14ac:dyDescent="0.25">
      <c r="A274">
        <v>544</v>
      </c>
      <c r="B274" s="3">
        <v>3.4454714285714294</v>
      </c>
    </row>
    <row r="275" spans="1:2" x14ac:dyDescent="0.25">
      <c r="A275">
        <v>546</v>
      </c>
      <c r="B275" s="3">
        <v>3.4451285714285711</v>
      </c>
    </row>
    <row r="276" spans="1:2" x14ac:dyDescent="0.25">
      <c r="A276">
        <v>548</v>
      </c>
      <c r="B276" s="3">
        <v>3.4444857142857144</v>
      </c>
    </row>
    <row r="277" spans="1:2" x14ac:dyDescent="0.25">
      <c r="A277">
        <v>550</v>
      </c>
      <c r="B277" s="3">
        <v>3.4437285714285717</v>
      </c>
    </row>
    <row r="278" spans="1:2" x14ac:dyDescent="0.25">
      <c r="A278">
        <v>552</v>
      </c>
      <c r="B278" s="3">
        <v>3.4432142857142858</v>
      </c>
    </row>
    <row r="279" spans="1:2" x14ac:dyDescent="0.25">
      <c r="A279">
        <v>554</v>
      </c>
      <c r="B279" s="3">
        <v>3.4425142857142856</v>
      </c>
    </row>
    <row r="280" spans="1:2" x14ac:dyDescent="0.25">
      <c r="A280">
        <v>556</v>
      </c>
      <c r="B280" s="3">
        <v>3.4419999999999993</v>
      </c>
    </row>
    <row r="281" spans="1:2" x14ac:dyDescent="0.25">
      <c r="A281">
        <v>558</v>
      </c>
      <c r="B281" s="3">
        <v>3.4415</v>
      </c>
    </row>
    <row r="282" spans="1:2" x14ac:dyDescent="0.25">
      <c r="A282">
        <v>560</v>
      </c>
      <c r="B282" s="3">
        <v>3.4410857142857147</v>
      </c>
    </row>
    <row r="283" spans="1:2" x14ac:dyDescent="0.25">
      <c r="A283">
        <v>562</v>
      </c>
      <c r="B283" s="3">
        <v>3.4407142857142858</v>
      </c>
    </row>
    <row r="284" spans="1:2" x14ac:dyDescent="0.25">
      <c r="A284">
        <v>564</v>
      </c>
      <c r="B284" s="3">
        <v>3.4402285714285719</v>
      </c>
    </row>
    <row r="285" spans="1:2" x14ac:dyDescent="0.25">
      <c r="A285">
        <v>566</v>
      </c>
      <c r="B285" s="3">
        <v>3.4395142857142855</v>
      </c>
    </row>
    <row r="286" spans="1:2" x14ac:dyDescent="0.25">
      <c r="A286">
        <v>568</v>
      </c>
      <c r="B286" s="3">
        <v>3.4387857142857143</v>
      </c>
    </row>
    <row r="287" spans="1:2" x14ac:dyDescent="0.25">
      <c r="A287">
        <v>570</v>
      </c>
      <c r="B287" s="3">
        <v>3.4383857142857144</v>
      </c>
    </row>
    <row r="288" spans="1:2" x14ac:dyDescent="0.25">
      <c r="A288">
        <v>572</v>
      </c>
      <c r="B288" s="3">
        <v>3.4378285714285712</v>
      </c>
    </row>
    <row r="289" spans="1:2" x14ac:dyDescent="0.25">
      <c r="A289">
        <v>574</v>
      </c>
      <c r="B289" s="3">
        <v>3.4374571428571428</v>
      </c>
    </row>
    <row r="290" spans="1:2" x14ac:dyDescent="0.25">
      <c r="A290">
        <v>576</v>
      </c>
      <c r="B290" s="3">
        <v>3.436957142857143</v>
      </c>
    </row>
    <row r="291" spans="1:2" x14ac:dyDescent="0.25">
      <c r="A291">
        <v>578</v>
      </c>
      <c r="B291" s="3">
        <v>3.4364714285714291</v>
      </c>
    </row>
    <row r="292" spans="1:2" x14ac:dyDescent="0.25">
      <c r="A292">
        <v>580</v>
      </c>
      <c r="B292" s="3">
        <v>3.4361142857142855</v>
      </c>
    </row>
    <row r="293" spans="1:2" x14ac:dyDescent="0.25">
      <c r="A293">
        <v>582</v>
      </c>
      <c r="B293" s="3">
        <v>3.4352285714285711</v>
      </c>
    </row>
    <row r="294" spans="1:2" x14ac:dyDescent="0.25">
      <c r="A294">
        <v>584</v>
      </c>
      <c r="B294" s="3">
        <v>3.4348142857142858</v>
      </c>
    </row>
    <row r="295" spans="1:2" x14ac:dyDescent="0.25">
      <c r="A295">
        <v>586</v>
      </c>
      <c r="B295" s="3">
        <v>3.434128571428571</v>
      </c>
    </row>
    <row r="296" spans="1:2" x14ac:dyDescent="0.25">
      <c r="A296">
        <v>588</v>
      </c>
      <c r="B296" s="3">
        <v>3.4335142857142857</v>
      </c>
    </row>
    <row r="297" spans="1:2" x14ac:dyDescent="0.25">
      <c r="A297">
        <v>590</v>
      </c>
      <c r="B297" s="3">
        <v>3.432928571428572</v>
      </c>
    </row>
    <row r="298" spans="1:2" x14ac:dyDescent="0.25">
      <c r="A298">
        <v>592</v>
      </c>
      <c r="B298" s="3">
        <v>3.4326142857142856</v>
      </c>
    </row>
    <row r="299" spans="1:2" x14ac:dyDescent="0.25">
      <c r="A299">
        <v>594</v>
      </c>
      <c r="B299" s="3">
        <v>3.4320857142857144</v>
      </c>
    </row>
    <row r="300" spans="1:2" x14ac:dyDescent="0.25">
      <c r="A300">
        <v>596</v>
      </c>
      <c r="B300" s="3">
        <v>3.4313714285714285</v>
      </c>
    </row>
    <row r="301" spans="1:2" x14ac:dyDescent="0.25">
      <c r="A301">
        <v>598</v>
      </c>
      <c r="B301" s="3">
        <v>3.4308285714285711</v>
      </c>
    </row>
    <row r="302" spans="1:2" x14ac:dyDescent="0.25">
      <c r="A302">
        <v>600</v>
      </c>
      <c r="B302" s="3">
        <v>3.4305714285714286</v>
      </c>
    </row>
    <row r="303" spans="1:2" x14ac:dyDescent="0.25">
      <c r="A303">
        <v>602</v>
      </c>
      <c r="B303" s="3">
        <v>3.4299714285714282</v>
      </c>
    </row>
    <row r="304" spans="1:2" x14ac:dyDescent="0.25">
      <c r="A304">
        <v>604</v>
      </c>
      <c r="B304" s="3">
        <v>3.4291428571428568</v>
      </c>
    </row>
    <row r="305" spans="1:2" x14ac:dyDescent="0.25">
      <c r="A305">
        <v>606</v>
      </c>
      <c r="B305" s="3">
        <v>3.428671428571429</v>
      </c>
    </row>
    <row r="306" spans="1:2" x14ac:dyDescent="0.25">
      <c r="A306">
        <v>608</v>
      </c>
      <c r="B306" s="3">
        <v>3.4281571428571427</v>
      </c>
    </row>
    <row r="307" spans="1:2" x14ac:dyDescent="0.25">
      <c r="A307">
        <v>610</v>
      </c>
      <c r="B307" s="3">
        <v>3.4277285714285717</v>
      </c>
    </row>
    <row r="308" spans="1:2" x14ac:dyDescent="0.25">
      <c r="A308">
        <v>612</v>
      </c>
      <c r="B308" s="3">
        <v>3.427114285714286</v>
      </c>
    </row>
    <row r="309" spans="1:2" x14ac:dyDescent="0.25">
      <c r="A309">
        <v>614</v>
      </c>
      <c r="B309" s="3">
        <v>3.4266428571428569</v>
      </c>
    </row>
    <row r="310" spans="1:2" x14ac:dyDescent="0.25">
      <c r="A310">
        <v>616</v>
      </c>
      <c r="B310" s="3">
        <v>3.4258999999999995</v>
      </c>
    </row>
    <row r="311" spans="1:2" x14ac:dyDescent="0.25">
      <c r="A311">
        <v>618</v>
      </c>
      <c r="B311" s="3">
        <v>3.4255000000000004</v>
      </c>
    </row>
    <row r="312" spans="1:2" x14ac:dyDescent="0.25">
      <c r="A312">
        <v>620</v>
      </c>
      <c r="B312" s="3">
        <v>3.4247571428571431</v>
      </c>
    </row>
    <row r="313" spans="1:2" x14ac:dyDescent="0.25">
      <c r="A313">
        <v>622</v>
      </c>
      <c r="B313" s="3">
        <v>3.4242714285714291</v>
      </c>
    </row>
    <row r="314" spans="1:2" x14ac:dyDescent="0.25">
      <c r="A314">
        <v>624</v>
      </c>
      <c r="B314" s="3">
        <v>3.4239999999999999</v>
      </c>
    </row>
    <row r="315" spans="1:2" x14ac:dyDescent="0.25">
      <c r="A315">
        <v>626</v>
      </c>
      <c r="B315" s="3">
        <v>3.4235714285714285</v>
      </c>
    </row>
    <row r="316" spans="1:2" x14ac:dyDescent="0.25">
      <c r="A316">
        <v>628</v>
      </c>
      <c r="B316" s="3">
        <v>3.4232142857142862</v>
      </c>
    </row>
    <row r="317" spans="1:2" x14ac:dyDescent="0.25">
      <c r="A317">
        <v>630</v>
      </c>
      <c r="B317" s="3">
        <v>3.4229285714285713</v>
      </c>
    </row>
    <row r="318" spans="1:2" x14ac:dyDescent="0.25">
      <c r="A318">
        <v>632</v>
      </c>
      <c r="B318" s="3">
        <v>3.4224142857142859</v>
      </c>
    </row>
    <row r="319" spans="1:2" x14ac:dyDescent="0.25">
      <c r="A319">
        <v>634</v>
      </c>
      <c r="B319" s="3">
        <v>3.422071428571428</v>
      </c>
    </row>
    <row r="320" spans="1:2" x14ac:dyDescent="0.25">
      <c r="A320">
        <v>636</v>
      </c>
      <c r="B320" s="3">
        <v>3.4216857142857147</v>
      </c>
    </row>
    <row r="321" spans="1:2" x14ac:dyDescent="0.25">
      <c r="A321">
        <v>638</v>
      </c>
      <c r="B321" s="3">
        <v>3.4213999999999998</v>
      </c>
    </row>
    <row r="322" spans="1:2" x14ac:dyDescent="0.25">
      <c r="A322">
        <v>640</v>
      </c>
      <c r="B322" s="3">
        <v>3.421157142857143</v>
      </c>
    </row>
    <row r="323" spans="1:2" x14ac:dyDescent="0.25">
      <c r="A323">
        <v>642</v>
      </c>
      <c r="B323" s="3">
        <v>3.4207714285714284</v>
      </c>
    </row>
    <row r="324" spans="1:2" x14ac:dyDescent="0.25">
      <c r="A324">
        <v>644</v>
      </c>
      <c r="B324" s="3">
        <v>3.4205714285714284</v>
      </c>
    </row>
    <row r="325" spans="1:2" x14ac:dyDescent="0.25">
      <c r="A325">
        <v>646</v>
      </c>
      <c r="B325" s="3">
        <v>3.4202428571428571</v>
      </c>
    </row>
    <row r="326" spans="1:2" x14ac:dyDescent="0.25">
      <c r="A326">
        <v>648</v>
      </c>
      <c r="B326" s="3">
        <v>3.4197857142857147</v>
      </c>
    </row>
    <row r="327" spans="1:2" x14ac:dyDescent="0.25">
      <c r="A327">
        <v>650</v>
      </c>
      <c r="B327" s="3">
        <v>3.4193428571428575</v>
      </c>
    </row>
    <row r="328" spans="1:2" x14ac:dyDescent="0.25">
      <c r="A328">
        <v>652</v>
      </c>
      <c r="B328" s="3">
        <v>3.4188428571428569</v>
      </c>
    </row>
    <row r="329" spans="1:2" x14ac:dyDescent="0.25">
      <c r="A329">
        <v>654</v>
      </c>
      <c r="B329" s="3">
        <v>3.4183714285714291</v>
      </c>
    </row>
    <row r="330" spans="1:2" x14ac:dyDescent="0.25">
      <c r="A330">
        <v>656</v>
      </c>
      <c r="B330" s="3">
        <v>3.418071428571428</v>
      </c>
    </row>
    <row r="331" spans="1:2" x14ac:dyDescent="0.25">
      <c r="A331">
        <v>658</v>
      </c>
      <c r="B331" s="3">
        <v>3.4175714285714287</v>
      </c>
    </row>
    <row r="332" spans="1:2" x14ac:dyDescent="0.25">
      <c r="A332">
        <v>660</v>
      </c>
      <c r="B332" s="3">
        <v>3.4173714285714283</v>
      </c>
    </row>
    <row r="333" spans="1:2" x14ac:dyDescent="0.25">
      <c r="A333">
        <v>662</v>
      </c>
      <c r="B333" s="3">
        <v>3.4171428571428573</v>
      </c>
    </row>
    <row r="334" spans="1:2" x14ac:dyDescent="0.25">
      <c r="A334">
        <v>664</v>
      </c>
      <c r="B334" s="3">
        <v>3.4165285714285716</v>
      </c>
    </row>
    <row r="335" spans="1:2" x14ac:dyDescent="0.25">
      <c r="A335">
        <v>666</v>
      </c>
      <c r="B335" s="3">
        <v>3.4162714285714282</v>
      </c>
    </row>
    <row r="336" spans="1:2" x14ac:dyDescent="0.25">
      <c r="A336">
        <v>668</v>
      </c>
      <c r="B336" s="3">
        <v>3.4157999999999999</v>
      </c>
    </row>
    <row r="337" spans="1:2" x14ac:dyDescent="0.25">
      <c r="A337">
        <v>670</v>
      </c>
      <c r="B337" s="3">
        <v>3.4153285714285713</v>
      </c>
    </row>
    <row r="338" spans="1:2" x14ac:dyDescent="0.25">
      <c r="A338">
        <v>672</v>
      </c>
      <c r="B338" s="3">
        <v>3.4151999999999996</v>
      </c>
    </row>
    <row r="339" spans="1:2" x14ac:dyDescent="0.25">
      <c r="A339">
        <v>674</v>
      </c>
      <c r="B339" s="3">
        <v>3.4148142857142858</v>
      </c>
    </row>
    <row r="340" spans="1:2" x14ac:dyDescent="0.25">
      <c r="A340">
        <v>676</v>
      </c>
      <c r="B340" s="3">
        <v>3.4143714285714286</v>
      </c>
    </row>
    <row r="341" spans="1:2" x14ac:dyDescent="0.25">
      <c r="A341">
        <v>678</v>
      </c>
      <c r="B341" s="3">
        <v>3.4140571428571427</v>
      </c>
    </row>
    <row r="342" spans="1:2" x14ac:dyDescent="0.25">
      <c r="A342">
        <v>680</v>
      </c>
      <c r="B342" s="3">
        <v>3.4136857142857147</v>
      </c>
    </row>
    <row r="343" spans="1:2" x14ac:dyDescent="0.25">
      <c r="A343">
        <v>682</v>
      </c>
      <c r="B343" s="3">
        <v>3.4130571428571428</v>
      </c>
    </row>
    <row r="344" spans="1:2" x14ac:dyDescent="0.25">
      <c r="A344">
        <v>684</v>
      </c>
      <c r="B344" s="3">
        <v>3.4125571428571431</v>
      </c>
    </row>
    <row r="345" spans="1:2" x14ac:dyDescent="0.25">
      <c r="A345">
        <v>686</v>
      </c>
      <c r="B345" s="3">
        <v>3.4119999999999995</v>
      </c>
    </row>
    <row r="346" spans="1:2" x14ac:dyDescent="0.25">
      <c r="A346">
        <v>688</v>
      </c>
      <c r="B346" s="3">
        <v>3.4114714285714283</v>
      </c>
    </row>
    <row r="347" spans="1:2" x14ac:dyDescent="0.25">
      <c r="A347">
        <v>690</v>
      </c>
      <c r="B347" s="3">
        <v>3.4109142857142865</v>
      </c>
    </row>
    <row r="348" spans="1:2" x14ac:dyDescent="0.25">
      <c r="A348">
        <v>692</v>
      </c>
      <c r="B348" s="3">
        <v>3.4104999999999994</v>
      </c>
    </row>
    <row r="349" spans="1:2" x14ac:dyDescent="0.25">
      <c r="A349">
        <v>694</v>
      </c>
      <c r="B349" s="3">
        <v>3.4101999999999997</v>
      </c>
    </row>
    <row r="350" spans="1:2" x14ac:dyDescent="0.25">
      <c r="A350">
        <v>696</v>
      </c>
      <c r="B350" s="3">
        <v>3.4099000000000004</v>
      </c>
    </row>
    <row r="351" spans="1:2" x14ac:dyDescent="0.25">
      <c r="A351">
        <v>698</v>
      </c>
      <c r="B351" s="3">
        <v>3.409642857142857</v>
      </c>
    </row>
    <row r="352" spans="1:2" x14ac:dyDescent="0.25">
      <c r="A352">
        <v>700</v>
      </c>
      <c r="B352" s="3">
        <v>3.4091285714285715</v>
      </c>
    </row>
    <row r="353" spans="1:2" x14ac:dyDescent="0.25">
      <c r="A353">
        <v>702</v>
      </c>
      <c r="B353" s="3">
        <v>3.4089428571428573</v>
      </c>
    </row>
    <row r="354" spans="1:2" x14ac:dyDescent="0.25">
      <c r="A354">
        <v>704</v>
      </c>
      <c r="B354" s="3">
        <v>3.4084714285714286</v>
      </c>
    </row>
    <row r="355" spans="1:2" x14ac:dyDescent="0.25">
      <c r="A355">
        <v>706</v>
      </c>
      <c r="B355" s="3">
        <v>3.4081714285714284</v>
      </c>
    </row>
    <row r="356" spans="1:2" x14ac:dyDescent="0.25">
      <c r="A356">
        <v>708</v>
      </c>
      <c r="B356" s="3">
        <v>3.4079285714285716</v>
      </c>
    </row>
    <row r="357" spans="1:2" x14ac:dyDescent="0.25">
      <c r="A357">
        <v>710</v>
      </c>
      <c r="B357" s="3">
        <v>3.4074000000000004</v>
      </c>
    </row>
    <row r="358" spans="1:2" x14ac:dyDescent="0.25">
      <c r="A358">
        <v>712</v>
      </c>
      <c r="B358" s="3">
        <v>3.4072285714285715</v>
      </c>
    </row>
    <row r="359" spans="1:2" x14ac:dyDescent="0.25">
      <c r="A359">
        <v>714</v>
      </c>
      <c r="B359" s="3">
        <v>3.4068428571428564</v>
      </c>
    </row>
    <row r="360" spans="1:2" x14ac:dyDescent="0.25">
      <c r="A360">
        <v>716</v>
      </c>
      <c r="B360" s="3">
        <v>3.4061857142857144</v>
      </c>
    </row>
    <row r="361" spans="1:2" x14ac:dyDescent="0.25">
      <c r="A361">
        <v>718</v>
      </c>
      <c r="B361" s="3">
        <v>3.4059857142857148</v>
      </c>
    </row>
    <row r="362" spans="1:2" x14ac:dyDescent="0.25">
      <c r="A362">
        <v>720</v>
      </c>
      <c r="B362" s="3">
        <v>3.405757142857142</v>
      </c>
    </row>
    <row r="363" spans="1:2" x14ac:dyDescent="0.25">
      <c r="A363">
        <v>722</v>
      </c>
      <c r="B363" s="3">
        <v>3.4054142857142855</v>
      </c>
    </row>
    <row r="364" spans="1:2" x14ac:dyDescent="0.25">
      <c r="A364">
        <v>724</v>
      </c>
      <c r="B364" s="3">
        <v>3.405214285714286</v>
      </c>
    </row>
    <row r="365" spans="1:2" x14ac:dyDescent="0.25">
      <c r="A365">
        <v>726</v>
      </c>
      <c r="B365" s="3">
        <v>3.4049857142857141</v>
      </c>
    </row>
    <row r="366" spans="1:2" x14ac:dyDescent="0.25">
      <c r="A366">
        <v>728</v>
      </c>
      <c r="B366" s="3">
        <v>3.4045999999999998</v>
      </c>
    </row>
    <row r="367" spans="1:2" x14ac:dyDescent="0.25">
      <c r="A367">
        <v>730</v>
      </c>
      <c r="B367" s="3">
        <v>3.404257142857142</v>
      </c>
    </row>
    <row r="368" spans="1:2" x14ac:dyDescent="0.25">
      <c r="A368">
        <v>732</v>
      </c>
      <c r="B368" s="3">
        <v>3.4038714285714282</v>
      </c>
    </row>
    <row r="369" spans="1:2" x14ac:dyDescent="0.25">
      <c r="A369">
        <v>734</v>
      </c>
      <c r="B369" s="3">
        <v>3.4036</v>
      </c>
    </row>
    <row r="370" spans="1:2" x14ac:dyDescent="0.25">
      <c r="A370">
        <v>736</v>
      </c>
      <c r="B370" s="3">
        <v>3.4032285714285715</v>
      </c>
    </row>
    <row r="371" spans="1:2" x14ac:dyDescent="0.25">
      <c r="A371">
        <v>738</v>
      </c>
      <c r="B371" s="3">
        <v>3.4029999999999996</v>
      </c>
    </row>
    <row r="372" spans="1:2" x14ac:dyDescent="0.25">
      <c r="A372">
        <v>740</v>
      </c>
      <c r="B372" s="3">
        <v>3.4027428571428571</v>
      </c>
    </row>
    <row r="373" spans="1:2" x14ac:dyDescent="0.25">
      <c r="A373">
        <v>742</v>
      </c>
      <c r="B373" s="3">
        <v>3.4024571428571426</v>
      </c>
    </row>
    <row r="374" spans="1:2" x14ac:dyDescent="0.25">
      <c r="A374">
        <v>744</v>
      </c>
      <c r="B374" s="3">
        <v>3.4020857142857146</v>
      </c>
    </row>
    <row r="375" spans="1:2" x14ac:dyDescent="0.25">
      <c r="A375">
        <v>746</v>
      </c>
      <c r="B375" s="3">
        <v>3.4017000000000004</v>
      </c>
    </row>
    <row r="376" spans="1:2" x14ac:dyDescent="0.25">
      <c r="A376">
        <v>748</v>
      </c>
      <c r="B376" s="3">
        <v>3.4013285714285715</v>
      </c>
    </row>
    <row r="377" spans="1:2" x14ac:dyDescent="0.25">
      <c r="A377">
        <v>750</v>
      </c>
      <c r="B377" s="3">
        <v>3.4010857142857143</v>
      </c>
    </row>
    <row r="378" spans="1:2" x14ac:dyDescent="0.25">
      <c r="A378">
        <v>752</v>
      </c>
      <c r="B378" s="3">
        <v>3.4007285714285715</v>
      </c>
    </row>
    <row r="379" spans="1:2" x14ac:dyDescent="0.25">
      <c r="A379">
        <v>754</v>
      </c>
      <c r="B379" s="3">
        <v>3.4003714285714288</v>
      </c>
    </row>
    <row r="380" spans="1:2" x14ac:dyDescent="0.25">
      <c r="A380">
        <v>756</v>
      </c>
      <c r="B380" s="3">
        <v>3.4000428571428571</v>
      </c>
    </row>
    <row r="381" spans="1:2" x14ac:dyDescent="0.25">
      <c r="A381">
        <v>758</v>
      </c>
      <c r="B381" s="3">
        <v>3.3995714285714285</v>
      </c>
    </row>
    <row r="382" spans="1:2" x14ac:dyDescent="0.25">
      <c r="A382">
        <v>760</v>
      </c>
      <c r="B382" s="3">
        <v>3.398971428571429</v>
      </c>
    </row>
    <row r="383" spans="1:2" x14ac:dyDescent="0.25">
      <c r="A383">
        <v>762</v>
      </c>
      <c r="B383" s="3">
        <v>3.3986714285714288</v>
      </c>
    </row>
    <row r="384" spans="1:2" x14ac:dyDescent="0.25">
      <c r="A384">
        <v>764</v>
      </c>
      <c r="B384" s="3">
        <v>3.3983714285714286</v>
      </c>
    </row>
    <row r="385" spans="1:2" x14ac:dyDescent="0.25">
      <c r="A385">
        <v>766</v>
      </c>
      <c r="B385" s="3">
        <v>3.3979999999999997</v>
      </c>
    </row>
    <row r="386" spans="1:2" x14ac:dyDescent="0.25">
      <c r="A386">
        <v>768</v>
      </c>
      <c r="B386" s="3">
        <v>3.3977000000000004</v>
      </c>
    </row>
    <row r="387" spans="1:2" x14ac:dyDescent="0.25">
      <c r="A387">
        <v>770</v>
      </c>
      <c r="B387" s="3">
        <v>3.3973714285714287</v>
      </c>
    </row>
    <row r="388" spans="1:2" x14ac:dyDescent="0.25">
      <c r="A388">
        <v>772</v>
      </c>
      <c r="B388" s="3">
        <v>3.3969999999999998</v>
      </c>
    </row>
    <row r="389" spans="1:2" x14ac:dyDescent="0.25">
      <c r="A389">
        <v>774</v>
      </c>
      <c r="B389" s="3">
        <v>3.3967285714285711</v>
      </c>
    </row>
    <row r="390" spans="1:2" x14ac:dyDescent="0.25">
      <c r="A390">
        <v>776</v>
      </c>
      <c r="B390" s="3">
        <v>3.3964142857142856</v>
      </c>
    </row>
    <row r="391" spans="1:2" x14ac:dyDescent="0.25">
      <c r="A391">
        <v>778</v>
      </c>
      <c r="B391" s="3">
        <v>3.3962142857142856</v>
      </c>
    </row>
    <row r="392" spans="1:2" x14ac:dyDescent="0.25">
      <c r="A392">
        <v>780</v>
      </c>
      <c r="B392" s="3">
        <v>3.3958571428571425</v>
      </c>
    </row>
    <row r="393" spans="1:2" x14ac:dyDescent="0.25">
      <c r="A393">
        <v>782</v>
      </c>
      <c r="B393" s="3">
        <v>3.3956142857142853</v>
      </c>
    </row>
    <row r="394" spans="1:2" x14ac:dyDescent="0.25">
      <c r="A394">
        <v>784</v>
      </c>
      <c r="B394" s="3">
        <v>3.3954428571428572</v>
      </c>
    </row>
    <row r="395" spans="1:2" x14ac:dyDescent="0.25">
      <c r="A395">
        <v>786</v>
      </c>
      <c r="B395" s="3">
        <v>3.3952571428571434</v>
      </c>
    </row>
    <row r="396" spans="1:2" x14ac:dyDescent="0.25">
      <c r="A396">
        <v>788</v>
      </c>
      <c r="B396" s="3">
        <v>3.3948142857142858</v>
      </c>
    </row>
    <row r="397" spans="1:2" x14ac:dyDescent="0.25">
      <c r="A397">
        <v>790</v>
      </c>
      <c r="B397" s="3">
        <v>3.3944999999999999</v>
      </c>
    </row>
    <row r="398" spans="1:2" x14ac:dyDescent="0.25">
      <c r="A398">
        <v>792</v>
      </c>
      <c r="B398" s="3">
        <v>3.394214285714285</v>
      </c>
    </row>
    <row r="399" spans="1:2" x14ac:dyDescent="0.25">
      <c r="A399">
        <v>794</v>
      </c>
      <c r="B399" s="3">
        <v>3.3939428571428576</v>
      </c>
    </row>
    <row r="400" spans="1:2" x14ac:dyDescent="0.25">
      <c r="A400">
        <v>796</v>
      </c>
      <c r="B400" s="3">
        <v>3.3935571428571429</v>
      </c>
    </row>
    <row r="401" spans="1:2" x14ac:dyDescent="0.25">
      <c r="A401">
        <v>798</v>
      </c>
      <c r="B401" s="3">
        <v>3.3934142857142859</v>
      </c>
    </row>
    <row r="402" spans="1:2" x14ac:dyDescent="0.25">
      <c r="A402">
        <v>800</v>
      </c>
      <c r="B402" s="3">
        <v>3.3931285714285715</v>
      </c>
    </row>
    <row r="403" spans="1:2" x14ac:dyDescent="0.25">
      <c r="A403">
        <v>802</v>
      </c>
      <c r="B403" s="3">
        <v>3.3928571428571428</v>
      </c>
    </row>
    <row r="404" spans="1:2" x14ac:dyDescent="0.25">
      <c r="A404">
        <v>804</v>
      </c>
      <c r="B404" s="3">
        <v>3.3925285714285716</v>
      </c>
    </row>
    <row r="405" spans="1:2" x14ac:dyDescent="0.25">
      <c r="A405">
        <v>806</v>
      </c>
      <c r="B405" s="3">
        <v>3.3922714285714286</v>
      </c>
    </row>
    <row r="406" spans="1:2" x14ac:dyDescent="0.25">
      <c r="A406">
        <v>808</v>
      </c>
      <c r="B406" s="3">
        <v>3.3920428571428576</v>
      </c>
    </row>
    <row r="407" spans="1:2" x14ac:dyDescent="0.25">
      <c r="A407">
        <v>810</v>
      </c>
      <c r="B407" s="3">
        <v>3.3918285714285719</v>
      </c>
    </row>
    <row r="408" spans="1:2" x14ac:dyDescent="0.25">
      <c r="A408">
        <v>812</v>
      </c>
      <c r="B408" s="3">
        <v>3.3914999999999997</v>
      </c>
    </row>
    <row r="409" spans="1:2" x14ac:dyDescent="0.25">
      <c r="A409">
        <v>814</v>
      </c>
      <c r="B409" s="3">
        <v>3.3914142857142857</v>
      </c>
    </row>
    <row r="410" spans="1:2" x14ac:dyDescent="0.25">
      <c r="A410">
        <v>816</v>
      </c>
      <c r="B410" s="3">
        <v>3.3911571428571423</v>
      </c>
    </row>
    <row r="411" spans="1:2" x14ac:dyDescent="0.25">
      <c r="A411">
        <v>818</v>
      </c>
      <c r="B411" s="3">
        <v>3.3909714285714285</v>
      </c>
    </row>
    <row r="412" spans="1:2" x14ac:dyDescent="0.25">
      <c r="A412">
        <v>820</v>
      </c>
      <c r="B412" s="3">
        <v>3.390942857142857</v>
      </c>
    </row>
    <row r="413" spans="1:2" x14ac:dyDescent="0.25">
      <c r="A413">
        <v>822</v>
      </c>
      <c r="B413" s="3">
        <v>3.3908285714285715</v>
      </c>
    </row>
    <row r="414" spans="1:2" x14ac:dyDescent="0.25">
      <c r="A414">
        <v>824</v>
      </c>
      <c r="B414" s="3">
        <v>3.3906142857142858</v>
      </c>
    </row>
    <row r="415" spans="1:2" x14ac:dyDescent="0.25">
      <c r="A415">
        <v>826</v>
      </c>
      <c r="B415" s="3">
        <v>3.3902428571428578</v>
      </c>
    </row>
    <row r="416" spans="1:2" x14ac:dyDescent="0.25">
      <c r="A416">
        <v>828</v>
      </c>
      <c r="B416" s="3">
        <v>3.3899999999999997</v>
      </c>
    </row>
    <row r="417" spans="1:2" x14ac:dyDescent="0.25">
      <c r="A417">
        <v>830</v>
      </c>
      <c r="B417" s="3">
        <v>3.3897857142857144</v>
      </c>
    </row>
    <row r="418" spans="1:2" x14ac:dyDescent="0.25">
      <c r="A418">
        <v>832</v>
      </c>
      <c r="B418" s="3">
        <v>3.389442857142857</v>
      </c>
    </row>
    <row r="419" spans="1:2" x14ac:dyDescent="0.25">
      <c r="A419">
        <v>834</v>
      </c>
      <c r="B419" s="3">
        <v>3.389071428571429</v>
      </c>
    </row>
    <row r="420" spans="1:2" x14ac:dyDescent="0.25">
      <c r="A420">
        <v>836</v>
      </c>
      <c r="B420" s="3">
        <v>3.3888857142857143</v>
      </c>
    </row>
    <row r="421" spans="1:2" x14ac:dyDescent="0.25">
      <c r="A421">
        <v>838</v>
      </c>
      <c r="B421" s="3">
        <v>3.3886999999999996</v>
      </c>
    </row>
    <row r="422" spans="1:2" x14ac:dyDescent="0.25">
      <c r="A422">
        <v>840</v>
      </c>
      <c r="B422" s="3">
        <v>3.3886571428571428</v>
      </c>
    </row>
    <row r="423" spans="1:2" x14ac:dyDescent="0.25">
      <c r="A423">
        <v>842</v>
      </c>
      <c r="B423" s="3">
        <v>3.3886428571428575</v>
      </c>
    </row>
    <row r="424" spans="1:2" x14ac:dyDescent="0.25">
      <c r="A424">
        <v>844</v>
      </c>
      <c r="B424" s="3">
        <v>3.3885857142857145</v>
      </c>
    </row>
    <row r="425" spans="1:2" x14ac:dyDescent="0.25">
      <c r="A425">
        <v>846</v>
      </c>
      <c r="B425" s="3">
        <v>3.3884428571428571</v>
      </c>
    </row>
    <row r="426" spans="1:2" x14ac:dyDescent="0.25">
      <c r="A426">
        <v>848</v>
      </c>
      <c r="B426" s="3">
        <v>3.3881142857142863</v>
      </c>
    </row>
    <row r="427" spans="1:2" x14ac:dyDescent="0.25">
      <c r="A427">
        <v>850</v>
      </c>
      <c r="B427" s="3">
        <v>3.3877571428571427</v>
      </c>
    </row>
    <row r="428" spans="1:2" x14ac:dyDescent="0.25">
      <c r="A428">
        <v>852</v>
      </c>
      <c r="B428" s="3">
        <v>3.3873857142857142</v>
      </c>
    </row>
    <row r="429" spans="1:2" x14ac:dyDescent="0.25">
      <c r="A429">
        <v>854</v>
      </c>
      <c r="B429" s="3">
        <v>3.3872</v>
      </c>
    </row>
    <row r="430" spans="1:2" x14ac:dyDescent="0.25">
      <c r="A430">
        <v>856</v>
      </c>
      <c r="B430" s="3">
        <v>3.3870571428571421</v>
      </c>
    </row>
    <row r="431" spans="1:2" x14ac:dyDescent="0.25">
      <c r="A431">
        <v>858</v>
      </c>
      <c r="B431" s="3">
        <v>3.3869285714285708</v>
      </c>
    </row>
    <row r="432" spans="1:2" x14ac:dyDescent="0.25">
      <c r="A432">
        <v>860</v>
      </c>
      <c r="B432" s="3">
        <v>3.3867285714285713</v>
      </c>
    </row>
    <row r="433" spans="1:2" x14ac:dyDescent="0.25">
      <c r="A433">
        <v>862</v>
      </c>
      <c r="B433" s="3">
        <v>3.3865714285714286</v>
      </c>
    </row>
    <row r="434" spans="1:2" x14ac:dyDescent="0.25">
      <c r="A434">
        <v>864</v>
      </c>
      <c r="B434" s="3">
        <v>3.3864285714285711</v>
      </c>
    </row>
    <row r="435" spans="1:2" x14ac:dyDescent="0.25">
      <c r="A435">
        <v>866</v>
      </c>
      <c r="B435" s="3">
        <v>3.3863714285714286</v>
      </c>
    </row>
    <row r="436" spans="1:2" x14ac:dyDescent="0.25">
      <c r="A436">
        <v>868</v>
      </c>
      <c r="B436" s="3">
        <v>3.3861428571428571</v>
      </c>
    </row>
    <row r="437" spans="1:2" x14ac:dyDescent="0.25">
      <c r="A437">
        <v>870</v>
      </c>
      <c r="B437" s="3">
        <v>3.3860857142857137</v>
      </c>
    </row>
    <row r="438" spans="1:2" x14ac:dyDescent="0.25">
      <c r="A438">
        <v>872</v>
      </c>
      <c r="B438" s="3">
        <v>3.38565</v>
      </c>
    </row>
    <row r="439" spans="1:2" x14ac:dyDescent="0.25">
      <c r="A439">
        <v>874</v>
      </c>
      <c r="B439" s="3">
        <v>3.3854333333333333</v>
      </c>
    </row>
    <row r="440" spans="1:2" x14ac:dyDescent="0.25">
      <c r="A440">
        <v>876</v>
      </c>
      <c r="B440" s="3">
        <v>3.3853500000000003</v>
      </c>
    </row>
    <row r="441" spans="1:2" x14ac:dyDescent="0.25">
      <c r="A441">
        <v>878</v>
      </c>
      <c r="B441" s="3">
        <v>3.3850333333333338</v>
      </c>
    </row>
    <row r="442" spans="1:2" x14ac:dyDescent="0.25">
      <c r="A442">
        <v>880</v>
      </c>
      <c r="B442" s="3">
        <v>3.3847833333333335</v>
      </c>
    </row>
    <row r="443" spans="1:2" x14ac:dyDescent="0.25">
      <c r="A443">
        <v>882</v>
      </c>
      <c r="B443" s="3">
        <v>3.3845833333333331</v>
      </c>
    </row>
    <row r="444" spans="1:2" x14ac:dyDescent="0.25">
      <c r="A444">
        <v>884</v>
      </c>
      <c r="B444" s="3">
        <v>3.3843166666666669</v>
      </c>
    </row>
    <row r="445" spans="1:2" x14ac:dyDescent="0.25">
      <c r="A445">
        <v>886</v>
      </c>
      <c r="B445" s="3">
        <v>3.38435</v>
      </c>
    </row>
    <row r="446" spans="1:2" x14ac:dyDescent="0.25">
      <c r="A446">
        <v>888</v>
      </c>
      <c r="B446" s="3">
        <v>3.3841166666666669</v>
      </c>
    </row>
    <row r="447" spans="1:2" x14ac:dyDescent="0.25">
      <c r="A447">
        <v>890</v>
      </c>
      <c r="B447" s="3">
        <v>3.384066666666667</v>
      </c>
    </row>
    <row r="448" spans="1:2" x14ac:dyDescent="0.25">
      <c r="A448">
        <v>892</v>
      </c>
      <c r="B448" s="3">
        <v>3.3837833333333336</v>
      </c>
    </row>
    <row r="449" spans="1:2" x14ac:dyDescent="0.25">
      <c r="A449">
        <v>894</v>
      </c>
      <c r="B449" s="3">
        <v>3.383483333333333</v>
      </c>
    </row>
    <row r="450" spans="1:2" x14ac:dyDescent="0.25">
      <c r="A450">
        <v>896</v>
      </c>
      <c r="B450" s="3">
        <v>3.3832</v>
      </c>
    </row>
    <row r="451" spans="1:2" x14ac:dyDescent="0.25">
      <c r="A451">
        <v>898</v>
      </c>
      <c r="B451" s="3">
        <v>3.3831500000000001</v>
      </c>
    </row>
    <row r="452" spans="1:2" x14ac:dyDescent="0.25">
      <c r="A452">
        <v>900</v>
      </c>
      <c r="B452" s="3">
        <v>3.3844400000000001</v>
      </c>
    </row>
    <row r="453" spans="1:2" x14ac:dyDescent="0.25">
      <c r="A453">
        <v>902</v>
      </c>
      <c r="B453" s="3">
        <v>3.3843400000000003</v>
      </c>
    </row>
    <row r="454" spans="1:2" x14ac:dyDescent="0.25">
      <c r="A454">
        <v>904</v>
      </c>
      <c r="B454" s="3">
        <v>3.3843000000000005</v>
      </c>
    </row>
    <row r="455" spans="1:2" x14ac:dyDescent="0.25">
      <c r="A455">
        <v>906</v>
      </c>
      <c r="B455" s="3">
        <v>3.3839999999999995</v>
      </c>
    </row>
    <row r="456" spans="1:2" x14ac:dyDescent="0.25">
      <c r="A456">
        <v>908</v>
      </c>
      <c r="B456" s="3">
        <v>3.3838200000000001</v>
      </c>
    </row>
    <row r="457" spans="1:2" x14ac:dyDescent="0.25">
      <c r="A457">
        <v>910</v>
      </c>
      <c r="B457" s="3">
        <v>3.3836599999999999</v>
      </c>
    </row>
    <row r="458" spans="1:2" x14ac:dyDescent="0.25">
      <c r="A458">
        <v>912</v>
      </c>
      <c r="B458" s="3">
        <v>3.3833400000000005</v>
      </c>
    </row>
    <row r="459" spans="1:2" x14ac:dyDescent="0.25">
      <c r="A459">
        <v>914</v>
      </c>
      <c r="B459" s="3">
        <v>3.3833399999999996</v>
      </c>
    </row>
    <row r="460" spans="1:2" x14ac:dyDescent="0.25">
      <c r="A460">
        <v>916</v>
      </c>
      <c r="B460" s="3">
        <v>3.3831599999999993</v>
      </c>
    </row>
    <row r="461" spans="1:2" x14ac:dyDescent="0.25">
      <c r="A461">
        <v>918</v>
      </c>
      <c r="B461" s="3">
        <v>3.3830399999999998</v>
      </c>
    </row>
    <row r="462" spans="1:2" x14ac:dyDescent="0.25">
      <c r="A462">
        <v>920</v>
      </c>
      <c r="B462" s="3">
        <v>3.3828800000000001</v>
      </c>
    </row>
    <row r="463" spans="1:2" x14ac:dyDescent="0.25">
      <c r="A463">
        <v>922</v>
      </c>
      <c r="B463" s="3">
        <v>3.3826399999999999</v>
      </c>
    </row>
    <row r="464" spans="1:2" x14ac:dyDescent="0.25">
      <c r="A464">
        <v>924</v>
      </c>
      <c r="B464" s="3">
        <v>3.3826000000000001</v>
      </c>
    </row>
    <row r="465" spans="1:2" x14ac:dyDescent="0.25">
      <c r="A465">
        <v>926</v>
      </c>
      <c r="B465" s="3">
        <v>3.3825400000000001</v>
      </c>
    </row>
    <row r="466" spans="1:2" x14ac:dyDescent="0.25">
      <c r="A466">
        <v>928</v>
      </c>
      <c r="B466" s="3">
        <v>3.3823799999999999</v>
      </c>
    </row>
    <row r="467" spans="1:2" x14ac:dyDescent="0.25">
      <c r="A467">
        <v>930</v>
      </c>
      <c r="B467" s="3">
        <v>3.3821199999999996</v>
      </c>
    </row>
    <row r="468" spans="1:2" x14ac:dyDescent="0.25">
      <c r="A468">
        <v>932</v>
      </c>
      <c r="B468" s="3">
        <v>3.3820399999999999</v>
      </c>
    </row>
    <row r="469" spans="1:2" x14ac:dyDescent="0.25">
      <c r="A469">
        <v>934</v>
      </c>
      <c r="B469" s="3">
        <v>3.3820000000000001</v>
      </c>
    </row>
    <row r="470" spans="1:2" x14ac:dyDescent="0.25">
      <c r="A470">
        <v>936</v>
      </c>
      <c r="B470" s="3">
        <v>3.3817999999999997</v>
      </c>
    </row>
    <row r="471" spans="1:2" x14ac:dyDescent="0.25">
      <c r="A471">
        <v>938</v>
      </c>
      <c r="B471" s="3">
        <v>3.3815800000000005</v>
      </c>
    </row>
    <row r="472" spans="1:2" x14ac:dyDescent="0.25">
      <c r="A472">
        <v>940</v>
      </c>
      <c r="B472" s="3">
        <v>3.3815599999999995</v>
      </c>
    </row>
    <row r="473" spans="1:2" x14ac:dyDescent="0.25">
      <c r="A473">
        <v>942</v>
      </c>
      <c r="B473" s="3">
        <v>3.3814199999999999</v>
      </c>
    </row>
    <row r="474" spans="1:2" x14ac:dyDescent="0.25">
      <c r="A474">
        <v>944</v>
      </c>
      <c r="B474" s="3">
        <v>3.3812000000000006</v>
      </c>
    </row>
    <row r="475" spans="1:2" x14ac:dyDescent="0.25">
      <c r="A475">
        <v>946</v>
      </c>
      <c r="B475" s="3">
        <v>3.3811599999999999</v>
      </c>
    </row>
    <row r="476" spans="1:2" x14ac:dyDescent="0.25">
      <c r="A476">
        <v>948</v>
      </c>
      <c r="B476" s="3">
        <v>3.3810600000000002</v>
      </c>
    </row>
    <row r="477" spans="1:2" x14ac:dyDescent="0.25">
      <c r="A477">
        <v>950</v>
      </c>
      <c r="B477" s="3">
        <v>3.3809399999999998</v>
      </c>
    </row>
    <row r="478" spans="1:2" x14ac:dyDescent="0.25">
      <c r="A478">
        <v>952</v>
      </c>
      <c r="B478" s="3">
        <v>3.3806799999999995</v>
      </c>
    </row>
    <row r="479" spans="1:2" x14ac:dyDescent="0.25">
      <c r="A479">
        <v>954</v>
      </c>
      <c r="B479" s="3">
        <v>3.3807599999999995</v>
      </c>
    </row>
    <row r="480" spans="1:2" x14ac:dyDescent="0.25">
      <c r="A480">
        <v>956</v>
      </c>
      <c r="B480" s="3">
        <v>3.3806799999999995</v>
      </c>
    </row>
    <row r="481" spans="1:2" x14ac:dyDescent="0.25">
      <c r="A481">
        <v>958</v>
      </c>
      <c r="B481" s="3">
        <v>3.3803400000000003</v>
      </c>
    </row>
    <row r="482" spans="1:2" x14ac:dyDescent="0.25">
      <c r="A482">
        <v>960</v>
      </c>
      <c r="B482" s="3">
        <v>3.3804000000000003</v>
      </c>
    </row>
    <row r="483" spans="1:2" x14ac:dyDescent="0.25">
      <c r="A483">
        <v>962</v>
      </c>
      <c r="B483" s="3">
        <v>3.3802800000000004</v>
      </c>
    </row>
    <row r="484" spans="1:2" x14ac:dyDescent="0.25">
      <c r="A484">
        <v>964</v>
      </c>
      <c r="B484" s="3">
        <v>3.3801200000000002</v>
      </c>
    </row>
    <row r="485" spans="1:2" x14ac:dyDescent="0.25">
      <c r="A485">
        <v>966</v>
      </c>
      <c r="B485" s="3">
        <v>3.3799199999999998</v>
      </c>
    </row>
    <row r="486" spans="1:2" x14ac:dyDescent="0.25">
      <c r="A486">
        <v>968</v>
      </c>
      <c r="B486" s="3">
        <v>3.3797000000000006</v>
      </c>
    </row>
    <row r="487" spans="1:2" x14ac:dyDescent="0.25">
      <c r="A487">
        <v>970</v>
      </c>
      <c r="B487" s="3">
        <v>3.3796399999999998</v>
      </c>
    </row>
    <row r="488" spans="1:2" x14ac:dyDescent="0.25">
      <c r="A488">
        <v>972</v>
      </c>
      <c r="B488" s="3">
        <v>3.37954</v>
      </c>
    </row>
    <row r="489" spans="1:2" x14ac:dyDescent="0.25">
      <c r="A489">
        <v>974</v>
      </c>
      <c r="B489" s="3">
        <v>3.3793599999999997</v>
      </c>
    </row>
    <row r="490" spans="1:2" x14ac:dyDescent="0.25">
      <c r="A490">
        <v>976</v>
      </c>
      <c r="B490" s="3">
        <v>3.3792800000000001</v>
      </c>
    </row>
    <row r="491" spans="1:2" x14ac:dyDescent="0.25">
      <c r="A491">
        <v>978</v>
      </c>
      <c r="B491" s="3">
        <v>3.3792</v>
      </c>
    </row>
    <row r="492" spans="1:2" x14ac:dyDescent="0.25">
      <c r="A492">
        <v>980</v>
      </c>
      <c r="B492" s="3">
        <v>3.3789799999999999</v>
      </c>
    </row>
    <row r="493" spans="1:2" x14ac:dyDescent="0.25">
      <c r="A493">
        <v>982</v>
      </c>
      <c r="B493" s="3">
        <v>3.3788600000000004</v>
      </c>
    </row>
    <row r="494" spans="1:2" x14ac:dyDescent="0.25">
      <c r="A494">
        <v>984</v>
      </c>
      <c r="B494" s="3">
        <v>3.3788199999999997</v>
      </c>
    </row>
    <row r="495" spans="1:2" x14ac:dyDescent="0.25">
      <c r="A495">
        <v>986</v>
      </c>
      <c r="B495" s="3">
        <v>3.3785600000000002</v>
      </c>
    </row>
    <row r="496" spans="1:2" x14ac:dyDescent="0.25">
      <c r="A496">
        <v>988</v>
      </c>
      <c r="B496" s="3">
        <v>3.3783799999999999</v>
      </c>
    </row>
    <row r="497" spans="1:2" x14ac:dyDescent="0.25">
      <c r="A497">
        <v>990</v>
      </c>
      <c r="B497" s="3">
        <v>3.3784000000000001</v>
      </c>
    </row>
    <row r="498" spans="1:2" x14ac:dyDescent="0.25">
      <c r="A498">
        <v>992</v>
      </c>
      <c r="B498" s="3">
        <v>3.37832</v>
      </c>
    </row>
    <row r="499" spans="1:2" x14ac:dyDescent="0.25">
      <c r="A499">
        <v>994</v>
      </c>
      <c r="B499" s="3">
        <v>3.3780799999999997</v>
      </c>
    </row>
    <row r="500" spans="1:2" x14ac:dyDescent="0.25">
      <c r="A500">
        <v>996</v>
      </c>
      <c r="B500" s="3">
        <v>3.3779600000000003</v>
      </c>
    </row>
    <row r="501" spans="1:2" x14ac:dyDescent="0.25">
      <c r="A501">
        <v>998</v>
      </c>
      <c r="B501" s="3">
        <v>3.3777599999999999</v>
      </c>
    </row>
    <row r="502" spans="1:2" x14ac:dyDescent="0.25">
      <c r="A502">
        <v>1000</v>
      </c>
      <c r="B502" s="3">
        <v>3.3775000000000004</v>
      </c>
    </row>
    <row r="503" spans="1:2" x14ac:dyDescent="0.25">
      <c r="A503">
        <v>1002</v>
      </c>
      <c r="B503" s="3">
        <v>3.3773600000000004</v>
      </c>
    </row>
    <row r="504" spans="1:2" x14ac:dyDescent="0.25">
      <c r="A504">
        <v>1004</v>
      </c>
      <c r="B504" s="3">
        <v>3.3771800000000001</v>
      </c>
    </row>
    <row r="505" spans="1:2" x14ac:dyDescent="0.25">
      <c r="A505">
        <v>1006</v>
      </c>
      <c r="B505" s="3">
        <v>3.3769800000000005</v>
      </c>
    </row>
    <row r="506" spans="1:2" x14ac:dyDescent="0.25">
      <c r="A506">
        <v>1008</v>
      </c>
      <c r="B506" s="3">
        <v>3.3768599999999998</v>
      </c>
    </row>
    <row r="507" spans="1:2" x14ac:dyDescent="0.25">
      <c r="A507">
        <v>1010</v>
      </c>
      <c r="B507" s="3">
        <v>3.3767399999999994</v>
      </c>
    </row>
    <row r="508" spans="1:2" x14ac:dyDescent="0.25">
      <c r="A508">
        <v>1012</v>
      </c>
      <c r="B508" s="3">
        <v>3.3766599999999998</v>
      </c>
    </row>
    <row r="509" spans="1:2" x14ac:dyDescent="0.25">
      <c r="A509">
        <v>1014</v>
      </c>
      <c r="B509" s="3">
        <v>3.3764799999999999</v>
      </c>
    </row>
    <row r="510" spans="1:2" x14ac:dyDescent="0.25">
      <c r="A510">
        <v>1016</v>
      </c>
      <c r="B510" s="3">
        <v>3.3763399999999999</v>
      </c>
    </row>
    <row r="511" spans="1:2" x14ac:dyDescent="0.25">
      <c r="A511">
        <v>1018</v>
      </c>
      <c r="B511" s="3">
        <v>3.37622</v>
      </c>
    </row>
    <row r="512" spans="1:2" x14ac:dyDescent="0.25">
      <c r="A512">
        <v>1020</v>
      </c>
      <c r="B512" s="3">
        <v>3.3760999999999997</v>
      </c>
    </row>
    <row r="513" spans="1:2" x14ac:dyDescent="0.25">
      <c r="A513">
        <v>1022</v>
      </c>
      <c r="B513" s="3">
        <v>3.3758600000000003</v>
      </c>
    </row>
    <row r="514" spans="1:2" x14ac:dyDescent="0.25">
      <c r="A514">
        <v>1024</v>
      </c>
      <c r="B514" s="3">
        <v>3.3759199999999998</v>
      </c>
    </row>
    <row r="515" spans="1:2" x14ac:dyDescent="0.25">
      <c r="A515">
        <v>1026</v>
      </c>
      <c r="B515" s="3">
        <v>3.3756399999999998</v>
      </c>
    </row>
    <row r="516" spans="1:2" x14ac:dyDescent="0.25">
      <c r="A516">
        <v>1028</v>
      </c>
      <c r="B516" s="3">
        <v>3.3755200000000003</v>
      </c>
    </row>
    <row r="517" spans="1:2" x14ac:dyDescent="0.25">
      <c r="A517">
        <v>1030</v>
      </c>
      <c r="B517" s="3">
        <v>3.3754600000000003</v>
      </c>
    </row>
    <row r="518" spans="1:2" x14ac:dyDescent="0.25">
      <c r="A518">
        <v>1032</v>
      </c>
      <c r="B518" s="3">
        <v>3.3751799999999994</v>
      </c>
    </row>
    <row r="519" spans="1:2" x14ac:dyDescent="0.25">
      <c r="A519">
        <v>1034</v>
      </c>
      <c r="B519" s="3">
        <v>3.3752000000000004</v>
      </c>
    </row>
    <row r="520" spans="1:2" x14ac:dyDescent="0.25">
      <c r="A520">
        <v>1036</v>
      </c>
      <c r="B520" s="3">
        <v>3.3750799999999996</v>
      </c>
    </row>
    <row r="521" spans="1:2" x14ac:dyDescent="0.25">
      <c r="A521">
        <v>1038</v>
      </c>
      <c r="B521" s="3">
        <v>3.3749799999999999</v>
      </c>
    </row>
    <row r="522" spans="1:2" x14ac:dyDescent="0.25">
      <c r="A522">
        <v>1040</v>
      </c>
      <c r="B522" s="3">
        <v>3.3747400000000001</v>
      </c>
    </row>
    <row r="523" spans="1:2" x14ac:dyDescent="0.25">
      <c r="A523">
        <v>1042</v>
      </c>
      <c r="B523" s="3">
        <v>3.3746200000000002</v>
      </c>
    </row>
    <row r="524" spans="1:2" x14ac:dyDescent="0.25">
      <c r="A524">
        <v>1044</v>
      </c>
      <c r="B524" s="3">
        <v>3.37446</v>
      </c>
    </row>
    <row r="525" spans="1:2" x14ac:dyDescent="0.25">
      <c r="A525">
        <v>1046</v>
      </c>
      <c r="B525" s="3">
        <v>3.3743600000000002</v>
      </c>
    </row>
    <row r="526" spans="1:2" x14ac:dyDescent="0.25">
      <c r="A526">
        <v>1048</v>
      </c>
      <c r="B526" s="3">
        <v>3.3744000000000001</v>
      </c>
    </row>
    <row r="527" spans="1:2" x14ac:dyDescent="0.25">
      <c r="A527">
        <v>1050</v>
      </c>
      <c r="B527" s="3">
        <v>3.3742000000000005</v>
      </c>
    </row>
    <row r="528" spans="1:2" x14ac:dyDescent="0.25">
      <c r="A528">
        <v>1052</v>
      </c>
      <c r="B528" s="3">
        <v>3.3740600000000001</v>
      </c>
    </row>
    <row r="529" spans="1:2" x14ac:dyDescent="0.25">
      <c r="A529">
        <v>1054</v>
      </c>
      <c r="B529" s="3">
        <v>3.3739399999999997</v>
      </c>
    </row>
    <row r="530" spans="1:2" x14ac:dyDescent="0.25">
      <c r="A530">
        <v>1056</v>
      </c>
      <c r="B530" s="3">
        <v>3.37384</v>
      </c>
    </row>
    <row r="531" spans="1:2" x14ac:dyDescent="0.25">
      <c r="A531">
        <v>1058</v>
      </c>
      <c r="B531" s="3">
        <v>3.3736800000000002</v>
      </c>
    </row>
    <row r="532" spans="1:2" x14ac:dyDescent="0.25">
      <c r="A532">
        <v>1060</v>
      </c>
      <c r="B532" s="3">
        <v>3.3735399999999998</v>
      </c>
    </row>
    <row r="533" spans="1:2" x14ac:dyDescent="0.25">
      <c r="A533">
        <v>1062</v>
      </c>
      <c r="B533" s="3">
        <v>3.3735800000000005</v>
      </c>
    </row>
    <row r="534" spans="1:2" x14ac:dyDescent="0.25">
      <c r="A534">
        <v>1064</v>
      </c>
      <c r="B534" s="3">
        <v>3.3733400000000002</v>
      </c>
    </row>
    <row r="535" spans="1:2" x14ac:dyDescent="0.25">
      <c r="A535">
        <v>1066</v>
      </c>
      <c r="B535" s="3">
        <v>3.3731400000000002</v>
      </c>
    </row>
    <row r="536" spans="1:2" x14ac:dyDescent="0.25">
      <c r="A536">
        <v>1068</v>
      </c>
      <c r="B536" s="3">
        <v>3.3731999999999998</v>
      </c>
    </row>
    <row r="537" spans="1:2" x14ac:dyDescent="0.25">
      <c r="A537">
        <v>1070</v>
      </c>
      <c r="B537" s="3">
        <v>3.3730399999999996</v>
      </c>
    </row>
    <row r="538" spans="1:2" x14ac:dyDescent="0.25">
      <c r="A538">
        <v>1072</v>
      </c>
      <c r="B538" s="3">
        <v>3.3729199999999997</v>
      </c>
    </row>
    <row r="539" spans="1:2" x14ac:dyDescent="0.25">
      <c r="A539">
        <v>1074</v>
      </c>
      <c r="B539" s="3">
        <v>3.3727800000000001</v>
      </c>
    </row>
    <row r="540" spans="1:2" x14ac:dyDescent="0.25">
      <c r="A540">
        <v>1076</v>
      </c>
      <c r="B540" s="3">
        <v>3.3725800000000001</v>
      </c>
    </row>
    <row r="541" spans="1:2" x14ac:dyDescent="0.25">
      <c r="A541">
        <v>1078</v>
      </c>
      <c r="B541" s="3">
        <v>3.3724600000000002</v>
      </c>
    </row>
    <row r="542" spans="1:2" x14ac:dyDescent="0.25">
      <c r="A542">
        <v>1080</v>
      </c>
      <c r="B542" s="3">
        <v>3.3723199999999998</v>
      </c>
    </row>
    <row r="543" spans="1:2" x14ac:dyDescent="0.25">
      <c r="A543">
        <v>1082</v>
      </c>
      <c r="B543" s="3">
        <v>3.3722799999999999</v>
      </c>
    </row>
    <row r="544" spans="1:2" x14ac:dyDescent="0.25">
      <c r="A544">
        <v>1084</v>
      </c>
      <c r="B544" s="3">
        <v>3.3720600000000003</v>
      </c>
    </row>
    <row r="545" spans="1:2" x14ac:dyDescent="0.25">
      <c r="A545">
        <v>1086</v>
      </c>
      <c r="B545" s="3">
        <v>3.3720799999999995</v>
      </c>
    </row>
    <row r="546" spans="1:2" x14ac:dyDescent="0.25">
      <c r="A546">
        <v>1088</v>
      </c>
      <c r="B546" s="3">
        <v>3.3720799999999995</v>
      </c>
    </row>
    <row r="547" spans="1:2" x14ac:dyDescent="0.25">
      <c r="A547">
        <v>1090</v>
      </c>
      <c r="B547" s="3">
        <v>3.37174</v>
      </c>
    </row>
    <row r="548" spans="1:2" x14ac:dyDescent="0.25">
      <c r="A548">
        <v>1092</v>
      </c>
      <c r="B548" s="3">
        <v>3.3717200000000007</v>
      </c>
    </row>
    <row r="549" spans="1:2" x14ac:dyDescent="0.25">
      <c r="A549">
        <v>1094</v>
      </c>
      <c r="B549" s="3">
        <v>3.3714999999999997</v>
      </c>
    </row>
    <row r="550" spans="1:2" x14ac:dyDescent="0.25">
      <c r="A550">
        <v>1096</v>
      </c>
      <c r="B550" s="3">
        <v>3.3711600000000006</v>
      </c>
    </row>
    <row r="551" spans="1:2" x14ac:dyDescent="0.25">
      <c r="A551">
        <v>1098</v>
      </c>
      <c r="B551" s="3">
        <v>3.3710599999999999</v>
      </c>
    </row>
    <row r="552" spans="1:2" x14ac:dyDescent="0.25">
      <c r="A552">
        <v>1100</v>
      </c>
      <c r="B552" s="3">
        <v>3.3707799999999999</v>
      </c>
    </row>
    <row r="553" spans="1:2" x14ac:dyDescent="0.25">
      <c r="A553">
        <v>1102</v>
      </c>
      <c r="B553" s="3">
        <v>3.3707199999999999</v>
      </c>
    </row>
    <row r="554" spans="1:2" x14ac:dyDescent="0.25">
      <c r="A554">
        <v>1104</v>
      </c>
      <c r="B554" s="3">
        <v>3.3703600000000002</v>
      </c>
    </row>
    <row r="555" spans="1:2" x14ac:dyDescent="0.25">
      <c r="A555">
        <v>1106</v>
      </c>
      <c r="B555" s="3">
        <v>3.3702200000000007</v>
      </c>
    </row>
    <row r="556" spans="1:2" x14ac:dyDescent="0.25">
      <c r="A556">
        <v>1108</v>
      </c>
      <c r="B556" s="3">
        <v>3.3700999999999999</v>
      </c>
    </row>
    <row r="557" spans="1:2" x14ac:dyDescent="0.25">
      <c r="A557">
        <v>1110</v>
      </c>
      <c r="B557" s="3">
        <v>3.3698000000000001</v>
      </c>
    </row>
    <row r="558" spans="1:2" x14ac:dyDescent="0.25">
      <c r="A558">
        <v>1112</v>
      </c>
      <c r="B558" s="3">
        <v>3.3695599999999999</v>
      </c>
    </row>
    <row r="559" spans="1:2" x14ac:dyDescent="0.25">
      <c r="A559">
        <v>1114</v>
      </c>
      <c r="B559" s="3">
        <v>3.3696199999999998</v>
      </c>
    </row>
    <row r="560" spans="1:2" x14ac:dyDescent="0.25">
      <c r="A560">
        <v>1116</v>
      </c>
      <c r="B560" s="3">
        <v>3.36944</v>
      </c>
    </row>
    <row r="561" spans="1:2" x14ac:dyDescent="0.25">
      <c r="A561">
        <v>1118</v>
      </c>
      <c r="B561" s="3">
        <v>3.3691400000000002</v>
      </c>
    </row>
    <row r="562" spans="1:2" x14ac:dyDescent="0.25">
      <c r="A562">
        <v>1120</v>
      </c>
      <c r="B562" s="3">
        <v>3.3692000000000002</v>
      </c>
    </row>
    <row r="563" spans="1:2" x14ac:dyDescent="0.25">
      <c r="A563">
        <v>1122</v>
      </c>
      <c r="B563" s="3">
        <v>3.3691000000000004</v>
      </c>
    </row>
    <row r="564" spans="1:2" x14ac:dyDescent="0.25">
      <c r="A564">
        <v>1124</v>
      </c>
      <c r="B564" s="3">
        <v>3.3688799999999999</v>
      </c>
    </row>
    <row r="565" spans="1:2" x14ac:dyDescent="0.25">
      <c r="A565">
        <v>1126</v>
      </c>
      <c r="B565" s="3">
        <v>3.3688200000000004</v>
      </c>
    </row>
    <row r="566" spans="1:2" x14ac:dyDescent="0.25">
      <c r="A566">
        <v>1128</v>
      </c>
      <c r="B566" s="3">
        <v>3.3685400000000003</v>
      </c>
    </row>
    <row r="567" spans="1:2" x14ac:dyDescent="0.25">
      <c r="A567">
        <v>1130</v>
      </c>
      <c r="B567" s="3">
        <v>3.3683399999999999</v>
      </c>
    </row>
    <row r="568" spans="1:2" x14ac:dyDescent="0.25">
      <c r="A568">
        <v>1132</v>
      </c>
      <c r="B568" s="3">
        <v>3.3680999999999996</v>
      </c>
    </row>
    <row r="569" spans="1:2" x14ac:dyDescent="0.25">
      <c r="A569">
        <v>1134</v>
      </c>
      <c r="B569" s="3">
        <v>3.3679999999999999</v>
      </c>
    </row>
    <row r="570" spans="1:2" x14ac:dyDescent="0.25">
      <c r="A570">
        <v>1136</v>
      </c>
      <c r="B570" s="3">
        <v>3.3677799999999998</v>
      </c>
    </row>
    <row r="571" spans="1:2" x14ac:dyDescent="0.25">
      <c r="A571">
        <v>1138</v>
      </c>
      <c r="B571" s="3">
        <v>3.3678200000000005</v>
      </c>
    </row>
    <row r="572" spans="1:2" x14ac:dyDescent="0.25">
      <c r="A572">
        <v>1140</v>
      </c>
      <c r="B572" s="3">
        <v>3.36768</v>
      </c>
    </row>
    <row r="573" spans="1:2" x14ac:dyDescent="0.25">
      <c r="A573">
        <v>1142</v>
      </c>
      <c r="B573" s="3">
        <v>3.3675200000000003</v>
      </c>
    </row>
    <row r="574" spans="1:2" x14ac:dyDescent="0.25">
      <c r="A574">
        <v>1144</v>
      </c>
      <c r="B574" s="3">
        <v>3.3673200000000003</v>
      </c>
    </row>
    <row r="575" spans="1:2" x14ac:dyDescent="0.25">
      <c r="A575">
        <v>1146</v>
      </c>
      <c r="B575" s="3">
        <v>3.3671999999999995</v>
      </c>
    </row>
    <row r="576" spans="1:2" x14ac:dyDescent="0.25">
      <c r="A576">
        <v>1148</v>
      </c>
      <c r="B576" s="3">
        <v>3.3670999999999998</v>
      </c>
    </row>
    <row r="577" spans="1:2" x14ac:dyDescent="0.25">
      <c r="A577">
        <v>1150</v>
      </c>
      <c r="B577" s="3">
        <v>3.3668400000000007</v>
      </c>
    </row>
    <row r="578" spans="1:2" x14ac:dyDescent="0.25">
      <c r="A578">
        <v>1152</v>
      </c>
      <c r="B578" s="3">
        <v>3.3667600000000002</v>
      </c>
    </row>
    <row r="579" spans="1:2" x14ac:dyDescent="0.25">
      <c r="A579">
        <v>1154</v>
      </c>
      <c r="B579" s="3">
        <v>3.3667000000000002</v>
      </c>
    </row>
    <row r="580" spans="1:2" x14ac:dyDescent="0.25">
      <c r="A580">
        <v>1156</v>
      </c>
      <c r="B580" s="3">
        <v>3.3665599999999998</v>
      </c>
    </row>
    <row r="581" spans="1:2" x14ac:dyDescent="0.25">
      <c r="A581">
        <v>1158</v>
      </c>
      <c r="B581" s="3">
        <v>3.3664800000000001</v>
      </c>
    </row>
    <row r="582" spans="1:2" x14ac:dyDescent="0.25">
      <c r="A582">
        <v>1160</v>
      </c>
      <c r="B582" s="3">
        <v>3.3664000000000001</v>
      </c>
    </row>
    <row r="583" spans="1:2" x14ac:dyDescent="0.25">
      <c r="A583">
        <v>1162</v>
      </c>
      <c r="B583" s="3">
        <v>3.3662199999999998</v>
      </c>
    </row>
    <row r="584" spans="1:2" x14ac:dyDescent="0.25">
      <c r="A584">
        <v>1164</v>
      </c>
      <c r="B584" s="3">
        <v>3.36612</v>
      </c>
    </row>
    <row r="585" spans="1:2" x14ac:dyDescent="0.25">
      <c r="A585">
        <v>1166</v>
      </c>
      <c r="B585" s="3">
        <v>3.3658000000000001</v>
      </c>
    </row>
    <row r="586" spans="1:2" x14ac:dyDescent="0.25">
      <c r="A586">
        <v>1168</v>
      </c>
      <c r="B586" s="3">
        <v>3.3656400000000004</v>
      </c>
    </row>
    <row r="587" spans="1:2" x14ac:dyDescent="0.25">
      <c r="A587">
        <v>1170</v>
      </c>
      <c r="B587" s="3">
        <v>3.3654800000000002</v>
      </c>
    </row>
    <row r="588" spans="1:2" x14ac:dyDescent="0.25">
      <c r="A588">
        <v>1172</v>
      </c>
      <c r="B588" s="3">
        <v>3.3653</v>
      </c>
    </row>
    <row r="589" spans="1:2" x14ac:dyDescent="0.25">
      <c r="A589">
        <v>1174</v>
      </c>
      <c r="B589" s="3">
        <v>3.3651000000000004</v>
      </c>
    </row>
    <row r="590" spans="1:2" x14ac:dyDescent="0.25">
      <c r="A590">
        <v>1176</v>
      </c>
      <c r="B590" s="3">
        <v>3.3649800000000001</v>
      </c>
    </row>
    <row r="591" spans="1:2" x14ac:dyDescent="0.25">
      <c r="A591">
        <v>1178</v>
      </c>
      <c r="B591" s="3">
        <v>3.3648800000000003</v>
      </c>
    </row>
    <row r="592" spans="1:2" x14ac:dyDescent="0.25">
      <c r="A592">
        <v>1180</v>
      </c>
      <c r="B592" s="3">
        <v>3.3647999999999998</v>
      </c>
    </row>
    <row r="593" spans="1:2" x14ac:dyDescent="0.25">
      <c r="A593">
        <v>1182</v>
      </c>
      <c r="B593" s="3">
        <v>3.3645999999999994</v>
      </c>
    </row>
    <row r="594" spans="1:2" x14ac:dyDescent="0.25">
      <c r="A594">
        <v>1184</v>
      </c>
      <c r="B594" s="3">
        <v>3.3644800000000004</v>
      </c>
    </row>
    <row r="595" spans="1:2" x14ac:dyDescent="0.25">
      <c r="A595">
        <v>1186</v>
      </c>
      <c r="B595" s="3">
        <v>3.3644599999999998</v>
      </c>
    </row>
    <row r="596" spans="1:2" x14ac:dyDescent="0.25">
      <c r="A596">
        <v>1188</v>
      </c>
      <c r="B596" s="3">
        <v>3.3642000000000003</v>
      </c>
    </row>
    <row r="597" spans="1:2" x14ac:dyDescent="0.25">
      <c r="A597">
        <v>1190</v>
      </c>
      <c r="B597" s="3">
        <v>3.3639600000000001</v>
      </c>
    </row>
    <row r="598" spans="1:2" x14ac:dyDescent="0.25">
      <c r="A598">
        <v>1192</v>
      </c>
      <c r="B598" s="3">
        <v>3.3638599999999999</v>
      </c>
    </row>
    <row r="599" spans="1:2" x14ac:dyDescent="0.25">
      <c r="A599">
        <v>1194</v>
      </c>
      <c r="B599" s="3">
        <v>3.36368</v>
      </c>
    </row>
    <row r="600" spans="1:2" x14ac:dyDescent="0.25">
      <c r="A600">
        <v>1196</v>
      </c>
      <c r="B600" s="3">
        <v>3.3634399999999998</v>
      </c>
    </row>
    <row r="601" spans="1:2" x14ac:dyDescent="0.25">
      <c r="A601">
        <v>1198</v>
      </c>
      <c r="B601" s="3">
        <v>3.3633200000000003</v>
      </c>
    </row>
    <row r="602" spans="1:2" x14ac:dyDescent="0.25">
      <c r="A602">
        <v>1200</v>
      </c>
      <c r="B602" s="3">
        <v>3.3630400000000003</v>
      </c>
    </row>
    <row r="603" spans="1:2" x14ac:dyDescent="0.25">
      <c r="A603">
        <v>1202</v>
      </c>
      <c r="B603" s="3">
        <v>3.3627600000000002</v>
      </c>
    </row>
    <row r="604" spans="1:2" x14ac:dyDescent="0.25">
      <c r="A604">
        <v>1204</v>
      </c>
      <c r="B604" s="3">
        <v>3.3626400000000003</v>
      </c>
    </row>
    <row r="605" spans="1:2" x14ac:dyDescent="0.25">
      <c r="A605">
        <v>1206</v>
      </c>
      <c r="B605" s="3">
        <v>3.3624800000000001</v>
      </c>
    </row>
    <row r="606" spans="1:2" x14ac:dyDescent="0.25">
      <c r="A606">
        <v>1208</v>
      </c>
      <c r="B606" s="3">
        <v>3.3622399999999999</v>
      </c>
    </row>
    <row r="607" spans="1:2" x14ac:dyDescent="0.25">
      <c r="A607">
        <v>1210</v>
      </c>
      <c r="B607" s="3">
        <v>3.3622399999999999</v>
      </c>
    </row>
    <row r="608" spans="1:2" x14ac:dyDescent="0.25">
      <c r="A608">
        <v>1212</v>
      </c>
      <c r="B608" s="3">
        <v>3.3621000000000003</v>
      </c>
    </row>
    <row r="609" spans="1:2" x14ac:dyDescent="0.25">
      <c r="A609">
        <v>1214</v>
      </c>
      <c r="B609" s="3">
        <v>3.36164</v>
      </c>
    </row>
    <row r="610" spans="1:2" x14ac:dyDescent="0.25">
      <c r="A610">
        <v>1216</v>
      </c>
      <c r="B610" s="3">
        <v>3.3613800000000005</v>
      </c>
    </row>
    <row r="611" spans="1:2" x14ac:dyDescent="0.25">
      <c r="A611">
        <v>1218</v>
      </c>
      <c r="B611" s="3">
        <v>3.3612000000000002</v>
      </c>
    </row>
    <row r="612" spans="1:2" x14ac:dyDescent="0.25">
      <c r="A612">
        <v>1220</v>
      </c>
      <c r="B612" s="3">
        <v>3.3608400000000005</v>
      </c>
    </row>
    <row r="613" spans="1:2" x14ac:dyDescent="0.25">
      <c r="A613">
        <v>1222</v>
      </c>
      <c r="B613" s="3">
        <v>3.3607800000000005</v>
      </c>
    </row>
    <row r="614" spans="1:2" x14ac:dyDescent="0.25">
      <c r="A614">
        <v>1224</v>
      </c>
      <c r="B614" s="3">
        <v>3.3607999999999998</v>
      </c>
    </row>
    <row r="615" spans="1:2" x14ac:dyDescent="0.25">
      <c r="A615">
        <v>1226</v>
      </c>
      <c r="B615" s="3">
        <v>3.3607</v>
      </c>
    </row>
    <row r="616" spans="1:2" x14ac:dyDescent="0.25">
      <c r="A616">
        <v>1228</v>
      </c>
      <c r="B616" s="3">
        <v>3.3607399999999998</v>
      </c>
    </row>
    <row r="617" spans="1:2" x14ac:dyDescent="0.25">
      <c r="A617">
        <v>1230</v>
      </c>
      <c r="B617" s="3">
        <v>3.3604799999999999</v>
      </c>
    </row>
    <row r="618" spans="1:2" x14ac:dyDescent="0.25">
      <c r="A618">
        <v>1232</v>
      </c>
      <c r="B618" s="3">
        <v>3.3607500000000003</v>
      </c>
    </row>
    <row r="619" spans="1:2" x14ac:dyDescent="0.25">
      <c r="A619">
        <v>1234</v>
      </c>
      <c r="B619" s="3">
        <v>3.360525</v>
      </c>
    </row>
    <row r="620" spans="1:2" x14ac:dyDescent="0.25">
      <c r="A620">
        <v>1236</v>
      </c>
      <c r="B620" s="3">
        <v>3.35995</v>
      </c>
    </row>
    <row r="621" spans="1:2" x14ac:dyDescent="0.25">
      <c r="A621">
        <v>1238</v>
      </c>
      <c r="B621" s="3">
        <v>3.359575</v>
      </c>
    </row>
    <row r="622" spans="1:2" x14ac:dyDescent="0.25">
      <c r="A622">
        <v>1240</v>
      </c>
      <c r="B622" s="3">
        <v>3.3593500000000001</v>
      </c>
    </row>
    <row r="623" spans="1:2" x14ac:dyDescent="0.25">
      <c r="A623">
        <v>1242</v>
      </c>
      <c r="B623" s="3">
        <v>3.3592</v>
      </c>
    </row>
    <row r="624" spans="1:2" x14ac:dyDescent="0.25">
      <c r="A624">
        <v>1244</v>
      </c>
      <c r="B624" s="3">
        <v>3.3590999999999998</v>
      </c>
    </row>
    <row r="625" spans="1:2" x14ac:dyDescent="0.25">
      <c r="A625">
        <v>1246</v>
      </c>
      <c r="B625" s="3">
        <v>3.3590749999999998</v>
      </c>
    </row>
    <row r="626" spans="1:2" x14ac:dyDescent="0.25">
      <c r="A626">
        <v>1248</v>
      </c>
      <c r="B626" s="3">
        <v>3.3588749999999998</v>
      </c>
    </row>
    <row r="627" spans="1:2" x14ac:dyDescent="0.25">
      <c r="A627">
        <v>1250</v>
      </c>
      <c r="B627" s="3">
        <v>3.3588000000000005</v>
      </c>
    </row>
    <row r="628" spans="1:2" x14ac:dyDescent="0.25">
      <c r="A628">
        <v>1252</v>
      </c>
      <c r="B628" s="3">
        <v>3.3585750000000001</v>
      </c>
    </row>
    <row r="629" spans="1:2" x14ac:dyDescent="0.25">
      <c r="A629">
        <v>1254</v>
      </c>
      <c r="B629" s="3">
        <v>3.358425</v>
      </c>
    </row>
    <row r="630" spans="1:2" x14ac:dyDescent="0.25">
      <c r="A630">
        <v>1256</v>
      </c>
      <c r="B630" s="3">
        <v>3.3582999999999998</v>
      </c>
    </row>
    <row r="631" spans="1:2" x14ac:dyDescent="0.25">
      <c r="A631">
        <v>1258</v>
      </c>
      <c r="B631" s="3">
        <v>3.3583500000000002</v>
      </c>
    </row>
    <row r="632" spans="1:2" x14ac:dyDescent="0.25">
      <c r="A632">
        <v>1260</v>
      </c>
      <c r="B632" s="3">
        <v>3.3542666666666663</v>
      </c>
    </row>
    <row r="633" spans="1:2" x14ac:dyDescent="0.25">
      <c r="A633">
        <v>1262</v>
      </c>
      <c r="B633" s="3">
        <v>3.3541000000000003</v>
      </c>
    </row>
    <row r="634" spans="1:2" x14ac:dyDescent="0.25">
      <c r="A634">
        <v>1264</v>
      </c>
      <c r="B634" s="3">
        <v>3.3540333333333332</v>
      </c>
    </row>
    <row r="635" spans="1:2" x14ac:dyDescent="0.25">
      <c r="A635">
        <v>1266</v>
      </c>
      <c r="B635" s="3">
        <v>3.3536666666666668</v>
      </c>
    </row>
    <row r="636" spans="1:2" x14ac:dyDescent="0.25">
      <c r="A636">
        <v>1268</v>
      </c>
      <c r="B636" s="3">
        <v>3.3534666666666664</v>
      </c>
    </row>
    <row r="637" spans="1:2" x14ac:dyDescent="0.25">
      <c r="A637">
        <v>1270</v>
      </c>
      <c r="B637" s="3">
        <v>3.3534000000000002</v>
      </c>
    </row>
    <row r="638" spans="1:2" x14ac:dyDescent="0.25">
      <c r="A638">
        <v>1272</v>
      </c>
      <c r="B638" s="3">
        <v>3.3532666666666668</v>
      </c>
    </row>
    <row r="639" spans="1:2" x14ac:dyDescent="0.25">
      <c r="A639">
        <v>1274</v>
      </c>
      <c r="B639" s="3">
        <v>3.3529</v>
      </c>
    </row>
    <row r="640" spans="1:2" x14ac:dyDescent="0.25">
      <c r="A640">
        <v>1276</v>
      </c>
      <c r="B640" s="3">
        <v>3.3532333333333333</v>
      </c>
    </row>
    <row r="641" spans="1:2" x14ac:dyDescent="0.25">
      <c r="A641">
        <v>1278</v>
      </c>
      <c r="B641" s="3">
        <v>3.3524999999999996</v>
      </c>
    </row>
    <row r="642" spans="1:2" x14ac:dyDescent="0.25">
      <c r="A642">
        <v>1280</v>
      </c>
      <c r="B642" s="3">
        <v>3.3523666666666667</v>
      </c>
    </row>
    <row r="643" spans="1:2" x14ac:dyDescent="0.25">
      <c r="A643">
        <v>1282</v>
      </c>
      <c r="B643" s="3">
        <v>3.3519666666666663</v>
      </c>
    </row>
    <row r="644" spans="1:2" x14ac:dyDescent="0.25">
      <c r="A644">
        <v>1284</v>
      </c>
      <c r="B644" s="3">
        <v>3.3513000000000002</v>
      </c>
    </row>
    <row r="645" spans="1:2" x14ac:dyDescent="0.25">
      <c r="A645">
        <v>1286</v>
      </c>
      <c r="B645" s="3">
        <v>3.3509333333333338</v>
      </c>
    </row>
    <row r="646" spans="1:2" x14ac:dyDescent="0.25">
      <c r="A646">
        <v>1288</v>
      </c>
      <c r="B646" s="3">
        <v>3.3508999999999998</v>
      </c>
    </row>
    <row r="647" spans="1:2" x14ac:dyDescent="0.25">
      <c r="A647">
        <v>1290</v>
      </c>
      <c r="B647" s="3">
        <v>3.3504999999999998</v>
      </c>
    </row>
    <row r="648" spans="1:2" x14ac:dyDescent="0.25">
      <c r="A648">
        <v>1292</v>
      </c>
      <c r="B648" s="3">
        <v>3.3502666666666663</v>
      </c>
    </row>
    <row r="649" spans="1:2" x14ac:dyDescent="0.25">
      <c r="A649">
        <v>1294</v>
      </c>
      <c r="B649" s="3">
        <v>3.3500999999999999</v>
      </c>
    </row>
    <row r="650" spans="1:2" x14ac:dyDescent="0.25">
      <c r="A650">
        <v>1296</v>
      </c>
      <c r="B650" s="3">
        <v>3.35</v>
      </c>
    </row>
    <row r="651" spans="1:2" x14ac:dyDescent="0.25">
      <c r="A651">
        <v>1298</v>
      </c>
      <c r="B651" s="3">
        <v>3.349933333333333</v>
      </c>
    </row>
    <row r="652" spans="1:2" x14ac:dyDescent="0.25">
      <c r="A652">
        <v>1300</v>
      </c>
      <c r="B652" s="3">
        <v>3.3500333333333336</v>
      </c>
    </row>
    <row r="653" spans="1:2" x14ac:dyDescent="0.25">
      <c r="A653">
        <v>1302</v>
      </c>
      <c r="B653" s="3">
        <v>3.3500666666666667</v>
      </c>
    </row>
    <row r="654" spans="1:2" x14ac:dyDescent="0.25">
      <c r="A654">
        <v>1304</v>
      </c>
      <c r="B654" s="3">
        <v>3.3496666666666663</v>
      </c>
    </row>
    <row r="655" spans="1:2" x14ac:dyDescent="0.25">
      <c r="A655">
        <v>1306</v>
      </c>
      <c r="B655" s="3">
        <v>3.3494333333333337</v>
      </c>
    </row>
    <row r="656" spans="1:2" x14ac:dyDescent="0.25">
      <c r="A656">
        <v>1308</v>
      </c>
      <c r="B656" s="3">
        <v>3.3492333333333337</v>
      </c>
    </row>
    <row r="657" spans="1:2" x14ac:dyDescent="0.25">
      <c r="A657">
        <v>1310</v>
      </c>
      <c r="B657" s="3">
        <v>3.3493333333333335</v>
      </c>
    </row>
    <row r="658" spans="1:2" x14ac:dyDescent="0.25">
      <c r="A658">
        <v>1312</v>
      </c>
      <c r="B658" s="3">
        <v>3.3493999999999997</v>
      </c>
    </row>
    <row r="659" spans="1:2" x14ac:dyDescent="0.25">
      <c r="A659">
        <v>1314</v>
      </c>
      <c r="B659" s="3">
        <v>3.3491999999999997</v>
      </c>
    </row>
    <row r="660" spans="1:2" x14ac:dyDescent="0.25">
      <c r="A660">
        <v>1316</v>
      </c>
      <c r="B660" s="3">
        <v>3.3492666666666668</v>
      </c>
    </row>
    <row r="661" spans="1:2" x14ac:dyDescent="0.25">
      <c r="A661">
        <v>1318</v>
      </c>
      <c r="B661" s="3">
        <v>3.3495333333333335</v>
      </c>
    </row>
    <row r="662" spans="1:2" x14ac:dyDescent="0.25">
      <c r="A662">
        <v>1320</v>
      </c>
      <c r="B662" s="3">
        <v>3.3494000000000006</v>
      </c>
    </row>
    <row r="663" spans="1:2" x14ac:dyDescent="0.25">
      <c r="A663">
        <v>1322</v>
      </c>
      <c r="B663" s="3">
        <v>3.3496999999999999</v>
      </c>
    </row>
    <row r="664" spans="1:2" x14ac:dyDescent="0.25">
      <c r="A664">
        <v>1324</v>
      </c>
      <c r="B664" s="3">
        <v>3.3498666666666668</v>
      </c>
    </row>
    <row r="665" spans="1:2" x14ac:dyDescent="0.25">
      <c r="A665">
        <v>1326</v>
      </c>
      <c r="B665" s="3">
        <v>3.3497333333333335</v>
      </c>
    </row>
    <row r="666" spans="1:2" x14ac:dyDescent="0.25">
      <c r="A666">
        <v>1328</v>
      </c>
      <c r="B666" s="3">
        <v>3.3499333333333339</v>
      </c>
    </row>
    <row r="667" spans="1:2" x14ac:dyDescent="0.25">
      <c r="A667">
        <v>1330</v>
      </c>
      <c r="B667" s="3">
        <v>3.3496000000000001</v>
      </c>
    </row>
    <row r="668" spans="1:2" x14ac:dyDescent="0.25">
      <c r="A668">
        <v>1332</v>
      </c>
      <c r="B668" s="3">
        <v>3.3456000000000001</v>
      </c>
    </row>
    <row r="669" spans="1:2" x14ac:dyDescent="0.25">
      <c r="B669" s="3"/>
    </row>
    <row r="670" spans="1:2" x14ac:dyDescent="0.25">
      <c r="B670" s="3"/>
    </row>
    <row r="671" spans="1:2" x14ac:dyDescent="0.25">
      <c r="B671" s="3"/>
    </row>
    <row r="672" spans="1:2" x14ac:dyDescent="0.25">
      <c r="B672" s="3"/>
    </row>
    <row r="673" spans="2:2" x14ac:dyDescent="0.25">
      <c r="B673" s="3"/>
    </row>
    <row r="674" spans="2:2" x14ac:dyDescent="0.25">
      <c r="B674" s="3"/>
    </row>
    <row r="675" spans="2:2" x14ac:dyDescent="0.25">
      <c r="B675" s="3"/>
    </row>
    <row r="676" spans="2:2" x14ac:dyDescent="0.25">
      <c r="B676" s="3"/>
    </row>
    <row r="677" spans="2:2" x14ac:dyDescent="0.25">
      <c r="B677" s="3"/>
    </row>
    <row r="678" spans="2:2" x14ac:dyDescent="0.25">
      <c r="B678" s="3"/>
    </row>
    <row r="679" spans="2:2" x14ac:dyDescent="0.25">
      <c r="B679" s="3"/>
    </row>
    <row r="680" spans="2:2" x14ac:dyDescent="0.25">
      <c r="B680" s="3"/>
    </row>
    <row r="681" spans="2:2" x14ac:dyDescent="0.25">
      <c r="B681" s="3"/>
    </row>
    <row r="682" spans="2:2" x14ac:dyDescent="0.25">
      <c r="B682" s="3"/>
    </row>
    <row r="683" spans="2:2" x14ac:dyDescent="0.25">
      <c r="B683" s="3"/>
    </row>
    <row r="684" spans="2:2" x14ac:dyDescent="0.25">
      <c r="B684" s="3"/>
    </row>
    <row r="685" spans="2:2" x14ac:dyDescent="0.25">
      <c r="B685" s="3"/>
    </row>
    <row r="686" spans="2:2" x14ac:dyDescent="0.25">
      <c r="B686" s="3"/>
    </row>
    <row r="687" spans="2:2" x14ac:dyDescent="0.25">
      <c r="B687" s="3"/>
    </row>
    <row r="688" spans="2:2" x14ac:dyDescent="0.25">
      <c r="B688" s="3"/>
    </row>
    <row r="689" spans="2:2" x14ac:dyDescent="0.25">
      <c r="B689" s="3"/>
    </row>
    <row r="690" spans="2:2" x14ac:dyDescent="0.25">
      <c r="B690" s="3"/>
    </row>
    <row r="691" spans="2:2" x14ac:dyDescent="0.25">
      <c r="B691" s="3"/>
    </row>
    <row r="692" spans="2:2" x14ac:dyDescent="0.25">
      <c r="B692" s="3"/>
    </row>
    <row r="693" spans="2:2" x14ac:dyDescent="0.25">
      <c r="B693" s="3"/>
    </row>
    <row r="694" spans="2:2" x14ac:dyDescent="0.25">
      <c r="B694" s="3"/>
    </row>
    <row r="695" spans="2:2" x14ac:dyDescent="0.25">
      <c r="B695" s="3"/>
    </row>
    <row r="696" spans="2:2" x14ac:dyDescent="0.25">
      <c r="B696" s="3"/>
    </row>
    <row r="697" spans="2:2" x14ac:dyDescent="0.25">
      <c r="B697" s="3"/>
    </row>
    <row r="698" spans="2:2" x14ac:dyDescent="0.25">
      <c r="B698" s="3"/>
    </row>
    <row r="699" spans="2:2" x14ac:dyDescent="0.25">
      <c r="B699" s="3"/>
    </row>
    <row r="700" spans="2:2" x14ac:dyDescent="0.25">
      <c r="B700" s="3"/>
    </row>
    <row r="701" spans="2:2" x14ac:dyDescent="0.25">
      <c r="B701" s="3"/>
    </row>
    <row r="702" spans="2:2" x14ac:dyDescent="0.25">
      <c r="B702" s="3"/>
    </row>
    <row r="703" spans="2:2" x14ac:dyDescent="0.25">
      <c r="B703" s="3"/>
    </row>
    <row r="704" spans="2:2" x14ac:dyDescent="0.25">
      <c r="B704" s="3"/>
    </row>
    <row r="705" spans="2:2" x14ac:dyDescent="0.25">
      <c r="B705" s="3"/>
    </row>
    <row r="706" spans="2:2" x14ac:dyDescent="0.25">
      <c r="B706" s="3"/>
    </row>
    <row r="707" spans="2:2" x14ac:dyDescent="0.25">
      <c r="B707" s="3"/>
    </row>
    <row r="708" spans="2:2" x14ac:dyDescent="0.25">
      <c r="B708" s="3"/>
    </row>
    <row r="709" spans="2:2" x14ac:dyDescent="0.25">
      <c r="B709" s="3"/>
    </row>
    <row r="710" spans="2:2" x14ac:dyDescent="0.25">
      <c r="B710" s="3"/>
    </row>
    <row r="711" spans="2:2" x14ac:dyDescent="0.25">
      <c r="B711" s="3"/>
    </row>
    <row r="712" spans="2:2" x14ac:dyDescent="0.25">
      <c r="B712" s="3"/>
    </row>
    <row r="713" spans="2:2" x14ac:dyDescent="0.25">
      <c r="B713" s="3"/>
    </row>
    <row r="714" spans="2:2" x14ac:dyDescent="0.25">
      <c r="B714" s="3"/>
    </row>
    <row r="715" spans="2:2" x14ac:dyDescent="0.25">
      <c r="B715" s="3"/>
    </row>
    <row r="716" spans="2:2" x14ac:dyDescent="0.25">
      <c r="B716" s="3"/>
    </row>
    <row r="717" spans="2:2" x14ac:dyDescent="0.25">
      <c r="B717" s="3"/>
    </row>
    <row r="718" spans="2:2" x14ac:dyDescent="0.25">
      <c r="B718" s="3"/>
    </row>
    <row r="719" spans="2:2" x14ac:dyDescent="0.25">
      <c r="B719" s="3"/>
    </row>
    <row r="720" spans="2:2" x14ac:dyDescent="0.25">
      <c r="B720" s="3"/>
    </row>
    <row r="721" spans="2:2" x14ac:dyDescent="0.25">
      <c r="B721" s="3"/>
    </row>
    <row r="722" spans="2:2" x14ac:dyDescent="0.25">
      <c r="B722" s="3"/>
    </row>
    <row r="723" spans="2:2" x14ac:dyDescent="0.25">
      <c r="B723" s="3"/>
    </row>
    <row r="724" spans="2:2" x14ac:dyDescent="0.25">
      <c r="B724" s="3"/>
    </row>
    <row r="725" spans="2:2" x14ac:dyDescent="0.25">
      <c r="B725" s="3"/>
    </row>
    <row r="726" spans="2:2" x14ac:dyDescent="0.25">
      <c r="B726" s="3"/>
    </row>
    <row r="727" spans="2:2" x14ac:dyDescent="0.25">
      <c r="B727" s="3"/>
    </row>
    <row r="728" spans="2:2" x14ac:dyDescent="0.25">
      <c r="B728" s="3"/>
    </row>
    <row r="729" spans="2:2" x14ac:dyDescent="0.25">
      <c r="B729" s="3"/>
    </row>
    <row r="730" spans="2:2" x14ac:dyDescent="0.25">
      <c r="B730" s="3"/>
    </row>
    <row r="731" spans="2:2" x14ac:dyDescent="0.25">
      <c r="B731" s="3"/>
    </row>
    <row r="732" spans="2:2" x14ac:dyDescent="0.25">
      <c r="B732" s="3"/>
    </row>
    <row r="733" spans="2:2" x14ac:dyDescent="0.25">
      <c r="B733" s="3"/>
    </row>
    <row r="734" spans="2:2" x14ac:dyDescent="0.25">
      <c r="B734" s="3"/>
    </row>
    <row r="735" spans="2:2" x14ac:dyDescent="0.25">
      <c r="B735" s="3"/>
    </row>
    <row r="736" spans="2:2" x14ac:dyDescent="0.25">
      <c r="B736" s="3"/>
    </row>
    <row r="737" spans="2:2" x14ac:dyDescent="0.25">
      <c r="B737" s="3"/>
    </row>
    <row r="738" spans="2:2" x14ac:dyDescent="0.25">
      <c r="B738" s="3"/>
    </row>
    <row r="739" spans="2:2" x14ac:dyDescent="0.25">
      <c r="B739" s="3"/>
    </row>
    <row r="740" spans="2:2" x14ac:dyDescent="0.25">
      <c r="B740" s="3"/>
    </row>
    <row r="741" spans="2:2" x14ac:dyDescent="0.25">
      <c r="B741" s="3"/>
    </row>
    <row r="742" spans="2:2" x14ac:dyDescent="0.25">
      <c r="B742" s="3"/>
    </row>
    <row r="743" spans="2:2" x14ac:dyDescent="0.25">
      <c r="B743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B743"/>
  <sheetViews>
    <sheetView workbookViewId="0">
      <selection activeCell="C1" sqref="C1"/>
    </sheetView>
  </sheetViews>
  <sheetFormatPr defaultRowHeight="15" x14ac:dyDescent="0.25"/>
  <sheetData>
    <row r="1" spans="1:2" x14ac:dyDescent="0.25">
      <c r="B1" s="2">
        <v>45119</v>
      </c>
    </row>
    <row r="2" spans="1:2" x14ac:dyDescent="0.25">
      <c r="A2" t="s">
        <v>0</v>
      </c>
      <c r="B2" t="s">
        <v>1</v>
      </c>
    </row>
    <row r="3" spans="1:2" x14ac:dyDescent="0.25">
      <c r="A3">
        <v>2</v>
      </c>
      <c r="B3" s="3">
        <v>14.053116666666668</v>
      </c>
    </row>
    <row r="4" spans="1:2" x14ac:dyDescent="0.25">
      <c r="A4">
        <v>4</v>
      </c>
      <c r="B4" s="3">
        <v>12.397200000000003</v>
      </c>
    </row>
    <row r="5" spans="1:2" x14ac:dyDescent="0.25">
      <c r="A5">
        <v>6</v>
      </c>
      <c r="B5" s="3">
        <v>10.283116666666666</v>
      </c>
    </row>
    <row r="6" spans="1:2" x14ac:dyDescent="0.25">
      <c r="A6">
        <v>8</v>
      </c>
      <c r="B6" s="3">
        <v>8.097783333333334</v>
      </c>
    </row>
    <row r="7" spans="1:2" x14ac:dyDescent="0.25">
      <c r="A7">
        <v>10</v>
      </c>
      <c r="B7" s="3">
        <v>7.0283499999999997</v>
      </c>
    </row>
    <row r="8" spans="1:2" x14ac:dyDescent="0.25">
      <c r="A8">
        <v>12</v>
      </c>
      <c r="B8" s="3">
        <v>6.3907333333333334</v>
      </c>
    </row>
    <row r="9" spans="1:2" x14ac:dyDescent="0.25">
      <c r="A9">
        <v>14</v>
      </c>
      <c r="B9" s="3">
        <v>5.954533333333333</v>
      </c>
    </row>
    <row r="10" spans="1:2" x14ac:dyDescent="0.25">
      <c r="A10">
        <v>16</v>
      </c>
      <c r="B10" s="3">
        <v>5.5582166666666666</v>
      </c>
    </row>
    <row r="11" spans="1:2" x14ac:dyDescent="0.25">
      <c r="A11">
        <v>18</v>
      </c>
      <c r="B11" s="3">
        <v>5.3151833333333336</v>
      </c>
    </row>
    <row r="12" spans="1:2" x14ac:dyDescent="0.25">
      <c r="A12">
        <v>20</v>
      </c>
      <c r="B12" s="3">
        <v>5.1394166666666665</v>
      </c>
    </row>
    <row r="13" spans="1:2" x14ac:dyDescent="0.25">
      <c r="A13">
        <v>22</v>
      </c>
      <c r="B13" s="3">
        <v>5.0024499999999996</v>
      </c>
    </row>
    <row r="14" spans="1:2" x14ac:dyDescent="0.25">
      <c r="A14">
        <v>24</v>
      </c>
      <c r="B14" s="3">
        <v>4.8504000000000005</v>
      </c>
    </row>
    <row r="15" spans="1:2" x14ac:dyDescent="0.25">
      <c r="A15">
        <v>26</v>
      </c>
      <c r="B15" s="3">
        <v>4.6834999999999996</v>
      </c>
    </row>
    <row r="16" spans="1:2" x14ac:dyDescent="0.25">
      <c r="A16">
        <v>28</v>
      </c>
      <c r="B16" s="3">
        <v>4.5790499999999996</v>
      </c>
    </row>
    <row r="17" spans="1:2" x14ac:dyDescent="0.25">
      <c r="A17">
        <v>30</v>
      </c>
      <c r="B17" s="3">
        <v>4.5016000000000007</v>
      </c>
    </row>
    <row r="18" spans="1:2" x14ac:dyDescent="0.25">
      <c r="A18">
        <v>32</v>
      </c>
      <c r="B18" s="3">
        <v>4.42875</v>
      </c>
    </row>
    <row r="19" spans="1:2" x14ac:dyDescent="0.25">
      <c r="A19">
        <v>34</v>
      </c>
      <c r="B19" s="3">
        <v>4.3810666666666673</v>
      </c>
    </row>
    <row r="20" spans="1:2" x14ac:dyDescent="0.25">
      <c r="A20">
        <v>36</v>
      </c>
      <c r="B20" s="3">
        <v>4.3382166666666668</v>
      </c>
    </row>
    <row r="21" spans="1:2" x14ac:dyDescent="0.25">
      <c r="A21">
        <v>38</v>
      </c>
      <c r="B21" s="3">
        <v>4.2874333333333334</v>
      </c>
    </row>
    <row r="22" spans="1:2" x14ac:dyDescent="0.25">
      <c r="A22">
        <v>40</v>
      </c>
      <c r="B22" s="3">
        <v>4.2248000000000001</v>
      </c>
    </row>
    <row r="23" spans="1:2" x14ac:dyDescent="0.25">
      <c r="A23">
        <v>42</v>
      </c>
      <c r="B23" s="3">
        <v>4.1770333333333332</v>
      </c>
    </row>
    <row r="24" spans="1:2" x14ac:dyDescent="0.25">
      <c r="A24">
        <v>44</v>
      </c>
      <c r="B24" s="3">
        <v>4.1594833333333332</v>
      </c>
    </row>
    <row r="25" spans="1:2" x14ac:dyDescent="0.25">
      <c r="A25">
        <v>46</v>
      </c>
      <c r="B25" s="3">
        <v>4.1471666666666662</v>
      </c>
    </row>
    <row r="26" spans="1:2" x14ac:dyDescent="0.25">
      <c r="A26">
        <v>48</v>
      </c>
      <c r="B26" s="3">
        <v>4.1287000000000003</v>
      </c>
    </row>
    <row r="27" spans="1:2" x14ac:dyDescent="0.25">
      <c r="A27">
        <v>50</v>
      </c>
      <c r="B27" s="3">
        <v>4.1123666666666665</v>
      </c>
    </row>
    <row r="28" spans="1:2" x14ac:dyDescent="0.25">
      <c r="A28">
        <v>52</v>
      </c>
      <c r="B28" s="3">
        <v>4.0963000000000003</v>
      </c>
    </row>
    <row r="29" spans="1:2" x14ac:dyDescent="0.25">
      <c r="A29">
        <v>54</v>
      </c>
      <c r="B29" s="3">
        <v>4.0721166666666662</v>
      </c>
    </row>
    <row r="30" spans="1:2" x14ac:dyDescent="0.25">
      <c r="A30">
        <v>56</v>
      </c>
      <c r="B30" s="3">
        <v>4.0553166666666671</v>
      </c>
    </row>
    <row r="31" spans="1:2" x14ac:dyDescent="0.25">
      <c r="A31">
        <v>58</v>
      </c>
      <c r="B31" s="3">
        <v>4.0453166666666673</v>
      </c>
    </row>
    <row r="32" spans="1:2" x14ac:dyDescent="0.25">
      <c r="A32">
        <v>60</v>
      </c>
      <c r="B32" s="3">
        <v>4.0288166666666667</v>
      </c>
    </row>
    <row r="33" spans="1:2" x14ac:dyDescent="0.25">
      <c r="A33">
        <v>62</v>
      </c>
      <c r="B33" s="3">
        <v>4.0101000000000004</v>
      </c>
    </row>
    <row r="34" spans="1:2" x14ac:dyDescent="0.25">
      <c r="A34">
        <v>64</v>
      </c>
      <c r="B34" s="3">
        <v>3.9939333333333331</v>
      </c>
    </row>
    <row r="35" spans="1:2" x14ac:dyDescent="0.25">
      <c r="A35">
        <v>66</v>
      </c>
      <c r="B35" s="3">
        <v>3.9806333333333335</v>
      </c>
    </row>
    <row r="36" spans="1:2" x14ac:dyDescent="0.25">
      <c r="A36">
        <v>68</v>
      </c>
      <c r="B36" s="3">
        <v>3.9613666666666667</v>
      </c>
    </row>
    <row r="37" spans="1:2" x14ac:dyDescent="0.25">
      <c r="A37">
        <v>70</v>
      </c>
      <c r="B37" s="3">
        <v>3.944316666666666</v>
      </c>
    </row>
    <row r="38" spans="1:2" x14ac:dyDescent="0.25">
      <c r="A38">
        <v>72</v>
      </c>
      <c r="B38" s="3">
        <v>3.9353000000000002</v>
      </c>
    </row>
    <row r="39" spans="1:2" x14ac:dyDescent="0.25">
      <c r="A39">
        <v>74</v>
      </c>
      <c r="B39" s="3">
        <v>3.931316666666667</v>
      </c>
    </row>
    <row r="40" spans="1:2" x14ac:dyDescent="0.25">
      <c r="A40">
        <v>76</v>
      </c>
      <c r="B40" s="3">
        <v>3.9284833333333329</v>
      </c>
    </row>
    <row r="41" spans="1:2" x14ac:dyDescent="0.25">
      <c r="A41">
        <v>78</v>
      </c>
      <c r="B41" s="3">
        <v>3.9243500000000004</v>
      </c>
    </row>
    <row r="42" spans="1:2" x14ac:dyDescent="0.25">
      <c r="A42">
        <v>80</v>
      </c>
      <c r="B42" s="3">
        <v>3.9214999999999995</v>
      </c>
    </row>
    <row r="43" spans="1:2" x14ac:dyDescent="0.25">
      <c r="A43">
        <v>82</v>
      </c>
      <c r="B43" s="3">
        <v>3.9181166666666667</v>
      </c>
    </row>
    <row r="44" spans="1:2" x14ac:dyDescent="0.25">
      <c r="A44">
        <v>84</v>
      </c>
      <c r="B44" s="3">
        <v>3.9129000000000005</v>
      </c>
    </row>
    <row r="45" spans="1:2" x14ac:dyDescent="0.25">
      <c r="A45">
        <v>86</v>
      </c>
      <c r="B45" s="3">
        <v>3.9060833333333331</v>
      </c>
    </row>
    <row r="46" spans="1:2" x14ac:dyDescent="0.25">
      <c r="A46">
        <v>88</v>
      </c>
      <c r="B46" s="3">
        <v>3.8993333333333333</v>
      </c>
    </row>
    <row r="47" spans="1:2" x14ac:dyDescent="0.25">
      <c r="A47">
        <v>90</v>
      </c>
      <c r="B47" s="3">
        <v>3.8918499999999998</v>
      </c>
    </row>
    <row r="48" spans="1:2" x14ac:dyDescent="0.25">
      <c r="A48">
        <v>92</v>
      </c>
      <c r="B48" s="3">
        <v>3.8806833333333333</v>
      </c>
    </row>
    <row r="49" spans="1:2" x14ac:dyDescent="0.25">
      <c r="A49">
        <v>94</v>
      </c>
      <c r="B49" s="3">
        <v>3.872266666666667</v>
      </c>
    </row>
    <row r="50" spans="1:2" x14ac:dyDescent="0.25">
      <c r="A50">
        <v>96</v>
      </c>
      <c r="B50" s="3">
        <v>3.866683333333333</v>
      </c>
    </row>
    <row r="51" spans="1:2" x14ac:dyDescent="0.25">
      <c r="A51">
        <v>98</v>
      </c>
      <c r="B51" s="3">
        <v>3.8650333333333329</v>
      </c>
    </row>
    <row r="52" spans="1:2" x14ac:dyDescent="0.25">
      <c r="A52">
        <v>100</v>
      </c>
      <c r="B52" s="3">
        <v>3.8593333333333333</v>
      </c>
    </row>
    <row r="53" spans="1:2" x14ac:dyDescent="0.25">
      <c r="A53">
        <v>102</v>
      </c>
      <c r="B53" s="3">
        <v>3.8522500000000002</v>
      </c>
    </row>
    <row r="54" spans="1:2" x14ac:dyDescent="0.25">
      <c r="A54">
        <v>104</v>
      </c>
      <c r="B54" s="3">
        <v>3.8466</v>
      </c>
    </row>
    <row r="55" spans="1:2" x14ac:dyDescent="0.25">
      <c r="A55">
        <v>106</v>
      </c>
      <c r="B55" s="3">
        <v>3.8429833333333328</v>
      </c>
    </row>
    <row r="56" spans="1:2" x14ac:dyDescent="0.25">
      <c r="A56">
        <v>108</v>
      </c>
      <c r="B56" s="3">
        <v>3.8400500000000002</v>
      </c>
    </row>
    <row r="57" spans="1:2" x14ac:dyDescent="0.25">
      <c r="A57">
        <v>110</v>
      </c>
      <c r="B57" s="3">
        <v>3.8388333333333331</v>
      </c>
    </row>
    <row r="58" spans="1:2" x14ac:dyDescent="0.25">
      <c r="A58">
        <v>112</v>
      </c>
      <c r="B58" s="3">
        <v>3.8356166666666671</v>
      </c>
    </row>
    <row r="59" spans="1:2" x14ac:dyDescent="0.25">
      <c r="A59">
        <v>114</v>
      </c>
      <c r="B59" s="3">
        <v>3.828583333333333</v>
      </c>
    </row>
    <row r="60" spans="1:2" x14ac:dyDescent="0.25">
      <c r="A60">
        <v>116</v>
      </c>
      <c r="B60" s="3">
        <v>3.8237833333333335</v>
      </c>
    </row>
    <row r="61" spans="1:2" x14ac:dyDescent="0.25">
      <c r="A61">
        <v>118</v>
      </c>
      <c r="B61" s="3">
        <v>3.8184666666666662</v>
      </c>
    </row>
    <row r="62" spans="1:2" x14ac:dyDescent="0.25">
      <c r="A62">
        <v>120</v>
      </c>
      <c r="B62" s="3">
        <v>3.8119166666666668</v>
      </c>
    </row>
    <row r="63" spans="1:2" x14ac:dyDescent="0.25">
      <c r="A63">
        <v>122</v>
      </c>
      <c r="B63" s="3">
        <v>3.807916666666666</v>
      </c>
    </row>
    <row r="64" spans="1:2" x14ac:dyDescent="0.25">
      <c r="A64">
        <v>124</v>
      </c>
      <c r="B64" s="3">
        <v>3.8042166666666666</v>
      </c>
    </row>
    <row r="65" spans="1:2" x14ac:dyDescent="0.25">
      <c r="A65">
        <v>126</v>
      </c>
      <c r="B65" s="3">
        <v>3.7989666666666668</v>
      </c>
    </row>
    <row r="66" spans="1:2" x14ac:dyDescent="0.25">
      <c r="A66">
        <v>128</v>
      </c>
      <c r="B66" s="3">
        <v>3.7963</v>
      </c>
    </row>
    <row r="67" spans="1:2" x14ac:dyDescent="0.25">
      <c r="A67">
        <v>130</v>
      </c>
      <c r="B67" s="3">
        <v>3.7933500000000002</v>
      </c>
    </row>
    <row r="68" spans="1:2" x14ac:dyDescent="0.25">
      <c r="A68">
        <v>132</v>
      </c>
      <c r="B68" s="3">
        <v>3.791066666666667</v>
      </c>
    </row>
    <row r="69" spans="1:2" x14ac:dyDescent="0.25">
      <c r="A69">
        <v>134</v>
      </c>
      <c r="B69" s="3">
        <v>3.7897499999999997</v>
      </c>
    </row>
    <row r="70" spans="1:2" x14ac:dyDescent="0.25">
      <c r="A70">
        <v>136</v>
      </c>
      <c r="B70" s="3">
        <v>3.7846666666666668</v>
      </c>
    </row>
    <row r="71" spans="1:2" x14ac:dyDescent="0.25">
      <c r="A71">
        <v>138</v>
      </c>
      <c r="B71" s="3">
        <v>3.7791999999999999</v>
      </c>
    </row>
    <row r="72" spans="1:2" x14ac:dyDescent="0.25">
      <c r="A72">
        <v>140</v>
      </c>
      <c r="B72" s="3">
        <v>3.7748833333333334</v>
      </c>
    </row>
    <row r="73" spans="1:2" x14ac:dyDescent="0.25">
      <c r="A73">
        <v>142</v>
      </c>
      <c r="B73" s="3">
        <v>3.7724666666666664</v>
      </c>
    </row>
    <row r="74" spans="1:2" x14ac:dyDescent="0.25">
      <c r="A74">
        <v>144</v>
      </c>
      <c r="B74" s="3">
        <v>3.7700499999999999</v>
      </c>
    </row>
    <row r="75" spans="1:2" x14ac:dyDescent="0.25">
      <c r="A75">
        <v>146</v>
      </c>
      <c r="B75" s="3">
        <v>3.7653999999999996</v>
      </c>
    </row>
    <row r="76" spans="1:2" x14ac:dyDescent="0.25">
      <c r="A76">
        <v>148</v>
      </c>
      <c r="B76" s="3">
        <v>3.7589000000000001</v>
      </c>
    </row>
    <row r="77" spans="1:2" x14ac:dyDescent="0.25">
      <c r="A77">
        <v>150</v>
      </c>
      <c r="B77" s="3">
        <v>3.7526499999999996</v>
      </c>
    </row>
    <row r="78" spans="1:2" x14ac:dyDescent="0.25">
      <c r="A78">
        <v>152</v>
      </c>
      <c r="B78" s="3">
        <v>3.7457666666666665</v>
      </c>
    </row>
    <row r="79" spans="1:2" x14ac:dyDescent="0.25">
      <c r="A79">
        <v>154</v>
      </c>
      <c r="B79" s="3">
        <v>3.7364000000000002</v>
      </c>
    </row>
    <row r="80" spans="1:2" x14ac:dyDescent="0.25">
      <c r="A80">
        <v>156</v>
      </c>
      <c r="B80" s="3">
        <v>3.729483333333333</v>
      </c>
    </row>
    <row r="81" spans="1:2" x14ac:dyDescent="0.25">
      <c r="A81">
        <v>158</v>
      </c>
      <c r="B81" s="3">
        <v>3.7252333333333336</v>
      </c>
    </row>
    <row r="82" spans="1:2" x14ac:dyDescent="0.25">
      <c r="A82">
        <v>160</v>
      </c>
      <c r="B82" s="3">
        <v>3.7191833333333335</v>
      </c>
    </row>
    <row r="83" spans="1:2" x14ac:dyDescent="0.25">
      <c r="A83">
        <v>162</v>
      </c>
      <c r="B83" s="3">
        <v>3.7145499999999996</v>
      </c>
    </row>
    <row r="84" spans="1:2" x14ac:dyDescent="0.25">
      <c r="A84">
        <v>164</v>
      </c>
      <c r="B84" s="3">
        <v>3.7128833333333335</v>
      </c>
    </row>
    <row r="85" spans="1:2" x14ac:dyDescent="0.25">
      <c r="A85">
        <v>166</v>
      </c>
      <c r="B85" s="3">
        <v>3.7134999999999998</v>
      </c>
    </row>
    <row r="86" spans="1:2" x14ac:dyDescent="0.25">
      <c r="A86">
        <v>168</v>
      </c>
      <c r="B86" s="3">
        <v>3.7103666666666673</v>
      </c>
    </row>
    <row r="87" spans="1:2" x14ac:dyDescent="0.25">
      <c r="A87">
        <v>170</v>
      </c>
      <c r="B87" s="3">
        <v>3.7088833333333331</v>
      </c>
    </row>
    <row r="88" spans="1:2" x14ac:dyDescent="0.25">
      <c r="A88">
        <v>172</v>
      </c>
      <c r="B88" s="3">
        <v>3.7072333333333329</v>
      </c>
    </row>
    <row r="89" spans="1:2" x14ac:dyDescent="0.25">
      <c r="A89">
        <v>174</v>
      </c>
      <c r="B89" s="3">
        <v>3.704933333333333</v>
      </c>
    </row>
    <row r="90" spans="1:2" x14ac:dyDescent="0.25">
      <c r="A90">
        <v>176</v>
      </c>
      <c r="B90" s="3">
        <v>3.7011166666666671</v>
      </c>
    </row>
    <row r="91" spans="1:2" x14ac:dyDescent="0.25">
      <c r="A91">
        <v>178</v>
      </c>
      <c r="B91" s="3">
        <v>3.6964833333333331</v>
      </c>
    </row>
    <row r="92" spans="1:2" x14ac:dyDescent="0.25">
      <c r="A92">
        <v>180</v>
      </c>
      <c r="B92" s="3">
        <v>3.6906999999999996</v>
      </c>
    </row>
    <row r="93" spans="1:2" x14ac:dyDescent="0.25">
      <c r="A93">
        <v>182</v>
      </c>
      <c r="B93" s="3">
        <v>3.6883333333333339</v>
      </c>
    </row>
    <row r="94" spans="1:2" x14ac:dyDescent="0.25">
      <c r="A94">
        <v>184</v>
      </c>
      <c r="B94" s="3">
        <v>3.6859666666666668</v>
      </c>
    </row>
    <row r="95" spans="1:2" x14ac:dyDescent="0.25">
      <c r="A95">
        <v>186</v>
      </c>
      <c r="B95" s="3">
        <v>3.6816166666666668</v>
      </c>
    </row>
    <row r="96" spans="1:2" x14ac:dyDescent="0.25">
      <c r="A96">
        <v>188</v>
      </c>
      <c r="B96" s="3">
        <v>3.6767666666666661</v>
      </c>
    </row>
    <row r="97" spans="1:2" x14ac:dyDescent="0.25">
      <c r="A97">
        <v>190</v>
      </c>
      <c r="B97" s="3">
        <v>3.6723999999999997</v>
      </c>
    </row>
    <row r="98" spans="1:2" x14ac:dyDescent="0.25">
      <c r="A98">
        <v>192</v>
      </c>
      <c r="B98" s="3">
        <v>3.6671833333333335</v>
      </c>
    </row>
    <row r="99" spans="1:2" x14ac:dyDescent="0.25">
      <c r="A99">
        <v>194</v>
      </c>
      <c r="B99" s="3">
        <v>3.6623666666666668</v>
      </c>
    </row>
    <row r="100" spans="1:2" x14ac:dyDescent="0.25">
      <c r="A100">
        <v>196</v>
      </c>
      <c r="B100" s="3">
        <v>3.6593666666666667</v>
      </c>
    </row>
    <row r="101" spans="1:2" x14ac:dyDescent="0.25">
      <c r="A101">
        <v>198</v>
      </c>
      <c r="B101" s="3">
        <v>3.6553833333333334</v>
      </c>
    </row>
    <row r="102" spans="1:2" x14ac:dyDescent="0.25">
      <c r="A102">
        <v>200</v>
      </c>
      <c r="B102" s="3">
        <v>3.6491666666666664</v>
      </c>
    </row>
    <row r="103" spans="1:2" x14ac:dyDescent="0.25">
      <c r="A103">
        <v>202</v>
      </c>
      <c r="B103" s="3">
        <v>3.6444166666666669</v>
      </c>
    </row>
    <row r="104" spans="1:2" x14ac:dyDescent="0.25">
      <c r="A104">
        <v>204</v>
      </c>
      <c r="B104" s="3">
        <v>3.6380499999999998</v>
      </c>
    </row>
    <row r="105" spans="1:2" x14ac:dyDescent="0.25">
      <c r="A105">
        <v>206</v>
      </c>
      <c r="B105" s="3">
        <v>3.6307666666666667</v>
      </c>
    </row>
    <row r="106" spans="1:2" x14ac:dyDescent="0.25">
      <c r="A106">
        <v>208</v>
      </c>
      <c r="B106" s="3">
        <v>3.6270833333333332</v>
      </c>
    </row>
    <row r="107" spans="1:2" x14ac:dyDescent="0.25">
      <c r="A107">
        <v>210</v>
      </c>
      <c r="B107" s="3">
        <v>3.6206833333333335</v>
      </c>
    </row>
    <row r="108" spans="1:2" x14ac:dyDescent="0.25">
      <c r="A108">
        <v>212</v>
      </c>
      <c r="B108" s="3">
        <v>3.6161333333333334</v>
      </c>
    </row>
    <row r="109" spans="1:2" x14ac:dyDescent="0.25">
      <c r="A109">
        <v>214</v>
      </c>
      <c r="B109" s="3">
        <v>3.6121333333333339</v>
      </c>
    </row>
    <row r="110" spans="1:2" x14ac:dyDescent="0.25">
      <c r="A110">
        <v>216</v>
      </c>
      <c r="B110" s="3">
        <v>3.6093833333333336</v>
      </c>
    </row>
    <row r="111" spans="1:2" x14ac:dyDescent="0.25">
      <c r="A111">
        <v>218</v>
      </c>
      <c r="B111" s="3">
        <v>3.6070666666666669</v>
      </c>
    </row>
    <row r="112" spans="1:2" x14ac:dyDescent="0.25">
      <c r="A112">
        <v>220</v>
      </c>
      <c r="B112" s="3">
        <v>3.6057000000000001</v>
      </c>
    </row>
    <row r="113" spans="1:2" x14ac:dyDescent="0.25">
      <c r="A113">
        <v>222</v>
      </c>
      <c r="B113" s="3">
        <v>3.6040499999999995</v>
      </c>
    </row>
    <row r="114" spans="1:2" x14ac:dyDescent="0.25">
      <c r="A114">
        <v>224</v>
      </c>
      <c r="B114" s="3">
        <v>3.6031333333333335</v>
      </c>
    </row>
    <row r="115" spans="1:2" x14ac:dyDescent="0.25">
      <c r="A115">
        <v>226</v>
      </c>
      <c r="B115" s="3">
        <v>3.6021833333333331</v>
      </c>
    </row>
    <row r="116" spans="1:2" x14ac:dyDescent="0.25">
      <c r="A116">
        <v>228</v>
      </c>
      <c r="B116" s="3">
        <v>3.6009333333333338</v>
      </c>
    </row>
    <row r="117" spans="1:2" x14ac:dyDescent="0.25">
      <c r="A117">
        <v>230</v>
      </c>
      <c r="B117" s="3">
        <v>3.5991999999999997</v>
      </c>
    </row>
    <row r="118" spans="1:2" x14ac:dyDescent="0.25">
      <c r="A118">
        <v>232</v>
      </c>
      <c r="B118" s="3">
        <v>3.5973166666666665</v>
      </c>
    </row>
    <row r="119" spans="1:2" x14ac:dyDescent="0.25">
      <c r="A119">
        <v>234</v>
      </c>
      <c r="B119" s="3">
        <v>3.5946999999999996</v>
      </c>
    </row>
    <row r="120" spans="1:2" x14ac:dyDescent="0.25">
      <c r="A120">
        <v>236</v>
      </c>
      <c r="B120" s="3">
        <v>3.5899666666666668</v>
      </c>
    </row>
    <row r="121" spans="1:2" x14ac:dyDescent="0.25">
      <c r="A121">
        <v>238</v>
      </c>
      <c r="B121" s="3">
        <v>3.587966666666667</v>
      </c>
    </row>
    <row r="122" spans="1:2" x14ac:dyDescent="0.25">
      <c r="A122">
        <v>240</v>
      </c>
      <c r="B122" s="3">
        <v>3.5863499999999999</v>
      </c>
    </row>
    <row r="123" spans="1:2" x14ac:dyDescent="0.25">
      <c r="A123">
        <v>242</v>
      </c>
      <c r="B123" s="3">
        <v>3.5845333333333329</v>
      </c>
    </row>
    <row r="124" spans="1:2" x14ac:dyDescent="0.25">
      <c r="A124">
        <v>244</v>
      </c>
      <c r="B124" s="3">
        <v>3.583966666666667</v>
      </c>
    </row>
    <row r="125" spans="1:2" x14ac:dyDescent="0.25">
      <c r="A125">
        <v>246</v>
      </c>
      <c r="B125" s="3">
        <v>3.5832833333333336</v>
      </c>
    </row>
    <row r="126" spans="1:2" x14ac:dyDescent="0.25">
      <c r="A126">
        <v>248</v>
      </c>
      <c r="B126" s="3">
        <v>3.5827166666666663</v>
      </c>
    </row>
    <row r="127" spans="1:2" x14ac:dyDescent="0.25">
      <c r="A127">
        <v>250</v>
      </c>
      <c r="B127" s="3">
        <v>3.5826666666666669</v>
      </c>
    </row>
    <row r="128" spans="1:2" x14ac:dyDescent="0.25">
      <c r="A128">
        <v>252</v>
      </c>
      <c r="B128" s="3">
        <v>3.5826999999999996</v>
      </c>
    </row>
    <row r="129" spans="1:2" x14ac:dyDescent="0.25">
      <c r="A129">
        <v>254</v>
      </c>
      <c r="B129" s="3">
        <v>3.5832833333333327</v>
      </c>
    </row>
    <row r="130" spans="1:2" x14ac:dyDescent="0.25">
      <c r="A130">
        <v>256</v>
      </c>
      <c r="B130" s="3">
        <v>3.5831333333333331</v>
      </c>
    </row>
    <row r="131" spans="1:2" x14ac:dyDescent="0.25">
      <c r="A131">
        <v>258</v>
      </c>
      <c r="B131" s="3">
        <v>3.5825333333333327</v>
      </c>
    </row>
    <row r="132" spans="1:2" x14ac:dyDescent="0.25">
      <c r="A132">
        <v>260</v>
      </c>
      <c r="B132" s="3">
        <v>3.5819500000000004</v>
      </c>
    </row>
    <row r="133" spans="1:2" x14ac:dyDescent="0.25">
      <c r="A133">
        <v>262</v>
      </c>
      <c r="B133" s="3">
        <v>3.5819833333333331</v>
      </c>
    </row>
    <row r="134" spans="1:2" x14ac:dyDescent="0.25">
      <c r="A134">
        <v>264</v>
      </c>
      <c r="B134" s="3">
        <v>3.5810833333333334</v>
      </c>
    </row>
    <row r="135" spans="1:2" x14ac:dyDescent="0.25">
      <c r="A135">
        <v>266</v>
      </c>
      <c r="B135" s="3">
        <v>3.5804333333333336</v>
      </c>
    </row>
    <row r="136" spans="1:2" x14ac:dyDescent="0.25">
      <c r="A136">
        <v>268</v>
      </c>
      <c r="B136" s="3">
        <v>3.57945</v>
      </c>
    </row>
    <row r="137" spans="1:2" x14ac:dyDescent="0.25">
      <c r="A137">
        <v>270</v>
      </c>
      <c r="B137" s="3">
        <v>3.5790500000000001</v>
      </c>
    </row>
    <row r="138" spans="1:2" x14ac:dyDescent="0.25">
      <c r="A138">
        <v>272</v>
      </c>
      <c r="B138" s="3">
        <v>3.5781166666666664</v>
      </c>
    </row>
    <row r="139" spans="1:2" x14ac:dyDescent="0.25">
      <c r="A139">
        <v>274</v>
      </c>
      <c r="B139" s="3">
        <v>3.5777666666666668</v>
      </c>
    </row>
    <row r="140" spans="1:2" x14ac:dyDescent="0.25">
      <c r="A140">
        <v>276</v>
      </c>
      <c r="B140" s="3">
        <v>3.5761500000000002</v>
      </c>
    </row>
    <row r="141" spans="1:2" x14ac:dyDescent="0.25">
      <c r="A141">
        <v>278</v>
      </c>
      <c r="B141" s="3">
        <v>3.5752166666666665</v>
      </c>
    </row>
    <row r="142" spans="1:2" x14ac:dyDescent="0.25">
      <c r="A142">
        <v>280</v>
      </c>
      <c r="B142" s="3">
        <v>3.5724166666666668</v>
      </c>
    </row>
    <row r="143" spans="1:2" x14ac:dyDescent="0.25">
      <c r="A143">
        <v>282</v>
      </c>
      <c r="B143" s="3">
        <v>3.5702499999999997</v>
      </c>
    </row>
    <row r="144" spans="1:2" x14ac:dyDescent="0.25">
      <c r="A144">
        <v>284</v>
      </c>
      <c r="B144" s="3">
        <v>3.5685333333333333</v>
      </c>
    </row>
    <row r="145" spans="1:2" x14ac:dyDescent="0.25">
      <c r="A145">
        <v>286</v>
      </c>
      <c r="B145" s="3">
        <v>3.567966666666667</v>
      </c>
    </row>
    <row r="146" spans="1:2" x14ac:dyDescent="0.25">
      <c r="A146">
        <v>288</v>
      </c>
      <c r="B146" s="3">
        <v>3.5676999999999999</v>
      </c>
    </row>
    <row r="147" spans="1:2" x14ac:dyDescent="0.25">
      <c r="A147">
        <v>290</v>
      </c>
      <c r="B147" s="3">
        <v>3.5665</v>
      </c>
    </row>
    <row r="148" spans="1:2" x14ac:dyDescent="0.25">
      <c r="A148">
        <v>292</v>
      </c>
      <c r="B148" s="3">
        <v>3.5654166666666662</v>
      </c>
    </row>
    <row r="149" spans="1:2" x14ac:dyDescent="0.25">
      <c r="A149">
        <v>294</v>
      </c>
      <c r="B149" s="3">
        <v>3.5648</v>
      </c>
    </row>
    <row r="150" spans="1:2" x14ac:dyDescent="0.25">
      <c r="A150">
        <v>296</v>
      </c>
      <c r="B150" s="3">
        <v>3.5631833333333334</v>
      </c>
    </row>
    <row r="151" spans="1:2" x14ac:dyDescent="0.25">
      <c r="A151">
        <v>298</v>
      </c>
      <c r="B151" s="3">
        <v>3.5616833333333333</v>
      </c>
    </row>
    <row r="152" spans="1:2" x14ac:dyDescent="0.25">
      <c r="A152">
        <v>300</v>
      </c>
      <c r="B152" s="3">
        <v>3.5610666666666666</v>
      </c>
    </row>
    <row r="153" spans="1:2" x14ac:dyDescent="0.25">
      <c r="A153">
        <v>302</v>
      </c>
      <c r="B153" s="3">
        <v>3.5602166666666668</v>
      </c>
    </row>
    <row r="154" spans="1:2" x14ac:dyDescent="0.25">
      <c r="A154">
        <v>304</v>
      </c>
      <c r="B154" s="3">
        <v>3.5583333333333331</v>
      </c>
    </row>
    <row r="155" spans="1:2" x14ac:dyDescent="0.25">
      <c r="A155">
        <v>306</v>
      </c>
      <c r="B155" s="3">
        <v>3.5568333333333335</v>
      </c>
    </row>
    <row r="156" spans="1:2" x14ac:dyDescent="0.25">
      <c r="A156">
        <v>308</v>
      </c>
      <c r="B156" s="3">
        <v>3.5546666666666664</v>
      </c>
    </row>
    <row r="157" spans="1:2" x14ac:dyDescent="0.25">
      <c r="A157">
        <v>310</v>
      </c>
      <c r="B157" s="3">
        <v>3.5528999999999997</v>
      </c>
    </row>
    <row r="158" spans="1:2" x14ac:dyDescent="0.25">
      <c r="A158">
        <v>312</v>
      </c>
      <c r="B158" s="3">
        <v>3.5515166666666662</v>
      </c>
    </row>
    <row r="159" spans="1:2" x14ac:dyDescent="0.25">
      <c r="A159">
        <v>314</v>
      </c>
      <c r="B159" s="3">
        <v>3.5505666666666666</v>
      </c>
    </row>
    <row r="160" spans="1:2" x14ac:dyDescent="0.25">
      <c r="A160">
        <v>316</v>
      </c>
      <c r="B160" s="3">
        <v>3.5493999999999999</v>
      </c>
    </row>
    <row r="161" spans="1:2" x14ac:dyDescent="0.25">
      <c r="A161">
        <v>318</v>
      </c>
      <c r="B161" s="3">
        <v>3.5487166666666661</v>
      </c>
    </row>
    <row r="162" spans="1:2" x14ac:dyDescent="0.25">
      <c r="A162">
        <v>320</v>
      </c>
      <c r="B162" s="3">
        <v>3.5475333333333334</v>
      </c>
    </row>
    <row r="163" spans="1:2" x14ac:dyDescent="0.25">
      <c r="A163">
        <v>322</v>
      </c>
      <c r="B163" s="3">
        <v>3.5464500000000001</v>
      </c>
    </row>
    <row r="164" spans="1:2" x14ac:dyDescent="0.25">
      <c r="A164">
        <v>324</v>
      </c>
      <c r="B164" s="3">
        <v>3.5455666666666663</v>
      </c>
    </row>
    <row r="165" spans="1:2" x14ac:dyDescent="0.25">
      <c r="A165">
        <v>326</v>
      </c>
      <c r="B165" s="3">
        <v>3.5446166666666667</v>
      </c>
    </row>
    <row r="166" spans="1:2" x14ac:dyDescent="0.25">
      <c r="A166">
        <v>328</v>
      </c>
      <c r="B166" s="3">
        <v>3.5436999999999994</v>
      </c>
    </row>
    <row r="167" spans="1:2" x14ac:dyDescent="0.25">
      <c r="A167">
        <v>330</v>
      </c>
      <c r="B167" s="3">
        <v>3.5424833333333332</v>
      </c>
    </row>
    <row r="168" spans="1:2" x14ac:dyDescent="0.25">
      <c r="A168">
        <v>332</v>
      </c>
      <c r="B168" s="3">
        <v>3.5412833333333338</v>
      </c>
    </row>
    <row r="169" spans="1:2" x14ac:dyDescent="0.25">
      <c r="A169">
        <v>334</v>
      </c>
      <c r="B169" s="3">
        <v>3.5395166666666662</v>
      </c>
    </row>
    <row r="170" spans="1:2" x14ac:dyDescent="0.25">
      <c r="A170">
        <v>336</v>
      </c>
      <c r="B170" s="3">
        <v>3.5379833333333335</v>
      </c>
    </row>
    <row r="171" spans="1:2" x14ac:dyDescent="0.25">
      <c r="A171">
        <v>338</v>
      </c>
      <c r="B171" s="3">
        <v>3.5371666666666663</v>
      </c>
    </row>
    <row r="172" spans="1:2" x14ac:dyDescent="0.25">
      <c r="A172">
        <v>340</v>
      </c>
      <c r="B172" s="3">
        <v>3.5364499999999999</v>
      </c>
    </row>
    <row r="173" spans="1:2" x14ac:dyDescent="0.25">
      <c r="A173">
        <v>342</v>
      </c>
      <c r="B173" s="3">
        <v>3.5359666666666669</v>
      </c>
    </row>
    <row r="174" spans="1:2" x14ac:dyDescent="0.25">
      <c r="A174">
        <v>344</v>
      </c>
      <c r="B174" s="3">
        <v>3.5339166666666668</v>
      </c>
    </row>
    <row r="175" spans="1:2" x14ac:dyDescent="0.25">
      <c r="A175">
        <v>346</v>
      </c>
      <c r="B175" s="3">
        <v>3.5327666666666668</v>
      </c>
    </row>
    <row r="176" spans="1:2" x14ac:dyDescent="0.25">
      <c r="A176">
        <v>348</v>
      </c>
      <c r="B176" s="3">
        <v>3.5315999999999996</v>
      </c>
    </row>
    <row r="177" spans="1:2" x14ac:dyDescent="0.25">
      <c r="A177">
        <v>350</v>
      </c>
      <c r="B177" s="3">
        <v>3.5305333333333331</v>
      </c>
    </row>
    <row r="178" spans="1:2" x14ac:dyDescent="0.25">
      <c r="A178">
        <v>352</v>
      </c>
      <c r="B178" s="3">
        <v>3.5299</v>
      </c>
    </row>
    <row r="179" spans="1:2" x14ac:dyDescent="0.25">
      <c r="A179">
        <v>354</v>
      </c>
      <c r="B179" s="3">
        <v>3.5291666666666663</v>
      </c>
    </row>
    <row r="180" spans="1:2" x14ac:dyDescent="0.25">
      <c r="A180">
        <v>356</v>
      </c>
      <c r="B180" s="3">
        <v>3.5277166666666666</v>
      </c>
    </row>
    <row r="181" spans="1:2" x14ac:dyDescent="0.25">
      <c r="A181">
        <v>358</v>
      </c>
      <c r="B181" s="3">
        <v>3.5262333333333333</v>
      </c>
    </row>
    <row r="182" spans="1:2" x14ac:dyDescent="0.25">
      <c r="A182">
        <v>360</v>
      </c>
      <c r="B182" s="3">
        <v>3.5250500000000002</v>
      </c>
    </row>
    <row r="183" spans="1:2" x14ac:dyDescent="0.25">
      <c r="A183">
        <v>362</v>
      </c>
      <c r="B183" s="3">
        <v>3.5243833333333332</v>
      </c>
    </row>
    <row r="184" spans="1:2" x14ac:dyDescent="0.25">
      <c r="A184">
        <v>364</v>
      </c>
      <c r="B184" s="3">
        <v>3.5232500000000004</v>
      </c>
    </row>
    <row r="185" spans="1:2" x14ac:dyDescent="0.25">
      <c r="A185">
        <v>366</v>
      </c>
      <c r="B185" s="3">
        <v>3.5225166666666667</v>
      </c>
    </row>
    <row r="186" spans="1:2" x14ac:dyDescent="0.25">
      <c r="A186">
        <v>368</v>
      </c>
      <c r="B186" s="3">
        <v>3.522183333333333</v>
      </c>
    </row>
    <row r="187" spans="1:2" x14ac:dyDescent="0.25">
      <c r="A187">
        <v>370</v>
      </c>
      <c r="B187" s="3">
        <v>3.5213833333333331</v>
      </c>
    </row>
    <row r="188" spans="1:2" x14ac:dyDescent="0.25">
      <c r="A188">
        <v>372</v>
      </c>
      <c r="B188" s="3">
        <v>3.52115</v>
      </c>
    </row>
    <row r="189" spans="1:2" x14ac:dyDescent="0.25">
      <c r="A189">
        <v>374</v>
      </c>
      <c r="B189" s="3">
        <v>3.5203500000000001</v>
      </c>
    </row>
    <row r="190" spans="1:2" x14ac:dyDescent="0.25">
      <c r="A190">
        <v>376</v>
      </c>
      <c r="B190" s="3">
        <v>3.5193666666666665</v>
      </c>
    </row>
    <row r="191" spans="1:2" x14ac:dyDescent="0.25">
      <c r="A191">
        <v>378</v>
      </c>
      <c r="B191" s="3">
        <v>3.5175666666666667</v>
      </c>
    </row>
    <row r="192" spans="1:2" x14ac:dyDescent="0.25">
      <c r="A192">
        <v>380</v>
      </c>
      <c r="B192" s="3">
        <v>3.5166499999999998</v>
      </c>
    </row>
    <row r="193" spans="1:2" x14ac:dyDescent="0.25">
      <c r="A193">
        <v>382</v>
      </c>
      <c r="B193" s="3">
        <v>3.5158166666666673</v>
      </c>
    </row>
    <row r="194" spans="1:2" x14ac:dyDescent="0.25">
      <c r="A194">
        <v>384</v>
      </c>
      <c r="B194" s="3">
        <v>3.5149166666666662</v>
      </c>
    </row>
    <row r="195" spans="1:2" x14ac:dyDescent="0.25">
      <c r="A195">
        <v>386</v>
      </c>
      <c r="B195" s="3">
        <v>3.5134666666666665</v>
      </c>
    </row>
    <row r="196" spans="1:2" x14ac:dyDescent="0.25">
      <c r="A196">
        <v>388</v>
      </c>
      <c r="B196" s="3">
        <v>3.5120666666666671</v>
      </c>
    </row>
    <row r="197" spans="1:2" x14ac:dyDescent="0.25">
      <c r="A197">
        <v>390</v>
      </c>
      <c r="B197" s="3">
        <v>3.5108999999999995</v>
      </c>
    </row>
    <row r="198" spans="1:2" x14ac:dyDescent="0.25">
      <c r="A198">
        <v>392</v>
      </c>
      <c r="B198" s="3">
        <v>3.5103833333333334</v>
      </c>
    </row>
    <row r="199" spans="1:2" x14ac:dyDescent="0.25">
      <c r="A199">
        <v>394</v>
      </c>
      <c r="B199" s="3">
        <v>3.5101500000000008</v>
      </c>
    </row>
    <row r="200" spans="1:2" x14ac:dyDescent="0.25">
      <c r="A200">
        <v>396</v>
      </c>
      <c r="B200" s="3">
        <v>3.5094666666666665</v>
      </c>
    </row>
    <row r="201" spans="1:2" x14ac:dyDescent="0.25">
      <c r="A201">
        <v>398</v>
      </c>
      <c r="B201" s="3">
        <v>3.5083333333333333</v>
      </c>
    </row>
    <row r="202" spans="1:2" x14ac:dyDescent="0.25">
      <c r="A202">
        <v>400</v>
      </c>
      <c r="B202" s="3">
        <v>3.507333333333333</v>
      </c>
    </row>
    <row r="203" spans="1:2" x14ac:dyDescent="0.25">
      <c r="A203">
        <v>402</v>
      </c>
      <c r="B203" s="3">
        <v>3.5069166666666667</v>
      </c>
    </row>
    <row r="204" spans="1:2" x14ac:dyDescent="0.25">
      <c r="A204">
        <v>404</v>
      </c>
      <c r="B204" s="3">
        <v>3.5063666666666662</v>
      </c>
    </row>
    <row r="205" spans="1:2" x14ac:dyDescent="0.25">
      <c r="A205">
        <v>406</v>
      </c>
      <c r="B205" s="3">
        <v>3.5059</v>
      </c>
    </row>
    <row r="206" spans="1:2" x14ac:dyDescent="0.25">
      <c r="A206">
        <v>408</v>
      </c>
      <c r="B206" s="3">
        <v>3.5050500000000002</v>
      </c>
    </row>
    <row r="207" spans="1:2" x14ac:dyDescent="0.25">
      <c r="A207">
        <v>410</v>
      </c>
      <c r="B207" s="3">
        <v>3.5039166666666666</v>
      </c>
    </row>
    <row r="208" spans="1:2" x14ac:dyDescent="0.25">
      <c r="A208">
        <v>412</v>
      </c>
      <c r="B208" s="3">
        <v>3.5028000000000001</v>
      </c>
    </row>
    <row r="209" spans="1:2" x14ac:dyDescent="0.25">
      <c r="A209">
        <v>414</v>
      </c>
      <c r="B209" s="3">
        <v>3.5019166666666663</v>
      </c>
    </row>
    <row r="210" spans="1:2" x14ac:dyDescent="0.25">
      <c r="A210">
        <v>416</v>
      </c>
      <c r="B210" s="3">
        <v>3.5009333333333337</v>
      </c>
    </row>
    <row r="211" spans="1:2" x14ac:dyDescent="0.25">
      <c r="A211">
        <v>418</v>
      </c>
      <c r="B211" s="3">
        <v>3.5003499999999996</v>
      </c>
    </row>
    <row r="212" spans="1:2" x14ac:dyDescent="0.25">
      <c r="A212">
        <v>420</v>
      </c>
      <c r="B212" s="3">
        <v>3.4985166666666667</v>
      </c>
    </row>
    <row r="213" spans="1:2" x14ac:dyDescent="0.25">
      <c r="A213">
        <v>422</v>
      </c>
      <c r="B213" s="3">
        <v>3.4967166666666674</v>
      </c>
    </row>
    <row r="214" spans="1:2" x14ac:dyDescent="0.25">
      <c r="A214">
        <v>424</v>
      </c>
      <c r="B214" s="3">
        <v>3.4962000000000004</v>
      </c>
    </row>
    <row r="215" spans="1:2" x14ac:dyDescent="0.25">
      <c r="A215">
        <v>426</v>
      </c>
      <c r="B215" s="3">
        <v>3.4950166666666664</v>
      </c>
    </row>
    <row r="216" spans="1:2" x14ac:dyDescent="0.25">
      <c r="A216">
        <v>428</v>
      </c>
      <c r="B216" s="3">
        <v>3.4937</v>
      </c>
    </row>
    <row r="217" spans="1:2" x14ac:dyDescent="0.25">
      <c r="A217">
        <v>430</v>
      </c>
      <c r="B217" s="3">
        <v>3.4924000000000004</v>
      </c>
    </row>
    <row r="218" spans="1:2" x14ac:dyDescent="0.25">
      <c r="A218">
        <v>432</v>
      </c>
      <c r="B218" s="3">
        <v>3.4917833333333337</v>
      </c>
    </row>
    <row r="219" spans="1:2" x14ac:dyDescent="0.25">
      <c r="A219">
        <v>434</v>
      </c>
      <c r="B219" s="3">
        <v>3.4910999999999999</v>
      </c>
    </row>
    <row r="220" spans="1:2" x14ac:dyDescent="0.25">
      <c r="A220">
        <v>436</v>
      </c>
      <c r="B220" s="3">
        <v>3.4888166666666662</v>
      </c>
    </row>
    <row r="221" spans="1:2" x14ac:dyDescent="0.25">
      <c r="A221">
        <v>438</v>
      </c>
      <c r="B221" s="3">
        <v>3.4872999999999998</v>
      </c>
    </row>
    <row r="222" spans="1:2" x14ac:dyDescent="0.25">
      <c r="A222">
        <v>440</v>
      </c>
      <c r="B222" s="3">
        <v>3.4859166666666668</v>
      </c>
    </row>
    <row r="223" spans="1:2" x14ac:dyDescent="0.25">
      <c r="A223">
        <v>442</v>
      </c>
      <c r="B223" s="3">
        <v>3.4849166666666669</v>
      </c>
    </row>
    <row r="224" spans="1:2" x14ac:dyDescent="0.25">
      <c r="A224">
        <v>444</v>
      </c>
      <c r="B224" s="3">
        <v>3.4836499999999995</v>
      </c>
    </row>
    <row r="225" spans="1:2" x14ac:dyDescent="0.25">
      <c r="A225">
        <v>446</v>
      </c>
      <c r="B225" s="3">
        <v>3.4820166666666665</v>
      </c>
    </row>
    <row r="226" spans="1:2" x14ac:dyDescent="0.25">
      <c r="A226">
        <v>448</v>
      </c>
      <c r="B226" s="3">
        <v>3.4810833333333338</v>
      </c>
    </row>
    <row r="227" spans="1:2" x14ac:dyDescent="0.25">
      <c r="A227">
        <v>450</v>
      </c>
      <c r="B227" s="3">
        <v>3.4802500000000003</v>
      </c>
    </row>
    <row r="228" spans="1:2" x14ac:dyDescent="0.25">
      <c r="A228">
        <v>452</v>
      </c>
      <c r="B228" s="3">
        <v>3.4793333333333334</v>
      </c>
    </row>
    <row r="229" spans="1:2" x14ac:dyDescent="0.25">
      <c r="A229">
        <v>454</v>
      </c>
      <c r="B229" s="3">
        <v>3.4781999999999997</v>
      </c>
    </row>
    <row r="230" spans="1:2" x14ac:dyDescent="0.25">
      <c r="A230">
        <v>456</v>
      </c>
      <c r="B230" s="3">
        <v>3.4770500000000002</v>
      </c>
    </row>
    <row r="231" spans="1:2" x14ac:dyDescent="0.25">
      <c r="A231">
        <v>458</v>
      </c>
      <c r="B231" s="3">
        <v>3.4762833333333334</v>
      </c>
    </row>
    <row r="232" spans="1:2" x14ac:dyDescent="0.25">
      <c r="A232">
        <v>460</v>
      </c>
      <c r="B232" s="3">
        <v>3.4758</v>
      </c>
    </row>
    <row r="233" spans="1:2" x14ac:dyDescent="0.25">
      <c r="A233">
        <v>462</v>
      </c>
      <c r="B233" s="3">
        <v>3.474816666666666</v>
      </c>
    </row>
    <row r="234" spans="1:2" x14ac:dyDescent="0.25">
      <c r="A234">
        <v>464</v>
      </c>
      <c r="B234" s="3">
        <v>3.4739500000000003</v>
      </c>
    </row>
    <row r="235" spans="1:2" x14ac:dyDescent="0.25">
      <c r="A235">
        <v>466</v>
      </c>
      <c r="B235" s="3">
        <v>3.4723166666666665</v>
      </c>
    </row>
    <row r="236" spans="1:2" x14ac:dyDescent="0.25">
      <c r="A236">
        <v>468</v>
      </c>
      <c r="B236" s="3">
        <v>3.4715333333333334</v>
      </c>
    </row>
    <row r="237" spans="1:2" x14ac:dyDescent="0.25">
      <c r="A237">
        <v>470</v>
      </c>
      <c r="B237" s="3">
        <v>3.4705999999999997</v>
      </c>
    </row>
    <row r="238" spans="1:2" x14ac:dyDescent="0.25">
      <c r="A238">
        <v>472</v>
      </c>
      <c r="B238" s="3">
        <v>3.4701833333333334</v>
      </c>
    </row>
    <row r="239" spans="1:2" x14ac:dyDescent="0.25">
      <c r="A239">
        <v>474</v>
      </c>
      <c r="B239" s="3">
        <v>3.4693833333333335</v>
      </c>
    </row>
    <row r="240" spans="1:2" x14ac:dyDescent="0.25">
      <c r="A240">
        <v>476</v>
      </c>
      <c r="B240" s="3">
        <v>3.4682000000000008</v>
      </c>
    </row>
    <row r="241" spans="1:2" x14ac:dyDescent="0.25">
      <c r="A241">
        <v>478</v>
      </c>
      <c r="B241" s="3">
        <v>3.4675500000000006</v>
      </c>
    </row>
    <row r="242" spans="1:2" x14ac:dyDescent="0.25">
      <c r="A242">
        <v>480</v>
      </c>
      <c r="B242" s="3">
        <v>3.4666999999999994</v>
      </c>
    </row>
    <row r="243" spans="1:2" x14ac:dyDescent="0.25">
      <c r="A243">
        <v>482</v>
      </c>
      <c r="B243" s="3">
        <v>3.4661500000000003</v>
      </c>
    </row>
    <row r="244" spans="1:2" x14ac:dyDescent="0.25">
      <c r="A244">
        <v>484</v>
      </c>
      <c r="B244" s="3">
        <v>3.4657666666666667</v>
      </c>
    </row>
    <row r="245" spans="1:2" x14ac:dyDescent="0.25">
      <c r="A245">
        <v>486</v>
      </c>
      <c r="B245" s="3">
        <v>3.4647999999999999</v>
      </c>
    </row>
    <row r="246" spans="1:2" x14ac:dyDescent="0.25">
      <c r="A246">
        <v>488</v>
      </c>
      <c r="B246" s="3">
        <v>3.4637000000000007</v>
      </c>
    </row>
    <row r="247" spans="1:2" x14ac:dyDescent="0.25">
      <c r="A247">
        <v>490</v>
      </c>
      <c r="B247" s="3">
        <v>3.4630333333333336</v>
      </c>
    </row>
    <row r="248" spans="1:2" x14ac:dyDescent="0.25">
      <c r="A248">
        <v>492</v>
      </c>
      <c r="B248" s="3">
        <v>3.4622166666666669</v>
      </c>
    </row>
    <row r="249" spans="1:2" x14ac:dyDescent="0.25">
      <c r="A249">
        <v>494</v>
      </c>
      <c r="B249" s="3">
        <v>3.4613999999999998</v>
      </c>
    </row>
    <row r="250" spans="1:2" x14ac:dyDescent="0.25">
      <c r="A250">
        <v>496</v>
      </c>
      <c r="B250" s="3">
        <v>3.4607166666666669</v>
      </c>
    </row>
    <row r="251" spans="1:2" x14ac:dyDescent="0.25">
      <c r="A251">
        <v>498</v>
      </c>
      <c r="B251" s="3">
        <v>3.4600166666666663</v>
      </c>
    </row>
    <row r="252" spans="1:2" x14ac:dyDescent="0.25">
      <c r="A252">
        <v>500</v>
      </c>
      <c r="B252" s="3">
        <v>3.4595999999999996</v>
      </c>
    </row>
    <row r="253" spans="1:2" x14ac:dyDescent="0.25">
      <c r="A253">
        <v>502</v>
      </c>
      <c r="B253" s="3">
        <v>3.4587833333333329</v>
      </c>
    </row>
    <row r="254" spans="1:2" x14ac:dyDescent="0.25">
      <c r="A254">
        <v>504</v>
      </c>
      <c r="B254" s="3">
        <v>3.4582499999999996</v>
      </c>
    </row>
    <row r="255" spans="1:2" x14ac:dyDescent="0.25">
      <c r="A255">
        <v>506</v>
      </c>
      <c r="B255" s="3">
        <v>3.4577499999999994</v>
      </c>
    </row>
    <row r="256" spans="1:2" x14ac:dyDescent="0.25">
      <c r="A256">
        <v>508</v>
      </c>
      <c r="B256" s="3">
        <v>3.4573666666666667</v>
      </c>
    </row>
    <row r="257" spans="1:2" x14ac:dyDescent="0.25">
      <c r="A257">
        <v>510</v>
      </c>
      <c r="B257" s="3">
        <v>3.4569833333333335</v>
      </c>
    </row>
    <row r="258" spans="1:2" x14ac:dyDescent="0.25">
      <c r="A258">
        <v>512</v>
      </c>
      <c r="B258" s="3">
        <v>3.4564166666666671</v>
      </c>
    </row>
    <row r="259" spans="1:2" x14ac:dyDescent="0.25">
      <c r="A259">
        <v>514</v>
      </c>
      <c r="B259" s="3">
        <v>3.4558666666666666</v>
      </c>
    </row>
    <row r="260" spans="1:2" x14ac:dyDescent="0.25">
      <c r="A260">
        <v>516</v>
      </c>
      <c r="B260" s="3">
        <v>3.4548500000000004</v>
      </c>
    </row>
    <row r="261" spans="1:2" x14ac:dyDescent="0.25">
      <c r="A261">
        <v>518</v>
      </c>
      <c r="B261" s="3">
        <v>3.4539500000000003</v>
      </c>
    </row>
    <row r="262" spans="1:2" x14ac:dyDescent="0.25">
      <c r="A262">
        <v>520</v>
      </c>
      <c r="B262" s="3">
        <v>3.4534499999999997</v>
      </c>
    </row>
    <row r="263" spans="1:2" x14ac:dyDescent="0.25">
      <c r="A263">
        <v>522</v>
      </c>
      <c r="B263" s="3">
        <v>3.45275</v>
      </c>
    </row>
    <row r="264" spans="1:2" x14ac:dyDescent="0.25">
      <c r="A264">
        <v>524</v>
      </c>
      <c r="B264" s="3">
        <v>3.452033333333334</v>
      </c>
    </row>
    <row r="265" spans="1:2" x14ac:dyDescent="0.25">
      <c r="A265">
        <v>526</v>
      </c>
      <c r="B265" s="3">
        <v>3.4513166666666666</v>
      </c>
    </row>
    <row r="266" spans="1:2" x14ac:dyDescent="0.25">
      <c r="A266">
        <v>528</v>
      </c>
      <c r="B266" s="3">
        <v>3.450533333333333</v>
      </c>
    </row>
    <row r="267" spans="1:2" x14ac:dyDescent="0.25">
      <c r="A267">
        <v>530</v>
      </c>
      <c r="B267" s="3">
        <v>3.4498166666666665</v>
      </c>
    </row>
    <row r="268" spans="1:2" x14ac:dyDescent="0.25">
      <c r="A268">
        <v>532</v>
      </c>
      <c r="B268" s="3">
        <v>3.4489333333333332</v>
      </c>
    </row>
    <row r="269" spans="1:2" x14ac:dyDescent="0.25">
      <c r="A269">
        <v>534</v>
      </c>
      <c r="B269" s="3">
        <v>3.44835</v>
      </c>
    </row>
    <row r="270" spans="1:2" x14ac:dyDescent="0.25">
      <c r="A270">
        <v>536</v>
      </c>
      <c r="B270" s="3">
        <v>3.4480666666666671</v>
      </c>
    </row>
    <row r="271" spans="1:2" x14ac:dyDescent="0.25">
      <c r="A271">
        <v>538</v>
      </c>
      <c r="B271" s="3">
        <v>3.4474666666666671</v>
      </c>
    </row>
    <row r="272" spans="1:2" x14ac:dyDescent="0.25">
      <c r="A272">
        <v>540</v>
      </c>
      <c r="B272" s="3">
        <v>3.4468666666666667</v>
      </c>
    </row>
    <row r="273" spans="1:2" x14ac:dyDescent="0.25">
      <c r="A273">
        <v>542</v>
      </c>
      <c r="B273" s="3">
        <v>3.44645</v>
      </c>
    </row>
    <row r="274" spans="1:2" x14ac:dyDescent="0.25">
      <c r="A274">
        <v>544</v>
      </c>
      <c r="B274" s="3">
        <v>3.4459666666666666</v>
      </c>
    </row>
    <row r="275" spans="1:2" x14ac:dyDescent="0.25">
      <c r="A275">
        <v>546</v>
      </c>
      <c r="B275" s="3">
        <v>3.4452666666666669</v>
      </c>
    </row>
    <row r="276" spans="1:2" x14ac:dyDescent="0.25">
      <c r="A276">
        <v>548</v>
      </c>
      <c r="B276" s="3">
        <v>3.4446333333333325</v>
      </c>
    </row>
    <row r="277" spans="1:2" x14ac:dyDescent="0.25">
      <c r="A277">
        <v>550</v>
      </c>
      <c r="B277" s="3">
        <v>3.4441666666666664</v>
      </c>
    </row>
    <row r="278" spans="1:2" x14ac:dyDescent="0.25">
      <c r="A278">
        <v>552</v>
      </c>
      <c r="B278" s="3">
        <v>3.4436166666666668</v>
      </c>
    </row>
    <row r="279" spans="1:2" x14ac:dyDescent="0.25">
      <c r="A279">
        <v>554</v>
      </c>
      <c r="B279" s="3">
        <v>3.4428666666666667</v>
      </c>
    </row>
    <row r="280" spans="1:2" x14ac:dyDescent="0.25">
      <c r="A280">
        <v>556</v>
      </c>
      <c r="B280" s="3">
        <v>3.4420000000000002</v>
      </c>
    </row>
    <row r="281" spans="1:2" x14ac:dyDescent="0.25">
      <c r="A281">
        <v>558</v>
      </c>
      <c r="B281" s="3">
        <v>3.4417833333333334</v>
      </c>
    </row>
    <row r="282" spans="1:2" x14ac:dyDescent="0.25">
      <c r="A282">
        <v>560</v>
      </c>
      <c r="B282" s="3">
        <v>3.4414500000000001</v>
      </c>
    </row>
    <row r="283" spans="1:2" x14ac:dyDescent="0.25">
      <c r="A283">
        <v>562</v>
      </c>
      <c r="B283" s="3">
        <v>3.4409666666666663</v>
      </c>
    </row>
    <row r="284" spans="1:2" x14ac:dyDescent="0.25">
      <c r="A284">
        <v>564</v>
      </c>
      <c r="B284" s="3">
        <v>3.4405666666666668</v>
      </c>
    </row>
    <row r="285" spans="1:2" x14ac:dyDescent="0.25">
      <c r="A285">
        <v>566</v>
      </c>
      <c r="B285" s="3">
        <v>3.4402999999999992</v>
      </c>
    </row>
    <row r="286" spans="1:2" x14ac:dyDescent="0.25">
      <c r="A286">
        <v>568</v>
      </c>
      <c r="B286" s="3">
        <v>3.4399166666666665</v>
      </c>
    </row>
    <row r="287" spans="1:2" x14ac:dyDescent="0.25">
      <c r="A287">
        <v>570</v>
      </c>
      <c r="B287" s="3">
        <v>3.4392833333333335</v>
      </c>
    </row>
    <row r="288" spans="1:2" x14ac:dyDescent="0.25">
      <c r="A288">
        <v>572</v>
      </c>
      <c r="B288" s="3">
        <v>3.4385166666666667</v>
      </c>
    </row>
    <row r="289" spans="1:2" x14ac:dyDescent="0.25">
      <c r="A289">
        <v>574</v>
      </c>
      <c r="B289" s="3">
        <v>3.4379666666666666</v>
      </c>
    </row>
    <row r="290" spans="1:2" x14ac:dyDescent="0.25">
      <c r="A290">
        <v>576</v>
      </c>
      <c r="B290" s="3">
        <v>3.4371333333333336</v>
      </c>
    </row>
    <row r="291" spans="1:2" x14ac:dyDescent="0.25">
      <c r="A291">
        <v>578</v>
      </c>
      <c r="B291" s="3">
        <v>3.4366833333333333</v>
      </c>
    </row>
    <row r="292" spans="1:2" x14ac:dyDescent="0.25">
      <c r="A292">
        <v>580</v>
      </c>
      <c r="B292" s="3">
        <v>3.4364333333333335</v>
      </c>
    </row>
    <row r="293" spans="1:2" x14ac:dyDescent="0.25">
      <c r="A293">
        <v>582</v>
      </c>
      <c r="B293" s="3">
        <v>3.4361166666666665</v>
      </c>
    </row>
    <row r="294" spans="1:2" x14ac:dyDescent="0.25">
      <c r="A294">
        <v>584</v>
      </c>
      <c r="B294" s="3">
        <v>3.4356166666666663</v>
      </c>
    </row>
    <row r="295" spans="1:2" x14ac:dyDescent="0.25">
      <c r="A295">
        <v>586</v>
      </c>
      <c r="B295" s="3">
        <v>3.4353000000000002</v>
      </c>
    </row>
    <row r="296" spans="1:2" x14ac:dyDescent="0.25">
      <c r="A296">
        <v>588</v>
      </c>
      <c r="B296" s="3">
        <v>3.4349166666666675</v>
      </c>
    </row>
    <row r="297" spans="1:2" x14ac:dyDescent="0.25">
      <c r="A297">
        <v>590</v>
      </c>
      <c r="B297" s="3">
        <v>3.4344999999999999</v>
      </c>
    </row>
    <row r="298" spans="1:2" x14ac:dyDescent="0.25">
      <c r="A298">
        <v>592</v>
      </c>
      <c r="B298" s="3">
        <v>3.4340333333333333</v>
      </c>
    </row>
    <row r="299" spans="1:2" x14ac:dyDescent="0.25">
      <c r="A299">
        <v>594</v>
      </c>
      <c r="B299" s="3">
        <v>3.433783333333333</v>
      </c>
    </row>
    <row r="300" spans="1:2" x14ac:dyDescent="0.25">
      <c r="A300">
        <v>596</v>
      </c>
      <c r="B300" s="3">
        <v>3.4332166666666666</v>
      </c>
    </row>
    <row r="301" spans="1:2" x14ac:dyDescent="0.25">
      <c r="A301">
        <v>598</v>
      </c>
      <c r="B301" s="3">
        <v>3.4323666666666663</v>
      </c>
    </row>
    <row r="302" spans="1:2" x14ac:dyDescent="0.25">
      <c r="A302">
        <v>600</v>
      </c>
      <c r="B302" s="3">
        <v>3.4312500000000004</v>
      </c>
    </row>
    <row r="303" spans="1:2" x14ac:dyDescent="0.25">
      <c r="A303">
        <v>602</v>
      </c>
      <c r="B303" s="3">
        <v>3.4305833333333333</v>
      </c>
    </row>
    <row r="304" spans="1:2" x14ac:dyDescent="0.25">
      <c r="A304">
        <v>604</v>
      </c>
      <c r="B304" s="3">
        <v>3.4301499999999998</v>
      </c>
    </row>
    <row r="305" spans="1:2" x14ac:dyDescent="0.25">
      <c r="A305">
        <v>606</v>
      </c>
      <c r="B305" s="3">
        <v>3.4293833333333335</v>
      </c>
    </row>
    <row r="306" spans="1:2" x14ac:dyDescent="0.25">
      <c r="A306">
        <v>608</v>
      </c>
      <c r="B306" s="3">
        <v>3.4287499999999995</v>
      </c>
    </row>
    <row r="307" spans="1:2" x14ac:dyDescent="0.25">
      <c r="A307">
        <v>610</v>
      </c>
      <c r="B307" s="3">
        <v>3.4280833333333338</v>
      </c>
    </row>
    <row r="308" spans="1:2" x14ac:dyDescent="0.25">
      <c r="A308">
        <v>612</v>
      </c>
      <c r="B308" s="3">
        <v>3.4275333333333333</v>
      </c>
    </row>
    <row r="309" spans="1:2" x14ac:dyDescent="0.25">
      <c r="A309">
        <v>614</v>
      </c>
      <c r="B309" s="3">
        <v>3.4270166666666668</v>
      </c>
    </row>
    <row r="310" spans="1:2" x14ac:dyDescent="0.25">
      <c r="A310">
        <v>616</v>
      </c>
      <c r="B310" s="3">
        <v>3.4263166666666662</v>
      </c>
    </row>
    <row r="311" spans="1:2" x14ac:dyDescent="0.25">
      <c r="A311">
        <v>618</v>
      </c>
      <c r="B311" s="3">
        <v>3.4258833333333336</v>
      </c>
    </row>
    <row r="312" spans="1:2" x14ac:dyDescent="0.25">
      <c r="A312">
        <v>620</v>
      </c>
      <c r="B312" s="3">
        <v>3.4254833333333337</v>
      </c>
    </row>
    <row r="313" spans="1:2" x14ac:dyDescent="0.25">
      <c r="A313">
        <v>622</v>
      </c>
      <c r="B313" s="3">
        <v>3.4251166666666673</v>
      </c>
    </row>
    <row r="314" spans="1:2" x14ac:dyDescent="0.25">
      <c r="A314">
        <v>624</v>
      </c>
      <c r="B314" s="3">
        <v>3.4246999999999996</v>
      </c>
    </row>
    <row r="315" spans="1:2" x14ac:dyDescent="0.25">
      <c r="A315">
        <v>626</v>
      </c>
      <c r="B315" s="3">
        <v>3.4242500000000002</v>
      </c>
    </row>
    <row r="316" spans="1:2" x14ac:dyDescent="0.25">
      <c r="A316">
        <v>628</v>
      </c>
      <c r="B316" s="3">
        <v>3.4238999999999997</v>
      </c>
    </row>
    <row r="317" spans="1:2" x14ac:dyDescent="0.25">
      <c r="A317">
        <v>630</v>
      </c>
      <c r="B317" s="3">
        <v>3.4234833333333334</v>
      </c>
    </row>
    <row r="318" spans="1:2" x14ac:dyDescent="0.25">
      <c r="A318">
        <v>632</v>
      </c>
      <c r="B318" s="3">
        <v>3.4231500000000001</v>
      </c>
    </row>
    <row r="319" spans="1:2" x14ac:dyDescent="0.25">
      <c r="A319">
        <v>634</v>
      </c>
      <c r="B319" s="3">
        <v>3.4228166666666673</v>
      </c>
    </row>
    <row r="320" spans="1:2" x14ac:dyDescent="0.25">
      <c r="A320">
        <v>636</v>
      </c>
      <c r="B320" s="3">
        <v>3.4221833333333334</v>
      </c>
    </row>
    <row r="321" spans="1:2" x14ac:dyDescent="0.25">
      <c r="A321">
        <v>638</v>
      </c>
      <c r="B321" s="3">
        <v>3.4216666666666664</v>
      </c>
    </row>
    <row r="322" spans="1:2" x14ac:dyDescent="0.25">
      <c r="A322">
        <v>640</v>
      </c>
      <c r="B322" s="3">
        <v>3.4212166666666666</v>
      </c>
    </row>
    <row r="323" spans="1:2" x14ac:dyDescent="0.25">
      <c r="A323">
        <v>642</v>
      </c>
      <c r="B323" s="3">
        <v>3.4208000000000003</v>
      </c>
    </row>
    <row r="324" spans="1:2" x14ac:dyDescent="0.25">
      <c r="A324">
        <v>644</v>
      </c>
      <c r="B324" s="3">
        <v>3.4201666666666668</v>
      </c>
    </row>
    <row r="325" spans="1:2" x14ac:dyDescent="0.25">
      <c r="A325">
        <v>646</v>
      </c>
      <c r="B325" s="3">
        <v>3.4196333333333335</v>
      </c>
    </row>
    <row r="326" spans="1:2" x14ac:dyDescent="0.25">
      <c r="A326">
        <v>648</v>
      </c>
      <c r="B326" s="3">
        <v>3.4192166666666668</v>
      </c>
    </row>
    <row r="327" spans="1:2" x14ac:dyDescent="0.25">
      <c r="A327">
        <v>650</v>
      </c>
      <c r="B327" s="3">
        <v>3.4187833333333337</v>
      </c>
    </row>
    <row r="328" spans="1:2" x14ac:dyDescent="0.25">
      <c r="A328">
        <v>652</v>
      </c>
      <c r="B328" s="3">
        <v>3.4182833333333336</v>
      </c>
    </row>
    <row r="329" spans="1:2" x14ac:dyDescent="0.25">
      <c r="A329">
        <v>654</v>
      </c>
      <c r="B329" s="3">
        <v>3.4178666666666668</v>
      </c>
    </row>
    <row r="330" spans="1:2" x14ac:dyDescent="0.25">
      <c r="A330">
        <v>656</v>
      </c>
      <c r="B330" s="3">
        <v>3.4174000000000002</v>
      </c>
    </row>
    <row r="331" spans="1:2" x14ac:dyDescent="0.25">
      <c r="A331">
        <v>658</v>
      </c>
      <c r="B331" s="3">
        <v>3.4169999999999998</v>
      </c>
    </row>
    <row r="332" spans="1:2" x14ac:dyDescent="0.25">
      <c r="A332">
        <v>660</v>
      </c>
      <c r="B332" s="3">
        <v>3.4165666666666668</v>
      </c>
    </row>
    <row r="333" spans="1:2" x14ac:dyDescent="0.25">
      <c r="A333">
        <v>662</v>
      </c>
      <c r="B333" s="3">
        <v>3.416066666666667</v>
      </c>
    </row>
    <row r="334" spans="1:2" x14ac:dyDescent="0.25">
      <c r="A334">
        <v>664</v>
      </c>
      <c r="B334" s="3">
        <v>3.4155166666666665</v>
      </c>
    </row>
    <row r="335" spans="1:2" x14ac:dyDescent="0.25">
      <c r="A335">
        <v>666</v>
      </c>
      <c r="B335" s="3">
        <v>3.4149166666666666</v>
      </c>
    </row>
    <row r="336" spans="1:2" x14ac:dyDescent="0.25">
      <c r="A336">
        <v>668</v>
      </c>
      <c r="B336" s="3">
        <v>3.4145166666666671</v>
      </c>
    </row>
    <row r="337" spans="1:2" x14ac:dyDescent="0.25">
      <c r="A337">
        <v>670</v>
      </c>
      <c r="B337" s="3">
        <v>3.4142666666666668</v>
      </c>
    </row>
    <row r="338" spans="1:2" x14ac:dyDescent="0.25">
      <c r="A338">
        <v>672</v>
      </c>
      <c r="B338" s="3">
        <v>3.4138333333333342</v>
      </c>
    </row>
    <row r="339" spans="1:2" x14ac:dyDescent="0.25">
      <c r="A339">
        <v>674</v>
      </c>
      <c r="B339" s="3">
        <v>3.4134166666666665</v>
      </c>
    </row>
    <row r="340" spans="1:2" x14ac:dyDescent="0.25">
      <c r="A340">
        <v>676</v>
      </c>
      <c r="B340" s="3">
        <v>3.4129666666666671</v>
      </c>
    </row>
    <row r="341" spans="1:2" x14ac:dyDescent="0.25">
      <c r="A341">
        <v>678</v>
      </c>
      <c r="B341" s="3">
        <v>3.4125999999999999</v>
      </c>
    </row>
    <row r="342" spans="1:2" x14ac:dyDescent="0.25">
      <c r="A342">
        <v>680</v>
      </c>
      <c r="B342" s="3">
        <v>3.41215</v>
      </c>
    </row>
    <row r="343" spans="1:2" x14ac:dyDescent="0.25">
      <c r="A343">
        <v>682</v>
      </c>
      <c r="B343" s="3">
        <v>3.4118833333333334</v>
      </c>
    </row>
    <row r="344" spans="1:2" x14ac:dyDescent="0.25">
      <c r="A344">
        <v>684</v>
      </c>
      <c r="B344" s="3">
        <v>3.4118499999999998</v>
      </c>
    </row>
    <row r="345" spans="1:2" x14ac:dyDescent="0.25">
      <c r="A345">
        <v>686</v>
      </c>
      <c r="B345" s="3">
        <v>3.4114666666666671</v>
      </c>
    </row>
    <row r="346" spans="1:2" x14ac:dyDescent="0.25">
      <c r="A346">
        <v>688</v>
      </c>
      <c r="B346" s="3">
        <v>3.4110999999999998</v>
      </c>
    </row>
    <row r="347" spans="1:2" x14ac:dyDescent="0.25">
      <c r="A347">
        <v>690</v>
      </c>
      <c r="B347" s="3">
        <v>3.4107500000000002</v>
      </c>
    </row>
    <row r="348" spans="1:2" x14ac:dyDescent="0.25">
      <c r="A348">
        <v>692</v>
      </c>
      <c r="B348" s="3">
        <v>3.4104666666666668</v>
      </c>
    </row>
    <row r="349" spans="1:2" x14ac:dyDescent="0.25">
      <c r="A349">
        <v>694</v>
      </c>
      <c r="B349" s="3">
        <v>3.4102333333333337</v>
      </c>
    </row>
    <row r="350" spans="1:2" x14ac:dyDescent="0.25">
      <c r="A350">
        <v>696</v>
      </c>
      <c r="B350" s="3">
        <v>3.41</v>
      </c>
    </row>
    <row r="351" spans="1:2" x14ac:dyDescent="0.25">
      <c r="A351">
        <v>698</v>
      </c>
      <c r="B351" s="3">
        <v>3.4095166666666668</v>
      </c>
    </row>
    <row r="352" spans="1:2" x14ac:dyDescent="0.25">
      <c r="A352">
        <v>700</v>
      </c>
      <c r="B352" s="3">
        <v>3.4090166666666666</v>
      </c>
    </row>
    <row r="353" spans="1:2" x14ac:dyDescent="0.25">
      <c r="A353">
        <v>702</v>
      </c>
      <c r="B353" s="3">
        <v>3.4085333333333332</v>
      </c>
    </row>
    <row r="354" spans="1:2" x14ac:dyDescent="0.25">
      <c r="A354">
        <v>704</v>
      </c>
      <c r="B354" s="3">
        <v>3.4084166666666671</v>
      </c>
    </row>
    <row r="355" spans="1:2" x14ac:dyDescent="0.25">
      <c r="A355">
        <v>706</v>
      </c>
      <c r="B355" s="3">
        <v>3.4083166666666664</v>
      </c>
    </row>
    <row r="356" spans="1:2" x14ac:dyDescent="0.25">
      <c r="A356">
        <v>708</v>
      </c>
      <c r="B356" s="3">
        <v>3.4078666666666666</v>
      </c>
    </row>
    <row r="357" spans="1:2" x14ac:dyDescent="0.25">
      <c r="A357">
        <v>710</v>
      </c>
      <c r="B357" s="3">
        <v>3.4075333333333333</v>
      </c>
    </row>
    <row r="358" spans="1:2" x14ac:dyDescent="0.25">
      <c r="A358">
        <v>712</v>
      </c>
      <c r="B358" s="3">
        <v>3.4074833333333334</v>
      </c>
    </row>
    <row r="359" spans="1:2" x14ac:dyDescent="0.25">
      <c r="A359">
        <v>714</v>
      </c>
      <c r="B359" s="3">
        <v>3.4070833333333339</v>
      </c>
    </row>
    <row r="360" spans="1:2" x14ac:dyDescent="0.25">
      <c r="A360">
        <v>716</v>
      </c>
      <c r="B360" s="3">
        <v>3.4068666666666672</v>
      </c>
    </row>
    <row r="361" spans="1:2" x14ac:dyDescent="0.25">
      <c r="A361">
        <v>718</v>
      </c>
      <c r="B361" s="3">
        <v>3.4065499999999997</v>
      </c>
    </row>
    <row r="362" spans="1:2" x14ac:dyDescent="0.25">
      <c r="A362">
        <v>720</v>
      </c>
      <c r="B362" s="3">
        <v>3.4061333333333335</v>
      </c>
    </row>
    <row r="363" spans="1:2" x14ac:dyDescent="0.25">
      <c r="A363">
        <v>722</v>
      </c>
      <c r="B363" s="3">
        <v>3.4055999999999997</v>
      </c>
    </row>
    <row r="364" spans="1:2" x14ac:dyDescent="0.25">
      <c r="A364">
        <v>724</v>
      </c>
      <c r="B364" s="3">
        <v>3.4053333333333331</v>
      </c>
    </row>
    <row r="365" spans="1:2" x14ac:dyDescent="0.25">
      <c r="A365">
        <v>726</v>
      </c>
      <c r="B365" s="3">
        <v>3.4047333333333332</v>
      </c>
    </row>
    <row r="366" spans="1:2" x14ac:dyDescent="0.25">
      <c r="A366">
        <v>728</v>
      </c>
      <c r="B366" s="3">
        <v>3.4042833333333333</v>
      </c>
    </row>
    <row r="367" spans="1:2" x14ac:dyDescent="0.25">
      <c r="A367">
        <v>730</v>
      </c>
      <c r="B367" s="3">
        <v>3.4037500000000005</v>
      </c>
    </row>
    <row r="368" spans="1:2" x14ac:dyDescent="0.25">
      <c r="A368">
        <v>732</v>
      </c>
      <c r="B368" s="3">
        <v>3.4031166666666661</v>
      </c>
    </row>
    <row r="369" spans="1:2" x14ac:dyDescent="0.25">
      <c r="A369">
        <v>734</v>
      </c>
      <c r="B369" s="3">
        <v>3.4027999999999996</v>
      </c>
    </row>
    <row r="370" spans="1:2" x14ac:dyDescent="0.25">
      <c r="A370">
        <v>736</v>
      </c>
      <c r="B370" s="3">
        <v>3.4023833333333333</v>
      </c>
    </row>
    <row r="371" spans="1:2" x14ac:dyDescent="0.25">
      <c r="A371">
        <v>738</v>
      </c>
      <c r="B371" s="3">
        <v>3.4019833333333334</v>
      </c>
    </row>
    <row r="372" spans="1:2" x14ac:dyDescent="0.25">
      <c r="A372">
        <v>740</v>
      </c>
      <c r="B372" s="3">
        <v>3.4015833333333334</v>
      </c>
    </row>
    <row r="373" spans="1:2" x14ac:dyDescent="0.25">
      <c r="A373">
        <v>742</v>
      </c>
      <c r="B373" s="3">
        <v>3.4011333333333336</v>
      </c>
    </row>
    <row r="374" spans="1:2" x14ac:dyDescent="0.25">
      <c r="A374">
        <v>744</v>
      </c>
      <c r="B374" s="3">
        <v>3.4007999999999998</v>
      </c>
    </row>
    <row r="375" spans="1:2" x14ac:dyDescent="0.25">
      <c r="A375">
        <v>746</v>
      </c>
      <c r="B375" s="3">
        <v>3.4003166666666669</v>
      </c>
    </row>
    <row r="376" spans="1:2" x14ac:dyDescent="0.25">
      <c r="A376">
        <v>748</v>
      </c>
      <c r="B376" s="3">
        <v>3.400066666666667</v>
      </c>
    </row>
    <row r="377" spans="1:2" x14ac:dyDescent="0.25">
      <c r="A377">
        <v>750</v>
      </c>
      <c r="B377" s="3">
        <v>3.3997333333333337</v>
      </c>
    </row>
    <row r="378" spans="1:2" x14ac:dyDescent="0.25">
      <c r="A378">
        <v>752</v>
      </c>
      <c r="B378" s="3">
        <v>3.3995666666666668</v>
      </c>
    </row>
    <row r="379" spans="1:2" x14ac:dyDescent="0.25">
      <c r="A379">
        <v>754</v>
      </c>
      <c r="B379" s="3">
        <v>3.3993499999999996</v>
      </c>
    </row>
    <row r="380" spans="1:2" x14ac:dyDescent="0.25">
      <c r="A380">
        <v>756</v>
      </c>
      <c r="B380" s="3">
        <v>3.3991500000000001</v>
      </c>
    </row>
    <row r="381" spans="1:2" x14ac:dyDescent="0.25">
      <c r="A381">
        <v>758</v>
      </c>
      <c r="B381" s="3">
        <v>3.3990500000000003</v>
      </c>
    </row>
    <row r="382" spans="1:2" x14ac:dyDescent="0.25">
      <c r="A382">
        <v>760</v>
      </c>
      <c r="B382" s="3">
        <v>3.3987833333333337</v>
      </c>
    </row>
    <row r="383" spans="1:2" x14ac:dyDescent="0.25">
      <c r="A383">
        <v>762</v>
      </c>
      <c r="B383" s="3">
        <v>3.3984833333333335</v>
      </c>
    </row>
    <row r="384" spans="1:2" x14ac:dyDescent="0.25">
      <c r="A384">
        <v>764</v>
      </c>
      <c r="B384" s="3">
        <v>3.3983333333333334</v>
      </c>
    </row>
    <row r="385" spans="1:2" x14ac:dyDescent="0.25">
      <c r="A385">
        <v>766</v>
      </c>
      <c r="B385" s="3">
        <v>3.3980499999999996</v>
      </c>
    </row>
    <row r="386" spans="1:2" x14ac:dyDescent="0.25">
      <c r="A386">
        <v>768</v>
      </c>
      <c r="B386" s="3">
        <v>3.39785</v>
      </c>
    </row>
    <row r="387" spans="1:2" x14ac:dyDescent="0.25">
      <c r="A387">
        <v>770</v>
      </c>
      <c r="B387" s="3">
        <v>3.3975333333333335</v>
      </c>
    </row>
    <row r="388" spans="1:2" x14ac:dyDescent="0.25">
      <c r="A388">
        <v>772</v>
      </c>
      <c r="B388" s="3">
        <v>3.3974499999999996</v>
      </c>
    </row>
    <row r="389" spans="1:2" x14ac:dyDescent="0.25">
      <c r="A389">
        <v>774</v>
      </c>
      <c r="B389" s="3">
        <v>3.397216666666667</v>
      </c>
    </row>
    <row r="390" spans="1:2" x14ac:dyDescent="0.25">
      <c r="A390">
        <v>776</v>
      </c>
      <c r="B390" s="3">
        <v>3.3968666666666674</v>
      </c>
    </row>
    <row r="391" spans="1:2" x14ac:dyDescent="0.25">
      <c r="A391">
        <v>778</v>
      </c>
      <c r="B391" s="3">
        <v>3.3964833333333337</v>
      </c>
    </row>
    <row r="392" spans="1:2" x14ac:dyDescent="0.25">
      <c r="A392">
        <v>780</v>
      </c>
      <c r="B392" s="3">
        <v>3.3960500000000002</v>
      </c>
    </row>
    <row r="393" spans="1:2" x14ac:dyDescent="0.25">
      <c r="A393">
        <v>782</v>
      </c>
      <c r="B393" s="3">
        <v>3.3958333333333335</v>
      </c>
    </row>
    <row r="394" spans="1:2" x14ac:dyDescent="0.25">
      <c r="A394">
        <v>784</v>
      </c>
      <c r="B394" s="3">
        <v>3.3956833333333338</v>
      </c>
    </row>
    <row r="395" spans="1:2" x14ac:dyDescent="0.25">
      <c r="A395">
        <v>786</v>
      </c>
      <c r="B395" s="3">
        <v>3.3956333333333331</v>
      </c>
    </row>
    <row r="396" spans="1:2" x14ac:dyDescent="0.25">
      <c r="A396">
        <v>788</v>
      </c>
      <c r="B396" s="3">
        <v>3.3955000000000002</v>
      </c>
    </row>
    <row r="397" spans="1:2" x14ac:dyDescent="0.25">
      <c r="A397">
        <v>790</v>
      </c>
      <c r="B397" s="3">
        <v>3.3953333333333329</v>
      </c>
    </row>
    <row r="398" spans="1:2" x14ac:dyDescent="0.25">
      <c r="A398">
        <v>792</v>
      </c>
      <c r="B398" s="3">
        <v>3.3951166666666666</v>
      </c>
    </row>
    <row r="399" spans="1:2" x14ac:dyDescent="0.25">
      <c r="A399">
        <v>794</v>
      </c>
      <c r="B399" s="3">
        <v>3.3948166666666668</v>
      </c>
    </row>
    <row r="400" spans="1:2" x14ac:dyDescent="0.25">
      <c r="A400">
        <v>796</v>
      </c>
      <c r="B400" s="3">
        <v>3.3946333333333332</v>
      </c>
    </row>
    <row r="401" spans="1:2" x14ac:dyDescent="0.25">
      <c r="A401">
        <v>798</v>
      </c>
      <c r="B401" s="3">
        <v>3.3944999999999994</v>
      </c>
    </row>
    <row r="402" spans="1:2" x14ac:dyDescent="0.25">
      <c r="A402">
        <v>800</v>
      </c>
      <c r="B402" s="3">
        <v>3.3943833333333333</v>
      </c>
    </row>
    <row r="403" spans="1:2" x14ac:dyDescent="0.25">
      <c r="A403">
        <v>802</v>
      </c>
      <c r="B403" s="3">
        <v>3.3941499999999998</v>
      </c>
    </row>
    <row r="404" spans="1:2" x14ac:dyDescent="0.25">
      <c r="A404">
        <v>804</v>
      </c>
      <c r="B404" s="3">
        <v>3.3938499999999991</v>
      </c>
    </row>
    <row r="405" spans="1:2" x14ac:dyDescent="0.25">
      <c r="A405">
        <v>806</v>
      </c>
      <c r="B405" s="3">
        <v>3.3936833333333336</v>
      </c>
    </row>
    <row r="406" spans="1:2" x14ac:dyDescent="0.25">
      <c r="A406">
        <v>808</v>
      </c>
      <c r="B406" s="3">
        <v>3.3936166666666665</v>
      </c>
    </row>
    <row r="407" spans="1:2" x14ac:dyDescent="0.25">
      <c r="A407">
        <v>810</v>
      </c>
      <c r="B407" s="3">
        <v>3.3932333333333333</v>
      </c>
    </row>
    <row r="408" spans="1:2" x14ac:dyDescent="0.25">
      <c r="A408">
        <v>812</v>
      </c>
      <c r="B408" s="3">
        <v>3.3930333333333333</v>
      </c>
    </row>
    <row r="409" spans="1:2" x14ac:dyDescent="0.25">
      <c r="A409">
        <v>814</v>
      </c>
      <c r="B409" s="3">
        <v>3.3930000000000002</v>
      </c>
    </row>
    <row r="410" spans="1:2" x14ac:dyDescent="0.25">
      <c r="A410">
        <v>816</v>
      </c>
      <c r="B410" s="3">
        <v>3.3928333333333334</v>
      </c>
    </row>
    <row r="411" spans="1:2" x14ac:dyDescent="0.25">
      <c r="A411">
        <v>818</v>
      </c>
      <c r="B411" s="3">
        <v>3.3925833333333331</v>
      </c>
    </row>
    <row r="412" spans="1:2" x14ac:dyDescent="0.25">
      <c r="A412">
        <v>820</v>
      </c>
      <c r="B412" s="3">
        <v>3.3923999999999999</v>
      </c>
    </row>
    <row r="413" spans="1:2" x14ac:dyDescent="0.25">
      <c r="A413">
        <v>822</v>
      </c>
      <c r="B413" s="3">
        <v>3.3922166666666667</v>
      </c>
    </row>
    <row r="414" spans="1:2" x14ac:dyDescent="0.25">
      <c r="A414">
        <v>824</v>
      </c>
      <c r="B414" s="3">
        <v>3.3920666666666666</v>
      </c>
    </row>
    <row r="415" spans="1:2" x14ac:dyDescent="0.25">
      <c r="A415">
        <v>826</v>
      </c>
      <c r="B415" s="3">
        <v>3.3920166666666667</v>
      </c>
    </row>
    <row r="416" spans="1:2" x14ac:dyDescent="0.25">
      <c r="A416">
        <v>828</v>
      </c>
      <c r="B416" s="3">
        <v>3.391833333333333</v>
      </c>
    </row>
    <row r="417" spans="1:2" x14ac:dyDescent="0.25">
      <c r="A417">
        <v>830</v>
      </c>
      <c r="B417" s="3">
        <v>3.3917333333333333</v>
      </c>
    </row>
    <row r="418" spans="1:2" x14ac:dyDescent="0.25">
      <c r="A418">
        <v>832</v>
      </c>
      <c r="B418" s="3">
        <v>3.3915166666666665</v>
      </c>
    </row>
    <row r="419" spans="1:2" x14ac:dyDescent="0.25">
      <c r="A419">
        <v>834</v>
      </c>
      <c r="B419" s="3">
        <v>3.3914166666666663</v>
      </c>
    </row>
    <row r="420" spans="1:2" x14ac:dyDescent="0.25">
      <c r="A420">
        <v>836</v>
      </c>
      <c r="B420" s="3">
        <v>3.3912666666666667</v>
      </c>
    </row>
    <row r="421" spans="1:2" x14ac:dyDescent="0.25">
      <c r="A421">
        <v>838</v>
      </c>
      <c r="B421" s="3">
        <v>3.3910333333333331</v>
      </c>
    </row>
    <row r="422" spans="1:2" x14ac:dyDescent="0.25">
      <c r="A422">
        <v>840</v>
      </c>
      <c r="B422" s="3">
        <v>3.3908666666666671</v>
      </c>
    </row>
    <row r="423" spans="1:2" x14ac:dyDescent="0.25">
      <c r="A423">
        <v>842</v>
      </c>
      <c r="B423" s="3">
        <v>3.3906500000000004</v>
      </c>
    </row>
    <row r="424" spans="1:2" x14ac:dyDescent="0.25">
      <c r="A424">
        <v>844</v>
      </c>
      <c r="B424" s="3">
        <v>3.3906500000000004</v>
      </c>
    </row>
    <row r="425" spans="1:2" x14ac:dyDescent="0.25">
      <c r="A425">
        <v>846</v>
      </c>
      <c r="B425" s="3">
        <v>3.3905000000000007</v>
      </c>
    </row>
    <row r="426" spans="1:2" x14ac:dyDescent="0.25">
      <c r="A426">
        <v>848</v>
      </c>
      <c r="B426" s="3">
        <v>3.3904000000000001</v>
      </c>
    </row>
    <row r="427" spans="1:2" x14ac:dyDescent="0.25">
      <c r="A427">
        <v>850</v>
      </c>
      <c r="B427" s="3">
        <v>3.3902666666666668</v>
      </c>
    </row>
    <row r="428" spans="1:2" x14ac:dyDescent="0.25">
      <c r="A428">
        <v>852</v>
      </c>
      <c r="B428" s="3">
        <v>3.3902000000000001</v>
      </c>
    </row>
    <row r="429" spans="1:2" x14ac:dyDescent="0.25">
      <c r="A429">
        <v>854</v>
      </c>
      <c r="B429" s="3">
        <v>3.3900166666666665</v>
      </c>
    </row>
    <row r="430" spans="1:2" x14ac:dyDescent="0.25">
      <c r="A430">
        <v>856</v>
      </c>
      <c r="B430" s="3">
        <v>3.3898833333333336</v>
      </c>
    </row>
    <row r="431" spans="1:2" x14ac:dyDescent="0.25">
      <c r="A431">
        <v>858</v>
      </c>
      <c r="B431" s="3">
        <v>3.3896999999999999</v>
      </c>
    </row>
    <row r="432" spans="1:2" x14ac:dyDescent="0.25">
      <c r="A432">
        <v>860</v>
      </c>
      <c r="B432" s="3">
        <v>3.3895499999999998</v>
      </c>
    </row>
    <row r="433" spans="1:2" x14ac:dyDescent="0.25">
      <c r="A433">
        <v>862</v>
      </c>
      <c r="B433" s="3">
        <v>3.3894000000000002</v>
      </c>
    </row>
    <row r="434" spans="1:2" x14ac:dyDescent="0.25">
      <c r="A434">
        <v>864</v>
      </c>
      <c r="B434" s="3">
        <v>3.3892833333333336</v>
      </c>
    </row>
    <row r="435" spans="1:2" x14ac:dyDescent="0.25">
      <c r="A435">
        <v>866</v>
      </c>
      <c r="B435" s="3">
        <v>3.3891500000000003</v>
      </c>
    </row>
    <row r="436" spans="1:2" x14ac:dyDescent="0.25">
      <c r="A436">
        <v>868</v>
      </c>
      <c r="B436" s="3">
        <v>3.3890166666666666</v>
      </c>
    </row>
    <row r="437" spans="1:2" x14ac:dyDescent="0.25">
      <c r="A437">
        <v>870</v>
      </c>
      <c r="B437" s="3">
        <v>3.3889333333333336</v>
      </c>
    </row>
    <row r="438" spans="1:2" x14ac:dyDescent="0.25">
      <c r="A438">
        <v>872</v>
      </c>
      <c r="B438" s="3">
        <v>3.3888500000000001</v>
      </c>
    </row>
    <row r="439" spans="1:2" x14ac:dyDescent="0.25">
      <c r="A439">
        <v>874</v>
      </c>
      <c r="B439" s="3">
        <v>3.3887499999999999</v>
      </c>
    </row>
    <row r="440" spans="1:2" x14ac:dyDescent="0.25">
      <c r="A440">
        <v>876</v>
      </c>
      <c r="B440" s="3">
        <v>3.3885999999999998</v>
      </c>
    </row>
    <row r="441" spans="1:2" x14ac:dyDescent="0.25">
      <c r="A441">
        <v>878</v>
      </c>
      <c r="B441" s="3">
        <v>3.3885166666666664</v>
      </c>
    </row>
    <row r="442" spans="1:2" x14ac:dyDescent="0.25">
      <c r="A442">
        <v>880</v>
      </c>
      <c r="B442" s="3">
        <v>3.3883666666666667</v>
      </c>
    </row>
    <row r="443" spans="1:2" x14ac:dyDescent="0.25">
      <c r="A443">
        <v>882</v>
      </c>
      <c r="B443" s="3">
        <v>3.3882166666666667</v>
      </c>
    </row>
    <row r="444" spans="1:2" x14ac:dyDescent="0.25">
      <c r="A444">
        <v>884</v>
      </c>
      <c r="B444" s="3">
        <v>3.3881000000000001</v>
      </c>
    </row>
    <row r="445" spans="1:2" x14ac:dyDescent="0.25">
      <c r="A445">
        <v>886</v>
      </c>
      <c r="B445" s="3">
        <v>3.388033333333333</v>
      </c>
    </row>
    <row r="446" spans="1:2" x14ac:dyDescent="0.25">
      <c r="A446">
        <v>888</v>
      </c>
      <c r="B446" s="3">
        <v>3.3879333333333332</v>
      </c>
    </row>
    <row r="447" spans="1:2" x14ac:dyDescent="0.25">
      <c r="A447">
        <v>890</v>
      </c>
      <c r="B447" s="3">
        <v>3.3877833333333331</v>
      </c>
    </row>
    <row r="448" spans="1:2" x14ac:dyDescent="0.25">
      <c r="A448">
        <v>892</v>
      </c>
      <c r="B448" s="3">
        <v>3.3876000000000004</v>
      </c>
    </row>
    <row r="449" spans="1:2" x14ac:dyDescent="0.25">
      <c r="A449">
        <v>894</v>
      </c>
      <c r="B449" s="3">
        <v>3.3873666666666664</v>
      </c>
    </row>
    <row r="450" spans="1:2" x14ac:dyDescent="0.25">
      <c r="A450">
        <v>896</v>
      </c>
      <c r="B450" s="3">
        <v>3.3871333333333333</v>
      </c>
    </row>
    <row r="451" spans="1:2" x14ac:dyDescent="0.25">
      <c r="A451">
        <v>898</v>
      </c>
      <c r="B451" s="3">
        <v>3.3868666666666667</v>
      </c>
    </row>
    <row r="452" spans="1:2" x14ac:dyDescent="0.25">
      <c r="A452">
        <v>900</v>
      </c>
      <c r="B452" s="3">
        <v>3.3865833333333337</v>
      </c>
    </row>
    <row r="453" spans="1:2" x14ac:dyDescent="0.25">
      <c r="A453">
        <v>902</v>
      </c>
      <c r="B453" s="3">
        <v>3.3864666666666672</v>
      </c>
    </row>
    <row r="454" spans="1:2" x14ac:dyDescent="0.25">
      <c r="A454">
        <v>904</v>
      </c>
      <c r="B454" s="3">
        <v>3.3862833333333335</v>
      </c>
    </row>
    <row r="455" spans="1:2" x14ac:dyDescent="0.25">
      <c r="A455">
        <v>906</v>
      </c>
      <c r="B455" s="3">
        <v>3.3860166666666669</v>
      </c>
    </row>
    <row r="456" spans="1:2" x14ac:dyDescent="0.25">
      <c r="A456">
        <v>908</v>
      </c>
      <c r="B456" s="3">
        <v>3.3857500000000003</v>
      </c>
    </row>
    <row r="457" spans="1:2" x14ac:dyDescent="0.25">
      <c r="A457">
        <v>910</v>
      </c>
      <c r="B457" s="3">
        <v>3.3855000000000004</v>
      </c>
    </row>
    <row r="458" spans="1:2" x14ac:dyDescent="0.25">
      <c r="A458">
        <v>912</v>
      </c>
      <c r="B458" s="3">
        <v>3.3851499999999999</v>
      </c>
    </row>
    <row r="459" spans="1:2" x14ac:dyDescent="0.25">
      <c r="A459">
        <v>914</v>
      </c>
      <c r="B459" s="3">
        <v>3.3850166666666666</v>
      </c>
    </row>
    <row r="460" spans="1:2" x14ac:dyDescent="0.25">
      <c r="A460">
        <v>916</v>
      </c>
      <c r="B460" s="3">
        <v>3.3848333333333334</v>
      </c>
    </row>
    <row r="461" spans="1:2" x14ac:dyDescent="0.25">
      <c r="A461">
        <v>918</v>
      </c>
      <c r="B461" s="3">
        <v>3.3845499999999995</v>
      </c>
    </row>
    <row r="462" spans="1:2" x14ac:dyDescent="0.25">
      <c r="A462">
        <v>920</v>
      </c>
      <c r="B462" s="3">
        <v>3.3843333333333336</v>
      </c>
    </row>
    <row r="463" spans="1:2" x14ac:dyDescent="0.25">
      <c r="A463">
        <v>922</v>
      </c>
      <c r="B463" s="3">
        <v>3.3842166666666667</v>
      </c>
    </row>
    <row r="464" spans="1:2" x14ac:dyDescent="0.25">
      <c r="A464">
        <v>924</v>
      </c>
      <c r="B464" s="3">
        <v>3.3841000000000001</v>
      </c>
    </row>
    <row r="465" spans="1:2" x14ac:dyDescent="0.25">
      <c r="A465">
        <v>926</v>
      </c>
      <c r="B465" s="3">
        <v>3.38395</v>
      </c>
    </row>
    <row r="466" spans="1:2" x14ac:dyDescent="0.25">
      <c r="A466">
        <v>928</v>
      </c>
      <c r="B466" s="3">
        <v>3.383833333333333</v>
      </c>
    </row>
    <row r="467" spans="1:2" x14ac:dyDescent="0.25">
      <c r="A467">
        <v>930</v>
      </c>
      <c r="B467" s="3">
        <v>3.3837333333333333</v>
      </c>
    </row>
    <row r="468" spans="1:2" x14ac:dyDescent="0.25">
      <c r="A468">
        <v>932</v>
      </c>
      <c r="B468" s="3">
        <v>3.383483333333333</v>
      </c>
    </row>
    <row r="469" spans="1:2" x14ac:dyDescent="0.25">
      <c r="A469">
        <v>934</v>
      </c>
      <c r="B469" s="3">
        <v>3.3831833333333332</v>
      </c>
    </row>
    <row r="470" spans="1:2" x14ac:dyDescent="0.25">
      <c r="A470">
        <v>936</v>
      </c>
      <c r="B470" s="3">
        <v>3.3828333333333336</v>
      </c>
    </row>
    <row r="471" spans="1:2" x14ac:dyDescent="0.25">
      <c r="A471">
        <v>938</v>
      </c>
      <c r="B471" s="3">
        <v>3.3824833333333331</v>
      </c>
    </row>
    <row r="472" spans="1:2" x14ac:dyDescent="0.25">
      <c r="A472">
        <v>940</v>
      </c>
      <c r="B472" s="3">
        <v>3.3823166666666666</v>
      </c>
    </row>
    <row r="473" spans="1:2" x14ac:dyDescent="0.25">
      <c r="A473">
        <v>942</v>
      </c>
      <c r="B473" s="3">
        <v>3.3820666666666668</v>
      </c>
    </row>
    <row r="474" spans="1:2" x14ac:dyDescent="0.25">
      <c r="A474">
        <v>944</v>
      </c>
      <c r="B474" s="3">
        <v>3.38185</v>
      </c>
    </row>
    <row r="475" spans="1:2" x14ac:dyDescent="0.25">
      <c r="A475">
        <v>946</v>
      </c>
      <c r="B475" s="3">
        <v>3.381733333333333</v>
      </c>
    </row>
    <row r="476" spans="1:2" x14ac:dyDescent="0.25">
      <c r="A476">
        <v>948</v>
      </c>
      <c r="B476" s="3">
        <v>3.3815666666666666</v>
      </c>
    </row>
    <row r="477" spans="1:2" x14ac:dyDescent="0.25">
      <c r="A477">
        <v>950</v>
      </c>
      <c r="B477" s="3">
        <v>3.3812500000000001</v>
      </c>
    </row>
    <row r="478" spans="1:2" x14ac:dyDescent="0.25">
      <c r="A478">
        <v>952</v>
      </c>
      <c r="B478" s="3">
        <v>3.3811666666666671</v>
      </c>
    </row>
    <row r="479" spans="1:2" x14ac:dyDescent="0.25">
      <c r="A479">
        <v>954</v>
      </c>
      <c r="B479" s="3">
        <v>3.3810000000000002</v>
      </c>
    </row>
    <row r="480" spans="1:2" x14ac:dyDescent="0.25">
      <c r="A480">
        <v>956</v>
      </c>
      <c r="B480" s="3">
        <v>3.3807833333333335</v>
      </c>
    </row>
    <row r="481" spans="1:2" x14ac:dyDescent="0.25">
      <c r="A481">
        <v>958</v>
      </c>
      <c r="B481" s="3">
        <v>3.3806833333333333</v>
      </c>
    </row>
    <row r="482" spans="1:2" x14ac:dyDescent="0.25">
      <c r="A482">
        <v>960</v>
      </c>
      <c r="B482" s="3">
        <v>3.3806666666666665</v>
      </c>
    </row>
    <row r="483" spans="1:2" x14ac:dyDescent="0.25">
      <c r="A483">
        <v>962</v>
      </c>
      <c r="B483" s="3">
        <v>3.3805333333333336</v>
      </c>
    </row>
    <row r="484" spans="1:2" x14ac:dyDescent="0.25">
      <c r="A484">
        <v>964</v>
      </c>
      <c r="B484" s="3">
        <v>3.38015</v>
      </c>
    </row>
    <row r="485" spans="1:2" x14ac:dyDescent="0.25">
      <c r="A485">
        <v>966</v>
      </c>
      <c r="B485" s="3">
        <v>3.3798499999999998</v>
      </c>
    </row>
    <row r="486" spans="1:2" x14ac:dyDescent="0.25">
      <c r="A486">
        <v>968</v>
      </c>
      <c r="B486" s="3">
        <v>3.3795833333333332</v>
      </c>
    </row>
    <row r="487" spans="1:2" x14ac:dyDescent="0.25">
      <c r="A487">
        <v>970</v>
      </c>
      <c r="B487" s="3">
        <v>3.3794333333333335</v>
      </c>
    </row>
    <row r="488" spans="1:2" x14ac:dyDescent="0.25">
      <c r="A488">
        <v>972</v>
      </c>
      <c r="B488" s="3">
        <v>3.3792500000000003</v>
      </c>
    </row>
    <row r="489" spans="1:2" x14ac:dyDescent="0.25">
      <c r="A489">
        <v>974</v>
      </c>
      <c r="B489" s="3">
        <v>3.3791500000000005</v>
      </c>
    </row>
    <row r="490" spans="1:2" x14ac:dyDescent="0.25">
      <c r="A490">
        <v>976</v>
      </c>
      <c r="B490" s="3">
        <v>3.3790166666666668</v>
      </c>
    </row>
    <row r="491" spans="1:2" x14ac:dyDescent="0.25">
      <c r="A491">
        <v>978</v>
      </c>
      <c r="B491" s="3">
        <v>3.3787500000000001</v>
      </c>
    </row>
    <row r="492" spans="1:2" x14ac:dyDescent="0.25">
      <c r="A492">
        <v>980</v>
      </c>
      <c r="B492" s="3">
        <v>3.3785833333333333</v>
      </c>
    </row>
    <row r="493" spans="1:2" x14ac:dyDescent="0.25">
      <c r="A493">
        <v>982</v>
      </c>
      <c r="B493" s="3">
        <v>3.3784166666666668</v>
      </c>
    </row>
    <row r="494" spans="1:2" x14ac:dyDescent="0.25">
      <c r="A494">
        <v>984</v>
      </c>
      <c r="B494" s="3">
        <v>3.378283333333334</v>
      </c>
    </row>
    <row r="495" spans="1:2" x14ac:dyDescent="0.25">
      <c r="A495">
        <v>986</v>
      </c>
      <c r="B495" s="3">
        <v>3.3779833333333333</v>
      </c>
    </row>
    <row r="496" spans="1:2" x14ac:dyDescent="0.25">
      <c r="A496">
        <v>988</v>
      </c>
      <c r="B496" s="3">
        <v>3.37812</v>
      </c>
    </row>
    <row r="497" spans="1:2" x14ac:dyDescent="0.25">
      <c r="A497">
        <v>990</v>
      </c>
      <c r="B497" s="3">
        <v>3.3779600000000003</v>
      </c>
    </row>
    <row r="498" spans="1:2" x14ac:dyDescent="0.25">
      <c r="A498">
        <v>992</v>
      </c>
      <c r="B498" s="3">
        <v>3.3778800000000002</v>
      </c>
    </row>
    <row r="499" spans="1:2" x14ac:dyDescent="0.25">
      <c r="A499">
        <v>994</v>
      </c>
      <c r="B499" s="3">
        <v>3.3776000000000002</v>
      </c>
    </row>
    <row r="500" spans="1:2" x14ac:dyDescent="0.25">
      <c r="A500">
        <v>996</v>
      </c>
      <c r="B500" s="3">
        <v>3.37738</v>
      </c>
    </row>
    <row r="501" spans="1:2" x14ac:dyDescent="0.25">
      <c r="A501">
        <v>998</v>
      </c>
      <c r="B501" s="3">
        <v>3.3771399999999998</v>
      </c>
    </row>
    <row r="502" spans="1:2" x14ac:dyDescent="0.25">
      <c r="A502">
        <v>1000</v>
      </c>
      <c r="B502" s="3">
        <v>3.3769800000000005</v>
      </c>
    </row>
    <row r="503" spans="1:2" x14ac:dyDescent="0.25">
      <c r="A503">
        <v>1002</v>
      </c>
      <c r="B503" s="3">
        <v>3.3768599999999998</v>
      </c>
    </row>
    <row r="504" spans="1:2" x14ac:dyDescent="0.25">
      <c r="A504">
        <v>1004</v>
      </c>
      <c r="B504" s="3">
        <v>3.3765799999999997</v>
      </c>
    </row>
    <row r="505" spans="1:2" x14ac:dyDescent="0.25">
      <c r="A505">
        <v>1006</v>
      </c>
      <c r="B505" s="3">
        <v>3.3762999999999996</v>
      </c>
    </row>
    <row r="506" spans="1:2" x14ac:dyDescent="0.25">
      <c r="A506">
        <v>1008</v>
      </c>
      <c r="B506" s="3">
        <v>3.3762999999999996</v>
      </c>
    </row>
    <row r="507" spans="1:2" x14ac:dyDescent="0.25">
      <c r="A507">
        <v>1010</v>
      </c>
      <c r="B507" s="3">
        <v>3.3762800000000004</v>
      </c>
    </row>
    <row r="508" spans="1:2" x14ac:dyDescent="0.25">
      <c r="A508">
        <v>1012</v>
      </c>
      <c r="B508" s="3">
        <v>3.3761800000000002</v>
      </c>
    </row>
    <row r="509" spans="1:2" x14ac:dyDescent="0.25">
      <c r="A509">
        <v>1014</v>
      </c>
      <c r="B509" s="3">
        <v>3.3758600000000003</v>
      </c>
    </row>
    <row r="510" spans="1:2" x14ac:dyDescent="0.25">
      <c r="A510">
        <v>1016</v>
      </c>
      <c r="B510" s="3">
        <v>3.37568</v>
      </c>
    </row>
    <row r="511" spans="1:2" x14ac:dyDescent="0.25">
      <c r="A511">
        <v>1018</v>
      </c>
      <c r="B511" s="3">
        <v>3.3755999999999999</v>
      </c>
    </row>
    <row r="512" spans="1:2" x14ac:dyDescent="0.25">
      <c r="A512">
        <v>1020</v>
      </c>
      <c r="B512" s="3">
        <v>3.3754400000000002</v>
      </c>
    </row>
    <row r="513" spans="1:2" x14ac:dyDescent="0.25">
      <c r="A513">
        <v>1022</v>
      </c>
      <c r="B513" s="3">
        <v>3.3751399999999996</v>
      </c>
    </row>
    <row r="514" spans="1:2" x14ac:dyDescent="0.25">
      <c r="A514">
        <v>1024</v>
      </c>
      <c r="B514" s="3">
        <v>3.3750399999999998</v>
      </c>
    </row>
    <row r="515" spans="1:2" x14ac:dyDescent="0.25">
      <c r="A515">
        <v>1026</v>
      </c>
      <c r="B515" s="3">
        <v>3.3750799999999996</v>
      </c>
    </row>
    <row r="516" spans="1:2" x14ac:dyDescent="0.25">
      <c r="A516">
        <v>1028</v>
      </c>
      <c r="B516" s="3">
        <v>3.3749799999999999</v>
      </c>
    </row>
    <row r="517" spans="1:2" x14ac:dyDescent="0.25">
      <c r="A517">
        <v>1030</v>
      </c>
      <c r="B517" s="3">
        <v>3.3748399999999998</v>
      </c>
    </row>
    <row r="518" spans="1:2" x14ac:dyDescent="0.25">
      <c r="A518">
        <v>1032</v>
      </c>
      <c r="B518" s="3">
        <v>3.3747199999999999</v>
      </c>
    </row>
    <row r="519" spans="1:2" x14ac:dyDescent="0.25">
      <c r="A519">
        <v>1034</v>
      </c>
      <c r="B519" s="3">
        <v>3.3747600000000006</v>
      </c>
    </row>
    <row r="520" spans="1:2" x14ac:dyDescent="0.25">
      <c r="A520">
        <v>1036</v>
      </c>
      <c r="B520" s="3">
        <v>3.3745599999999998</v>
      </c>
    </row>
    <row r="521" spans="1:2" x14ac:dyDescent="0.25">
      <c r="A521">
        <v>1038</v>
      </c>
      <c r="B521" s="3">
        <v>3.3743600000000002</v>
      </c>
    </row>
    <row r="522" spans="1:2" x14ac:dyDescent="0.25">
      <c r="A522">
        <v>1040</v>
      </c>
      <c r="B522" s="3">
        <v>3.37418</v>
      </c>
    </row>
    <row r="523" spans="1:2" x14ac:dyDescent="0.25">
      <c r="A523">
        <v>1042</v>
      </c>
      <c r="B523" s="3">
        <v>3.3740200000000002</v>
      </c>
    </row>
    <row r="524" spans="1:2" x14ac:dyDescent="0.25">
      <c r="A524">
        <v>1044</v>
      </c>
      <c r="B524" s="3">
        <v>3.3738799999999998</v>
      </c>
    </row>
    <row r="525" spans="1:2" x14ac:dyDescent="0.25">
      <c r="A525">
        <v>1046</v>
      </c>
      <c r="B525" s="3">
        <v>3.3736799999999993</v>
      </c>
    </row>
    <row r="526" spans="1:2" x14ac:dyDescent="0.25">
      <c r="A526">
        <v>1048</v>
      </c>
      <c r="B526" s="3">
        <v>3.37344</v>
      </c>
    </row>
    <row r="527" spans="1:2" x14ac:dyDescent="0.25">
      <c r="A527">
        <v>1050</v>
      </c>
      <c r="B527" s="3">
        <v>3.37324</v>
      </c>
    </row>
    <row r="528" spans="1:2" x14ac:dyDescent="0.25">
      <c r="A528">
        <v>1052</v>
      </c>
      <c r="B528" s="3">
        <v>3.3730000000000002</v>
      </c>
    </row>
    <row r="529" spans="1:2" x14ac:dyDescent="0.25">
      <c r="A529">
        <v>1054</v>
      </c>
      <c r="B529" s="3">
        <v>3.3728400000000001</v>
      </c>
    </row>
    <row r="530" spans="1:2" x14ac:dyDescent="0.25">
      <c r="A530">
        <v>1056</v>
      </c>
      <c r="B530" s="3">
        <v>3.3726800000000003</v>
      </c>
    </row>
    <row r="531" spans="1:2" x14ac:dyDescent="0.25">
      <c r="A531">
        <v>1058</v>
      </c>
      <c r="B531" s="3">
        <v>3.3725200000000002</v>
      </c>
    </row>
    <row r="532" spans="1:2" x14ac:dyDescent="0.25">
      <c r="A532">
        <v>1060</v>
      </c>
      <c r="B532" s="3">
        <v>3.3724800000000004</v>
      </c>
    </row>
    <row r="533" spans="1:2" x14ac:dyDescent="0.25">
      <c r="A533">
        <v>1062</v>
      </c>
      <c r="B533" s="3">
        <v>3.3723400000000003</v>
      </c>
    </row>
    <row r="534" spans="1:2" x14ac:dyDescent="0.25">
      <c r="A534">
        <v>1064</v>
      </c>
      <c r="B534" s="3">
        <v>3.3722599999999998</v>
      </c>
    </row>
    <row r="535" spans="1:2" x14ac:dyDescent="0.25">
      <c r="A535">
        <v>1066</v>
      </c>
      <c r="B535" s="3">
        <v>3.3720800000000004</v>
      </c>
    </row>
    <row r="536" spans="1:2" x14ac:dyDescent="0.25">
      <c r="A536">
        <v>1068</v>
      </c>
      <c r="B536" s="3">
        <v>3.37174</v>
      </c>
    </row>
    <row r="537" spans="1:2" x14ac:dyDescent="0.25">
      <c r="A537">
        <v>1070</v>
      </c>
      <c r="B537" s="3">
        <v>3.3717199999999998</v>
      </c>
    </row>
    <row r="538" spans="1:2" x14ac:dyDescent="0.25">
      <c r="A538">
        <v>1072</v>
      </c>
      <c r="B538" s="3">
        <v>3.3714999999999997</v>
      </c>
    </row>
    <row r="539" spans="1:2" x14ac:dyDescent="0.25">
      <c r="A539">
        <v>1074</v>
      </c>
      <c r="B539" s="3">
        <v>3.3711999999999995</v>
      </c>
    </row>
    <row r="540" spans="1:2" x14ac:dyDescent="0.25">
      <c r="A540">
        <v>1076</v>
      </c>
      <c r="B540" s="3">
        <v>3.3708399999999998</v>
      </c>
    </row>
    <row r="541" spans="1:2" x14ac:dyDescent="0.25">
      <c r="A541">
        <v>1078</v>
      </c>
      <c r="B541" s="3">
        <v>3.3705400000000005</v>
      </c>
    </row>
    <row r="542" spans="1:2" x14ac:dyDescent="0.25">
      <c r="A542">
        <v>1080</v>
      </c>
      <c r="B542" s="3">
        <v>3.3703799999999999</v>
      </c>
    </row>
    <row r="543" spans="1:2" x14ac:dyDescent="0.25">
      <c r="A543">
        <v>1082</v>
      </c>
      <c r="B543" s="3">
        <v>3.3701599999999998</v>
      </c>
    </row>
    <row r="544" spans="1:2" x14ac:dyDescent="0.25">
      <c r="A544">
        <v>1084</v>
      </c>
      <c r="B544" s="3">
        <v>3.3700199999999993</v>
      </c>
    </row>
    <row r="545" spans="1:2" x14ac:dyDescent="0.25">
      <c r="A545">
        <v>1086</v>
      </c>
      <c r="B545" s="3">
        <v>3.3698000000000001</v>
      </c>
    </row>
    <row r="546" spans="1:2" x14ac:dyDescent="0.25">
      <c r="A546">
        <v>1088</v>
      </c>
      <c r="B546" s="3">
        <v>3.36972</v>
      </c>
    </row>
    <row r="547" spans="1:2" x14ac:dyDescent="0.25">
      <c r="A547">
        <v>1090</v>
      </c>
      <c r="B547" s="3">
        <v>3.3695399999999998</v>
      </c>
    </row>
    <row r="548" spans="1:2" x14ac:dyDescent="0.25">
      <c r="A548">
        <v>1092</v>
      </c>
      <c r="B548" s="3">
        <v>3.3692000000000002</v>
      </c>
    </row>
    <row r="549" spans="1:2" x14ac:dyDescent="0.25">
      <c r="A549">
        <v>1094</v>
      </c>
      <c r="B549" s="3">
        <v>3.36896</v>
      </c>
    </row>
    <row r="550" spans="1:2" x14ac:dyDescent="0.25">
      <c r="A550">
        <v>1096</v>
      </c>
      <c r="B550" s="3">
        <v>3.3688000000000002</v>
      </c>
    </row>
    <row r="551" spans="1:2" x14ac:dyDescent="0.25">
      <c r="A551">
        <v>1098</v>
      </c>
      <c r="B551" s="3">
        <v>3.3686799999999999</v>
      </c>
    </row>
    <row r="552" spans="1:2" x14ac:dyDescent="0.25">
      <c r="A552">
        <v>1100</v>
      </c>
      <c r="B552" s="3">
        <v>3.3684399999999997</v>
      </c>
    </row>
    <row r="553" spans="1:2" x14ac:dyDescent="0.25">
      <c r="A553">
        <v>1102</v>
      </c>
      <c r="B553" s="3">
        <v>3.3682400000000001</v>
      </c>
    </row>
    <row r="554" spans="1:2" x14ac:dyDescent="0.25">
      <c r="A554">
        <v>1104</v>
      </c>
      <c r="B554" s="3">
        <v>3.36802</v>
      </c>
    </row>
    <row r="555" spans="1:2" x14ac:dyDescent="0.25">
      <c r="A555">
        <v>1106</v>
      </c>
      <c r="B555" s="3">
        <v>3.36768</v>
      </c>
    </row>
    <row r="556" spans="1:2" x14ac:dyDescent="0.25">
      <c r="A556">
        <v>1108</v>
      </c>
      <c r="B556" s="3">
        <v>3.3673600000000001</v>
      </c>
    </row>
    <row r="557" spans="1:2" x14ac:dyDescent="0.25">
      <c r="A557">
        <v>1110</v>
      </c>
      <c r="B557" s="3">
        <v>3.3670200000000001</v>
      </c>
    </row>
    <row r="558" spans="1:2" x14ac:dyDescent="0.25">
      <c r="A558">
        <v>1112</v>
      </c>
      <c r="B558" s="3">
        <v>3.3665999999999996</v>
      </c>
    </row>
    <row r="559" spans="1:2" x14ac:dyDescent="0.25">
      <c r="A559">
        <v>1114</v>
      </c>
      <c r="B559" s="3">
        <v>3.3661799999999999</v>
      </c>
    </row>
    <row r="560" spans="1:2" x14ac:dyDescent="0.25">
      <c r="A560">
        <v>1116</v>
      </c>
      <c r="B560" s="3">
        <v>3.3658799999999998</v>
      </c>
    </row>
    <row r="561" spans="1:2" x14ac:dyDescent="0.25">
      <c r="A561">
        <v>1118</v>
      </c>
      <c r="B561" s="3">
        <v>3.3655599999999999</v>
      </c>
    </row>
    <row r="562" spans="1:2" x14ac:dyDescent="0.25">
      <c r="A562">
        <v>1120</v>
      </c>
      <c r="B562" s="3">
        <v>3.3654000000000002</v>
      </c>
    </row>
    <row r="563" spans="1:2" x14ac:dyDescent="0.25">
      <c r="A563">
        <v>1122</v>
      </c>
      <c r="B563" s="3">
        <v>3.3653199999999996</v>
      </c>
    </row>
    <row r="564" spans="1:2" x14ac:dyDescent="0.25">
      <c r="A564">
        <v>1124</v>
      </c>
      <c r="B564" s="3">
        <v>3.3651600000000004</v>
      </c>
    </row>
    <row r="565" spans="1:2" x14ac:dyDescent="0.25">
      <c r="A565">
        <v>1126</v>
      </c>
      <c r="B565" s="3">
        <v>3.3650400000000005</v>
      </c>
    </row>
    <row r="566" spans="1:2" x14ac:dyDescent="0.25">
      <c r="A566">
        <v>1128</v>
      </c>
      <c r="B566" s="3">
        <v>3.3647999999999998</v>
      </c>
    </row>
    <row r="567" spans="1:2" x14ac:dyDescent="0.25">
      <c r="A567">
        <v>1130</v>
      </c>
      <c r="B567" s="3">
        <v>3.3645399999999994</v>
      </c>
    </row>
    <row r="568" spans="1:2" x14ac:dyDescent="0.25">
      <c r="A568">
        <v>1132</v>
      </c>
      <c r="B568" s="3">
        <v>3.3641199999999998</v>
      </c>
    </row>
    <row r="569" spans="1:2" x14ac:dyDescent="0.25">
      <c r="A569">
        <v>1134</v>
      </c>
      <c r="B569" s="3">
        <v>3.3638599999999999</v>
      </c>
    </row>
    <row r="570" spans="1:2" x14ac:dyDescent="0.25">
      <c r="A570">
        <v>1136</v>
      </c>
      <c r="B570" s="3">
        <v>3.3636000000000004</v>
      </c>
    </row>
    <row r="571" spans="1:2" x14ac:dyDescent="0.25">
      <c r="A571">
        <v>1138</v>
      </c>
      <c r="B571" s="3">
        <v>3.3632599999999995</v>
      </c>
    </row>
    <row r="572" spans="1:2" x14ac:dyDescent="0.25">
      <c r="A572">
        <v>1140</v>
      </c>
      <c r="B572" s="3">
        <v>3.3628799999999996</v>
      </c>
    </row>
    <row r="573" spans="1:2" x14ac:dyDescent="0.25">
      <c r="A573">
        <v>1142</v>
      </c>
      <c r="B573" s="3">
        <v>3.3624999999999998</v>
      </c>
    </row>
    <row r="574" spans="1:2" x14ac:dyDescent="0.25">
      <c r="A574">
        <v>1144</v>
      </c>
      <c r="B574" s="3">
        <v>3.3620200000000002</v>
      </c>
    </row>
    <row r="575" spans="1:2" x14ac:dyDescent="0.25">
      <c r="A575">
        <v>1146</v>
      </c>
      <c r="B575" s="3">
        <v>3.3618999999999999</v>
      </c>
    </row>
    <row r="576" spans="1:2" x14ac:dyDescent="0.25">
      <c r="A576">
        <v>1148</v>
      </c>
      <c r="B576" s="3">
        <v>3.36158</v>
      </c>
    </row>
    <row r="577" spans="1:2" x14ac:dyDescent="0.25">
      <c r="A577">
        <v>1150</v>
      </c>
      <c r="B577" s="3">
        <v>3.3613799999999996</v>
      </c>
    </row>
    <row r="578" spans="1:2" x14ac:dyDescent="0.25">
      <c r="A578">
        <v>1152</v>
      </c>
      <c r="B578" s="3">
        <v>3.3612000000000002</v>
      </c>
    </row>
    <row r="579" spans="1:2" x14ac:dyDescent="0.25">
      <c r="A579">
        <v>1154</v>
      </c>
      <c r="B579" s="3">
        <v>3.3609</v>
      </c>
    </row>
    <row r="580" spans="1:2" x14ac:dyDescent="0.25">
      <c r="A580">
        <v>1156</v>
      </c>
      <c r="B580" s="3">
        <v>3.3605600000000004</v>
      </c>
    </row>
    <row r="581" spans="1:2" x14ac:dyDescent="0.25">
      <c r="A581">
        <v>1158</v>
      </c>
      <c r="B581" s="3">
        <v>3.3601999999999999</v>
      </c>
    </row>
    <row r="582" spans="1:2" x14ac:dyDescent="0.25">
      <c r="A582">
        <v>1160</v>
      </c>
      <c r="B582" s="3">
        <v>3.3598800000000004</v>
      </c>
    </row>
    <row r="583" spans="1:2" x14ac:dyDescent="0.25">
      <c r="A583">
        <v>1162</v>
      </c>
      <c r="B583" s="3">
        <v>3.3593600000000001</v>
      </c>
    </row>
    <row r="584" spans="1:2" x14ac:dyDescent="0.25">
      <c r="A584">
        <v>1164</v>
      </c>
      <c r="B584" s="3">
        <v>3.3587600000000002</v>
      </c>
    </row>
    <row r="585" spans="1:2" x14ac:dyDescent="0.25">
      <c r="A585">
        <v>1166</v>
      </c>
      <c r="B585" s="3">
        <v>3.3582000000000001</v>
      </c>
    </row>
    <row r="586" spans="1:2" x14ac:dyDescent="0.25">
      <c r="A586">
        <v>1168</v>
      </c>
      <c r="B586" s="3">
        <v>3.35764</v>
      </c>
    </row>
    <row r="587" spans="1:2" x14ac:dyDescent="0.25">
      <c r="A587">
        <v>1170</v>
      </c>
      <c r="B587" s="3">
        <v>3.3571399999999998</v>
      </c>
    </row>
    <row r="588" spans="1:2" x14ac:dyDescent="0.25">
      <c r="A588">
        <v>1172</v>
      </c>
      <c r="B588" s="3">
        <v>3.3566600000000002</v>
      </c>
    </row>
    <row r="589" spans="1:2" x14ac:dyDescent="0.25">
      <c r="A589">
        <v>1174</v>
      </c>
      <c r="B589" s="3">
        <v>3.3556600000000003</v>
      </c>
    </row>
    <row r="590" spans="1:2" x14ac:dyDescent="0.25">
      <c r="A590">
        <v>1176</v>
      </c>
      <c r="B590" s="3">
        <v>3.3549999999999995</v>
      </c>
    </row>
    <row r="591" spans="1:2" x14ac:dyDescent="0.25">
      <c r="A591">
        <v>1178</v>
      </c>
      <c r="B591" s="3">
        <v>3.3546999999999998</v>
      </c>
    </row>
    <row r="592" spans="1:2" x14ac:dyDescent="0.25">
      <c r="A592">
        <v>1180</v>
      </c>
      <c r="B592" s="3">
        <v>3.3542399999999999</v>
      </c>
    </row>
    <row r="593" spans="1:2" x14ac:dyDescent="0.25">
      <c r="A593">
        <v>1182</v>
      </c>
      <c r="B593" s="3">
        <v>3.35372</v>
      </c>
    </row>
    <row r="594" spans="1:2" x14ac:dyDescent="0.25">
      <c r="A594">
        <v>1184</v>
      </c>
      <c r="B594" s="3">
        <v>3.35304</v>
      </c>
    </row>
    <row r="595" spans="1:2" x14ac:dyDescent="0.25">
      <c r="A595">
        <v>1186</v>
      </c>
      <c r="B595" s="3">
        <v>3.3517599999999996</v>
      </c>
    </row>
    <row r="596" spans="1:2" x14ac:dyDescent="0.25">
      <c r="A596">
        <v>1188</v>
      </c>
      <c r="B596" s="3">
        <v>3.3511399999999996</v>
      </c>
    </row>
    <row r="597" spans="1:2" x14ac:dyDescent="0.25">
      <c r="A597">
        <v>1190</v>
      </c>
      <c r="B597" s="3">
        <v>3.3510800000000005</v>
      </c>
    </row>
    <row r="598" spans="1:2" x14ac:dyDescent="0.25">
      <c r="A598">
        <v>1192</v>
      </c>
      <c r="B598" s="3">
        <v>3.3505200000000004</v>
      </c>
    </row>
    <row r="599" spans="1:2" x14ac:dyDescent="0.25">
      <c r="A599">
        <v>1194</v>
      </c>
      <c r="B599" s="3">
        <v>3.3490600000000001</v>
      </c>
    </row>
    <row r="600" spans="1:2" x14ac:dyDescent="0.25">
      <c r="A600">
        <v>1196</v>
      </c>
      <c r="B600" s="3">
        <v>3.3476200000000005</v>
      </c>
    </row>
    <row r="601" spans="1:2" x14ac:dyDescent="0.25">
      <c r="A601">
        <v>1198</v>
      </c>
      <c r="B601" s="3">
        <v>3.3469199999999999</v>
      </c>
    </row>
    <row r="602" spans="1:2" x14ac:dyDescent="0.25">
      <c r="A602">
        <v>1200</v>
      </c>
      <c r="B602" s="3">
        <v>3.3462800000000001</v>
      </c>
    </row>
    <row r="603" spans="1:2" x14ac:dyDescent="0.25">
      <c r="A603">
        <v>1202</v>
      </c>
      <c r="B603" s="3">
        <v>3.3456000000000001</v>
      </c>
    </row>
    <row r="604" spans="1:2" x14ac:dyDescent="0.25">
      <c r="A604">
        <v>1204</v>
      </c>
      <c r="B604" s="3">
        <v>3.34396</v>
      </c>
    </row>
    <row r="605" spans="1:2" x14ac:dyDescent="0.25">
      <c r="A605">
        <v>1206</v>
      </c>
      <c r="B605" s="3">
        <v>3.3430399999999998</v>
      </c>
    </row>
    <row r="606" spans="1:2" x14ac:dyDescent="0.25">
      <c r="A606">
        <v>1208</v>
      </c>
      <c r="B606" s="3">
        <v>3.3425799999999994</v>
      </c>
    </row>
    <row r="607" spans="1:2" x14ac:dyDescent="0.25">
      <c r="A607">
        <v>1210</v>
      </c>
      <c r="B607" s="3">
        <v>3.3422199999999997</v>
      </c>
    </row>
    <row r="608" spans="1:2" x14ac:dyDescent="0.25">
      <c r="A608">
        <v>1212</v>
      </c>
      <c r="B608" s="3">
        <v>3.3418200000000007</v>
      </c>
    </row>
    <row r="609" spans="1:2" x14ac:dyDescent="0.25">
      <c r="A609">
        <v>1214</v>
      </c>
      <c r="B609" s="3">
        <v>3.3416000000000006</v>
      </c>
    </row>
    <row r="610" spans="1:2" x14ac:dyDescent="0.25">
      <c r="A610">
        <v>1216</v>
      </c>
      <c r="B610" s="3">
        <v>3.3409399999999998</v>
      </c>
    </row>
    <row r="611" spans="1:2" x14ac:dyDescent="0.25">
      <c r="A611">
        <v>1218</v>
      </c>
      <c r="B611" s="3">
        <v>3.3403799999999997</v>
      </c>
    </row>
    <row r="612" spans="1:2" x14ac:dyDescent="0.25">
      <c r="A612">
        <v>1220</v>
      </c>
      <c r="B612" s="3">
        <v>3.3399200000000002</v>
      </c>
    </row>
    <row r="613" spans="1:2" x14ac:dyDescent="0.25">
      <c r="A613">
        <v>1222</v>
      </c>
      <c r="B613" s="3">
        <v>3.3395399999999995</v>
      </c>
    </row>
    <row r="614" spans="1:2" x14ac:dyDescent="0.25">
      <c r="A614">
        <v>1224</v>
      </c>
      <c r="B614" s="3">
        <v>3.3391199999999999</v>
      </c>
    </row>
    <row r="615" spans="1:2" x14ac:dyDescent="0.25">
      <c r="A615">
        <v>1226</v>
      </c>
      <c r="B615" s="3">
        <v>3.3384799999999997</v>
      </c>
    </row>
    <row r="616" spans="1:2" x14ac:dyDescent="0.25">
      <c r="A616">
        <v>1228</v>
      </c>
      <c r="B616" s="3">
        <v>3.3378799999999997</v>
      </c>
    </row>
    <row r="617" spans="1:2" x14ac:dyDescent="0.25">
      <c r="A617">
        <v>1230</v>
      </c>
      <c r="B617" s="3">
        <v>3.33744</v>
      </c>
    </row>
    <row r="618" spans="1:2" x14ac:dyDescent="0.25">
      <c r="A618">
        <v>1232</v>
      </c>
      <c r="B618" s="3">
        <v>3.3366999999999996</v>
      </c>
    </row>
    <row r="619" spans="1:2" x14ac:dyDescent="0.25">
      <c r="A619">
        <v>1234</v>
      </c>
      <c r="B619" s="3">
        <v>3.3359200000000002</v>
      </c>
    </row>
    <row r="620" spans="1:2" x14ac:dyDescent="0.25">
      <c r="A620">
        <v>1236</v>
      </c>
      <c r="B620" s="3">
        <v>3.33514</v>
      </c>
    </row>
    <row r="621" spans="1:2" x14ac:dyDescent="0.25">
      <c r="A621">
        <v>1238</v>
      </c>
      <c r="B621" s="3">
        <v>3.3346199999999997</v>
      </c>
    </row>
    <row r="622" spans="1:2" x14ac:dyDescent="0.25">
      <c r="A622">
        <v>1240</v>
      </c>
      <c r="B622" s="3">
        <v>3.3341599999999998</v>
      </c>
    </row>
    <row r="623" spans="1:2" x14ac:dyDescent="0.25">
      <c r="A623">
        <v>1242</v>
      </c>
      <c r="B623" s="3">
        <v>3.3336600000000005</v>
      </c>
    </row>
    <row r="624" spans="1:2" x14ac:dyDescent="0.25">
      <c r="A624">
        <v>1244</v>
      </c>
      <c r="B624" s="3">
        <v>3.3420999999999998</v>
      </c>
    </row>
    <row r="625" spans="1:2" x14ac:dyDescent="0.25">
      <c r="A625">
        <v>1246</v>
      </c>
      <c r="B625" s="3">
        <v>3.3413499999999998</v>
      </c>
    </row>
    <row r="626" spans="1:2" x14ac:dyDescent="0.25">
      <c r="A626">
        <v>1248</v>
      </c>
      <c r="B626" s="3">
        <v>3.3404250000000002</v>
      </c>
    </row>
    <row r="627" spans="1:2" x14ac:dyDescent="0.25">
      <c r="A627">
        <v>1250</v>
      </c>
      <c r="B627" s="3">
        <v>3.3394750000000002</v>
      </c>
    </row>
    <row r="628" spans="1:2" x14ac:dyDescent="0.25">
      <c r="A628">
        <v>1252</v>
      </c>
      <c r="B628" s="3">
        <v>3.338775</v>
      </c>
    </row>
    <row r="629" spans="1:2" x14ac:dyDescent="0.25">
      <c r="A629">
        <v>1254</v>
      </c>
      <c r="B629" s="3">
        <v>3.33805</v>
      </c>
    </row>
    <row r="630" spans="1:2" x14ac:dyDescent="0.25">
      <c r="A630">
        <v>1256</v>
      </c>
      <c r="B630" s="3">
        <v>3.3372000000000002</v>
      </c>
    </row>
    <row r="631" spans="1:2" x14ac:dyDescent="0.25">
      <c r="A631">
        <v>1258</v>
      </c>
      <c r="B631" s="3">
        <v>3.3367</v>
      </c>
    </row>
    <row r="632" spans="1:2" x14ac:dyDescent="0.25">
      <c r="A632">
        <v>1260</v>
      </c>
      <c r="B632" s="3">
        <v>3.3360249999999998</v>
      </c>
    </row>
    <row r="633" spans="1:2" x14ac:dyDescent="0.25">
      <c r="A633">
        <v>1262</v>
      </c>
      <c r="B633" s="3">
        <v>3.3341249999999998</v>
      </c>
    </row>
    <row r="634" spans="1:2" x14ac:dyDescent="0.25">
      <c r="A634">
        <v>1264</v>
      </c>
      <c r="B634" s="3">
        <v>3.3382666666666672</v>
      </c>
    </row>
    <row r="635" spans="1:2" x14ac:dyDescent="0.25">
      <c r="A635">
        <v>1266</v>
      </c>
      <c r="B635" s="3">
        <v>3.3376666666666668</v>
      </c>
    </row>
    <row r="636" spans="1:2" x14ac:dyDescent="0.25">
      <c r="A636">
        <v>1268</v>
      </c>
      <c r="B636" s="3">
        <v>3.3372000000000006</v>
      </c>
    </row>
    <row r="637" spans="1:2" x14ac:dyDescent="0.25">
      <c r="A637">
        <v>1270</v>
      </c>
      <c r="B637" s="3">
        <v>3.3367333333333336</v>
      </c>
    </row>
    <row r="638" spans="1:2" x14ac:dyDescent="0.25">
      <c r="A638">
        <v>1272</v>
      </c>
      <c r="B638" s="3">
        <v>3.3363</v>
      </c>
    </row>
    <row r="639" spans="1:2" x14ac:dyDescent="0.25">
      <c r="A639">
        <v>1274</v>
      </c>
      <c r="B639" s="3">
        <v>3.3353000000000002</v>
      </c>
    </row>
    <row r="640" spans="1:2" x14ac:dyDescent="0.25">
      <c r="A640">
        <v>1276</v>
      </c>
      <c r="B640" s="3">
        <v>3.3332666666666668</v>
      </c>
    </row>
    <row r="641" spans="1:2" x14ac:dyDescent="0.25">
      <c r="A641">
        <v>1278</v>
      </c>
      <c r="B641" s="3">
        <v>3.3310333333333335</v>
      </c>
    </row>
    <row r="642" spans="1:2" x14ac:dyDescent="0.25">
      <c r="A642">
        <v>1280</v>
      </c>
      <c r="B642" s="3">
        <v>3.3300666666666667</v>
      </c>
    </row>
    <row r="643" spans="1:2" x14ac:dyDescent="0.25">
      <c r="A643">
        <v>1282</v>
      </c>
      <c r="B643" s="3">
        <v>3.3295666666666666</v>
      </c>
    </row>
    <row r="644" spans="1:2" x14ac:dyDescent="0.25">
      <c r="A644">
        <v>1284</v>
      </c>
      <c r="B644" s="3">
        <v>3.3531</v>
      </c>
    </row>
    <row r="645" spans="1:2" x14ac:dyDescent="0.25">
      <c r="A645">
        <v>1286</v>
      </c>
      <c r="B645" s="3">
        <v>3.3528500000000001</v>
      </c>
    </row>
    <row r="646" spans="1:2" x14ac:dyDescent="0.25">
      <c r="A646">
        <v>1288</v>
      </c>
      <c r="B646" s="3">
        <v>3.3526499999999997</v>
      </c>
    </row>
    <row r="647" spans="1:2" x14ac:dyDescent="0.25">
      <c r="A647">
        <v>1290</v>
      </c>
      <c r="B647" s="3">
        <v>3.3524000000000003</v>
      </c>
    </row>
    <row r="648" spans="1:2" x14ac:dyDescent="0.25">
      <c r="A648">
        <v>1292</v>
      </c>
      <c r="B648" s="3">
        <v>3.35155</v>
      </c>
    </row>
    <row r="649" spans="1:2" x14ac:dyDescent="0.25">
      <c r="A649">
        <v>1294</v>
      </c>
      <c r="B649" s="3">
        <v>3.3511500000000001</v>
      </c>
    </row>
    <row r="650" spans="1:2" x14ac:dyDescent="0.25">
      <c r="A650">
        <v>1296</v>
      </c>
      <c r="B650" s="3">
        <v>3.3504499999999999</v>
      </c>
    </row>
    <row r="651" spans="1:2" x14ac:dyDescent="0.25">
      <c r="A651">
        <v>1298</v>
      </c>
      <c r="B651" s="3">
        <v>3.34945</v>
      </c>
    </row>
    <row r="652" spans="1:2" x14ac:dyDescent="0.25">
      <c r="A652">
        <v>1300</v>
      </c>
      <c r="B652" s="3">
        <v>3.3489</v>
      </c>
    </row>
    <row r="653" spans="1:2" x14ac:dyDescent="0.25">
      <c r="A653">
        <v>1302</v>
      </c>
      <c r="B653" s="3">
        <v>3.3484499999999997</v>
      </c>
    </row>
    <row r="654" spans="1:2" x14ac:dyDescent="0.25">
      <c r="A654">
        <v>1304</v>
      </c>
      <c r="B654" s="3">
        <v>3.3471500000000001</v>
      </c>
    </row>
    <row r="655" spans="1:2" x14ac:dyDescent="0.25">
      <c r="A655">
        <v>1306</v>
      </c>
      <c r="B655" s="3">
        <v>3.3462499999999999</v>
      </c>
    </row>
    <row r="656" spans="1:2" x14ac:dyDescent="0.25">
      <c r="A656">
        <v>1308</v>
      </c>
      <c r="B656" s="3">
        <v>3.3462000000000001</v>
      </c>
    </row>
    <row r="657" spans="1:2" x14ac:dyDescent="0.25">
      <c r="A657">
        <v>1310</v>
      </c>
      <c r="B657" s="3">
        <v>3.34605</v>
      </c>
    </row>
    <row r="658" spans="1:2" x14ac:dyDescent="0.25">
      <c r="A658">
        <v>1312</v>
      </c>
      <c r="B658" s="3">
        <v>3.3451499999999998</v>
      </c>
    </row>
    <row r="659" spans="1:2" x14ac:dyDescent="0.25">
      <c r="A659">
        <v>1314</v>
      </c>
      <c r="B659" s="3">
        <v>3.3447499999999999</v>
      </c>
    </row>
    <row r="660" spans="1:2" x14ac:dyDescent="0.25">
      <c r="A660">
        <v>1316</v>
      </c>
      <c r="B660" s="3">
        <v>3.3441000000000001</v>
      </c>
    </row>
    <row r="661" spans="1:2" x14ac:dyDescent="0.25">
      <c r="A661">
        <v>1318</v>
      </c>
      <c r="B661" s="3">
        <v>3.3425000000000002</v>
      </c>
    </row>
    <row r="662" spans="1:2" x14ac:dyDescent="0.25">
      <c r="A662">
        <v>1320</v>
      </c>
      <c r="B662" s="3">
        <v>3.3427500000000001</v>
      </c>
    </row>
    <row r="663" spans="1:2" x14ac:dyDescent="0.25">
      <c r="A663">
        <v>1322</v>
      </c>
      <c r="B663" s="3">
        <v>3.3421500000000002</v>
      </c>
    </row>
    <row r="664" spans="1:2" x14ac:dyDescent="0.25">
      <c r="A664">
        <v>1324</v>
      </c>
      <c r="B664" s="3">
        <v>3.3424</v>
      </c>
    </row>
    <row r="665" spans="1:2" x14ac:dyDescent="0.25">
      <c r="A665">
        <v>1326</v>
      </c>
      <c r="B665" s="3">
        <v>3.3417500000000002</v>
      </c>
    </row>
    <row r="666" spans="1:2" x14ac:dyDescent="0.25">
      <c r="A666">
        <v>1328</v>
      </c>
      <c r="B666" s="3">
        <v>3.3402500000000002</v>
      </c>
    </row>
    <row r="667" spans="1:2" x14ac:dyDescent="0.25">
      <c r="A667">
        <v>1330</v>
      </c>
      <c r="B667" s="3">
        <v>3.3388499999999999</v>
      </c>
    </row>
    <row r="668" spans="1:2" x14ac:dyDescent="0.25">
      <c r="A668">
        <v>1332</v>
      </c>
      <c r="B668" s="3">
        <v>3.3382000000000001</v>
      </c>
    </row>
    <row r="669" spans="1:2" x14ac:dyDescent="0.25">
      <c r="A669">
        <v>1334</v>
      </c>
      <c r="B669" s="3">
        <v>3.3373999999999997</v>
      </c>
    </row>
    <row r="670" spans="1:2" x14ac:dyDescent="0.25">
      <c r="A670">
        <v>1336</v>
      </c>
      <c r="B670" s="3">
        <v>3.3365999999999998</v>
      </c>
    </row>
    <row r="671" spans="1:2" x14ac:dyDescent="0.25">
      <c r="A671">
        <v>1338</v>
      </c>
      <c r="B671" s="3">
        <v>3.3342499999999999</v>
      </c>
    </row>
    <row r="672" spans="1:2" x14ac:dyDescent="0.25">
      <c r="A672">
        <v>1340</v>
      </c>
      <c r="B672" s="3">
        <v>3.3331</v>
      </c>
    </row>
    <row r="673" spans="1:2" x14ac:dyDescent="0.25">
      <c r="A673">
        <v>1342</v>
      </c>
      <c r="B673" s="3">
        <v>3.3319999999999999</v>
      </c>
    </row>
    <row r="674" spans="1:2" x14ac:dyDescent="0.25">
      <c r="A674">
        <v>1344</v>
      </c>
      <c r="B674" s="3">
        <v>3.3319000000000001</v>
      </c>
    </row>
    <row r="675" spans="1:2" x14ac:dyDescent="0.25">
      <c r="A675">
        <v>1346</v>
      </c>
      <c r="B675" s="3">
        <v>3.3311500000000001</v>
      </c>
    </row>
    <row r="676" spans="1:2" x14ac:dyDescent="0.25">
      <c r="A676">
        <v>1348</v>
      </c>
      <c r="B676" s="3">
        <v>3.3293499999999998</v>
      </c>
    </row>
    <row r="677" spans="1:2" x14ac:dyDescent="0.25">
      <c r="A677">
        <v>1350</v>
      </c>
      <c r="B677" s="3">
        <v>3.3280500000000002</v>
      </c>
    </row>
    <row r="678" spans="1:2" x14ac:dyDescent="0.25">
      <c r="A678">
        <v>1352</v>
      </c>
      <c r="B678" s="3">
        <v>3.3265000000000002</v>
      </c>
    </row>
    <row r="679" spans="1:2" x14ac:dyDescent="0.25">
      <c r="A679">
        <v>1354</v>
      </c>
      <c r="B679" s="3">
        <v>3.3261500000000002</v>
      </c>
    </row>
    <row r="680" spans="1:2" x14ac:dyDescent="0.25">
      <c r="A680">
        <v>1356</v>
      </c>
      <c r="B680" s="3">
        <v>3.3246000000000002</v>
      </c>
    </row>
    <row r="681" spans="1:2" x14ac:dyDescent="0.25">
      <c r="A681">
        <v>1358</v>
      </c>
      <c r="B681" s="3">
        <v>3.3241500000000004</v>
      </c>
    </row>
    <row r="682" spans="1:2" x14ac:dyDescent="0.25">
      <c r="A682">
        <v>1360</v>
      </c>
      <c r="B682" s="3">
        <v>3.3225500000000001</v>
      </c>
    </row>
    <row r="683" spans="1:2" x14ac:dyDescent="0.25">
      <c r="A683">
        <v>1362</v>
      </c>
      <c r="B683" s="3">
        <v>3.3218000000000001</v>
      </c>
    </row>
    <row r="684" spans="1:2" x14ac:dyDescent="0.25">
      <c r="A684">
        <v>1364</v>
      </c>
      <c r="B684" s="3">
        <v>3.3216000000000001</v>
      </c>
    </row>
    <row r="685" spans="1:2" x14ac:dyDescent="0.25">
      <c r="A685">
        <v>1366</v>
      </c>
      <c r="B685" s="3">
        <v>3.3203499999999999</v>
      </c>
    </row>
    <row r="686" spans="1:2" x14ac:dyDescent="0.25">
      <c r="A686">
        <v>1368</v>
      </c>
      <c r="B686" s="3">
        <v>3.3194999999999997</v>
      </c>
    </row>
    <row r="687" spans="1:2" x14ac:dyDescent="0.25">
      <c r="A687">
        <v>1370</v>
      </c>
      <c r="B687" s="3">
        <v>3.3176999999999999</v>
      </c>
    </row>
    <row r="688" spans="1:2" x14ac:dyDescent="0.25">
      <c r="A688">
        <v>1372</v>
      </c>
      <c r="B688" s="3">
        <v>3.3151999999999999</v>
      </c>
    </row>
    <row r="689" spans="1:2" x14ac:dyDescent="0.25">
      <c r="A689">
        <v>1374</v>
      </c>
      <c r="B689" s="3">
        <v>3.3126499999999997</v>
      </c>
    </row>
    <row r="690" spans="1:2" x14ac:dyDescent="0.25">
      <c r="A690">
        <v>1376</v>
      </c>
      <c r="B690" s="3">
        <v>3.3115000000000001</v>
      </c>
    </row>
    <row r="691" spans="1:2" x14ac:dyDescent="0.25">
      <c r="A691">
        <v>1378</v>
      </c>
      <c r="B691" s="3">
        <v>3.31135</v>
      </c>
    </row>
    <row r="692" spans="1:2" x14ac:dyDescent="0.25">
      <c r="A692">
        <v>1380</v>
      </c>
      <c r="B692" s="3">
        <v>3.3106</v>
      </c>
    </row>
    <row r="693" spans="1:2" x14ac:dyDescent="0.25">
      <c r="A693">
        <v>1382</v>
      </c>
      <c r="B693" s="3">
        <v>3.3100499999999999</v>
      </c>
    </row>
    <row r="694" spans="1:2" x14ac:dyDescent="0.25">
      <c r="A694">
        <v>1384</v>
      </c>
      <c r="B694" s="3">
        <v>3.3089500000000003</v>
      </c>
    </row>
    <row r="695" spans="1:2" x14ac:dyDescent="0.25">
      <c r="A695">
        <v>1386</v>
      </c>
      <c r="B695" s="3">
        <v>3.3063000000000002</v>
      </c>
    </row>
    <row r="696" spans="1:2" x14ac:dyDescent="0.25">
      <c r="A696">
        <v>1388</v>
      </c>
      <c r="B696" s="3">
        <v>3.3048999999999999</v>
      </c>
    </row>
    <row r="697" spans="1:2" x14ac:dyDescent="0.25">
      <c r="A697">
        <v>1390</v>
      </c>
      <c r="B697" s="3">
        <v>3.3026499999999999</v>
      </c>
    </row>
    <row r="698" spans="1:2" x14ac:dyDescent="0.25">
      <c r="A698">
        <v>1392</v>
      </c>
      <c r="B698" s="3">
        <v>3.3013000000000003</v>
      </c>
    </row>
    <row r="699" spans="1:2" x14ac:dyDescent="0.25">
      <c r="A699">
        <v>1394</v>
      </c>
      <c r="B699" s="3">
        <v>3.2999000000000001</v>
      </c>
    </row>
    <row r="700" spans="1:2" x14ac:dyDescent="0.25">
      <c r="A700">
        <v>1396</v>
      </c>
      <c r="B700" s="3">
        <v>3.2984999999999998</v>
      </c>
    </row>
    <row r="701" spans="1:2" x14ac:dyDescent="0.25">
      <c r="A701">
        <v>1398</v>
      </c>
      <c r="B701" s="3">
        <v>3.29575</v>
      </c>
    </row>
    <row r="702" spans="1:2" x14ac:dyDescent="0.25">
      <c r="A702">
        <v>1400</v>
      </c>
      <c r="B702" s="3">
        <v>3.2931499999999998</v>
      </c>
    </row>
    <row r="703" spans="1:2" x14ac:dyDescent="0.25">
      <c r="A703">
        <v>1402</v>
      </c>
      <c r="B703" s="3">
        <v>3.29135</v>
      </c>
    </row>
    <row r="704" spans="1:2" x14ac:dyDescent="0.25">
      <c r="A704">
        <v>1404</v>
      </c>
      <c r="B704" s="3">
        <v>3.28945</v>
      </c>
    </row>
    <row r="705" spans="1:2" x14ac:dyDescent="0.25">
      <c r="A705">
        <v>1406</v>
      </c>
      <c r="B705" s="3">
        <v>3.2877999999999998</v>
      </c>
    </row>
    <row r="706" spans="1:2" x14ac:dyDescent="0.25">
      <c r="A706">
        <v>1408</v>
      </c>
      <c r="B706" s="3">
        <v>3.2866999999999997</v>
      </c>
    </row>
    <row r="707" spans="1:2" x14ac:dyDescent="0.25">
      <c r="A707">
        <v>1410</v>
      </c>
      <c r="B707" s="3">
        <v>3.28565</v>
      </c>
    </row>
    <row r="708" spans="1:2" x14ac:dyDescent="0.25">
      <c r="A708">
        <v>1412</v>
      </c>
      <c r="B708" s="3">
        <v>3.28355</v>
      </c>
    </row>
    <row r="709" spans="1:2" x14ac:dyDescent="0.25">
      <c r="A709">
        <v>1414</v>
      </c>
      <c r="B709" s="3">
        <v>3.2813999999999997</v>
      </c>
    </row>
    <row r="710" spans="1:2" x14ac:dyDescent="0.25">
      <c r="A710">
        <v>1416</v>
      </c>
      <c r="B710" s="3">
        <v>3.2803500000000003</v>
      </c>
    </row>
    <row r="711" spans="1:2" x14ac:dyDescent="0.25">
      <c r="A711">
        <v>1418</v>
      </c>
      <c r="B711" s="3">
        <v>3.2804500000000001</v>
      </c>
    </row>
    <row r="712" spans="1:2" x14ac:dyDescent="0.25">
      <c r="A712">
        <v>1420</v>
      </c>
      <c r="B712" s="3">
        <v>3.2794499999999998</v>
      </c>
    </row>
    <row r="713" spans="1:2" x14ac:dyDescent="0.25">
      <c r="A713">
        <v>1422</v>
      </c>
      <c r="B713" s="3">
        <v>3.2793000000000001</v>
      </c>
    </row>
    <row r="714" spans="1:2" x14ac:dyDescent="0.25">
      <c r="A714">
        <v>1424</v>
      </c>
      <c r="B714" s="3">
        <v>3.2792000000000003</v>
      </c>
    </row>
    <row r="715" spans="1:2" x14ac:dyDescent="0.25">
      <c r="A715">
        <v>1426</v>
      </c>
      <c r="B715" s="3">
        <v>3.27935</v>
      </c>
    </row>
    <row r="716" spans="1:2" x14ac:dyDescent="0.25">
      <c r="A716">
        <v>1428</v>
      </c>
      <c r="B716" s="3">
        <v>3.2928000000000002</v>
      </c>
    </row>
    <row r="717" spans="1:2" x14ac:dyDescent="0.25">
      <c r="A717">
        <v>1430</v>
      </c>
      <c r="B717" s="3">
        <v>3.2924000000000002</v>
      </c>
    </row>
    <row r="718" spans="1:2" x14ac:dyDescent="0.25">
      <c r="A718">
        <v>1432</v>
      </c>
      <c r="B718" s="3">
        <v>3.2926000000000002</v>
      </c>
    </row>
    <row r="719" spans="1:2" x14ac:dyDescent="0.25">
      <c r="A719">
        <v>1434</v>
      </c>
      <c r="B719" s="3">
        <v>3.2928999999999999</v>
      </c>
    </row>
    <row r="720" spans="1:2" x14ac:dyDescent="0.25">
      <c r="A720">
        <v>1436</v>
      </c>
      <c r="B720" s="3">
        <v>3.2934999999999999</v>
      </c>
    </row>
    <row r="721" spans="2:2" x14ac:dyDescent="0.25">
      <c r="B721" s="3"/>
    </row>
    <row r="722" spans="2:2" x14ac:dyDescent="0.25">
      <c r="B722" s="3"/>
    </row>
    <row r="723" spans="2:2" x14ac:dyDescent="0.25">
      <c r="B723" s="3"/>
    </row>
    <row r="724" spans="2:2" x14ac:dyDescent="0.25">
      <c r="B724" s="3"/>
    </row>
    <row r="725" spans="2:2" x14ac:dyDescent="0.25">
      <c r="B725" s="3"/>
    </row>
    <row r="726" spans="2:2" x14ac:dyDescent="0.25">
      <c r="B726" s="3"/>
    </row>
    <row r="727" spans="2:2" x14ac:dyDescent="0.25">
      <c r="B727" s="3"/>
    </row>
    <row r="728" spans="2:2" x14ac:dyDescent="0.25">
      <c r="B728" s="3"/>
    </row>
    <row r="729" spans="2:2" x14ac:dyDescent="0.25">
      <c r="B729" s="3"/>
    </row>
    <row r="730" spans="2:2" x14ac:dyDescent="0.25">
      <c r="B730" s="3"/>
    </row>
    <row r="731" spans="2:2" x14ac:dyDescent="0.25">
      <c r="B731" s="3"/>
    </row>
    <row r="732" spans="2:2" x14ac:dyDescent="0.25">
      <c r="B732" s="3"/>
    </row>
    <row r="733" spans="2:2" x14ac:dyDescent="0.25">
      <c r="B733" s="3"/>
    </row>
    <row r="734" spans="2:2" x14ac:dyDescent="0.25">
      <c r="B734" s="3"/>
    </row>
    <row r="735" spans="2:2" x14ac:dyDescent="0.25">
      <c r="B735" s="3"/>
    </row>
    <row r="736" spans="2:2" x14ac:dyDescent="0.25">
      <c r="B736" s="3"/>
    </row>
    <row r="737" spans="2:2" x14ac:dyDescent="0.25">
      <c r="B737" s="3"/>
    </row>
    <row r="738" spans="2:2" x14ac:dyDescent="0.25">
      <c r="B738" s="3"/>
    </row>
    <row r="739" spans="2:2" x14ac:dyDescent="0.25">
      <c r="B739" s="3"/>
    </row>
    <row r="740" spans="2:2" x14ac:dyDescent="0.25">
      <c r="B740" s="3"/>
    </row>
    <row r="741" spans="2:2" x14ac:dyDescent="0.25">
      <c r="B741" s="3"/>
    </row>
    <row r="742" spans="2:2" x14ac:dyDescent="0.25">
      <c r="B742" s="3"/>
    </row>
    <row r="743" spans="2:2" x14ac:dyDescent="0.25">
      <c r="B743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4"/>
  <sheetViews>
    <sheetView zoomScale="80" zoomScaleNormal="80" workbookViewId="0">
      <selection activeCell="B1" sqref="B1:C1048576"/>
    </sheetView>
  </sheetViews>
  <sheetFormatPr defaultRowHeight="15" x14ac:dyDescent="0.25"/>
  <cols>
    <col min="1" max="1" width="7.85546875" customWidth="1"/>
    <col min="11" max="11" width="11.85546875" bestFit="1" customWidth="1"/>
    <col min="12" max="12" width="12.42578125" bestFit="1" customWidth="1"/>
    <col min="14" max="14" width="12.28515625" bestFit="1" customWidth="1"/>
    <col min="15" max="15" width="9.5703125" customWidth="1"/>
  </cols>
  <sheetData>
    <row r="1" spans="1:15" x14ac:dyDescent="0.25">
      <c r="B1" s="2">
        <v>45118.352941176468</v>
      </c>
      <c r="C1" s="2">
        <v>45204.647058823532</v>
      </c>
      <c r="I1" s="5"/>
      <c r="K1" t="s">
        <v>17</v>
      </c>
      <c r="L1" s="9">
        <f>C1-B1</f>
        <v>86.294117647063104</v>
      </c>
      <c r="M1" s="9"/>
    </row>
    <row r="2" spans="1:15" x14ac:dyDescent="0.25">
      <c r="A2" t="s">
        <v>0</v>
      </c>
      <c r="B2" t="s">
        <v>1</v>
      </c>
      <c r="C2" t="s">
        <v>1</v>
      </c>
      <c r="D2" s="6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6" t="s">
        <v>10</v>
      </c>
      <c r="J2" s="6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15</v>
      </c>
    </row>
    <row r="3" spans="1:15" x14ac:dyDescent="0.25">
      <c r="A3">
        <v>2</v>
      </c>
      <c r="B3" s="3">
        <v>8.5600411764705893</v>
      </c>
      <c r="C3" s="3">
        <v>8.7703705882352949</v>
      </c>
      <c r="D3">
        <f>C3-B3</f>
        <v>0.21032941176470565</v>
      </c>
      <c r="E3">
        <f>(D3+D4)/2</f>
        <v>1.3228323529411763</v>
      </c>
      <c r="F3">
        <v>70</v>
      </c>
      <c r="G3">
        <v>7381</v>
      </c>
      <c r="H3">
        <f>E3*F3</f>
        <v>92.598264705882343</v>
      </c>
      <c r="I3">
        <f t="shared" ref="I3:I22" si="0">I4+H3</f>
        <v>1140.9492205882352</v>
      </c>
      <c r="J3">
        <f t="shared" ref="J3:J23" si="1">(I3/G3)*1000</f>
        <v>154.57921969763382</v>
      </c>
    </row>
    <row r="4" spans="1:15" x14ac:dyDescent="0.25">
      <c r="A4">
        <v>10</v>
      </c>
      <c r="B4" s="3">
        <v>6.0977882352941171</v>
      </c>
      <c r="C4" s="3">
        <v>8.533123529411764</v>
      </c>
      <c r="D4">
        <f t="shared" ref="D4:D38" si="2">C4-B4</f>
        <v>2.4353352941176469</v>
      </c>
      <c r="E4">
        <f t="shared" ref="E4:E38" si="3">(D4+D5)/2</f>
        <v>2.9563352941176473</v>
      </c>
      <c r="F4">
        <v>70</v>
      </c>
      <c r="G4">
        <v>7338</v>
      </c>
      <c r="H4">
        <f t="shared" ref="H4:H38" si="4">E4*F4</f>
        <v>206.9434705882353</v>
      </c>
      <c r="I4">
        <f t="shared" si="0"/>
        <v>1048.350955882353</v>
      </c>
      <c r="J4">
        <f t="shared" si="1"/>
        <v>142.86603378064228</v>
      </c>
      <c r="K4">
        <f>(B5-B3)/(A5-A3)</f>
        <v>-0.22253725490196086</v>
      </c>
      <c r="L4">
        <f>(C5-C3)/(A5-A3)</f>
        <v>-4.1036928104575189E-2</v>
      </c>
      <c r="M4">
        <f>(K4+L4)/2</f>
        <v>-0.13178709150326803</v>
      </c>
      <c r="N4">
        <f>-J4/(M4*86400*$L$1)</f>
        <v>1.4539891970915582E-4</v>
      </c>
      <c r="O4" s="3">
        <f>N4*10000</f>
        <v>1.4539891970915582</v>
      </c>
    </row>
    <row r="5" spans="1:15" x14ac:dyDescent="0.25">
      <c r="A5">
        <v>20</v>
      </c>
      <c r="B5" s="3">
        <v>4.5543705882352938</v>
      </c>
      <c r="C5" s="3">
        <v>8.0317058823529415</v>
      </c>
      <c r="D5">
        <f t="shared" si="2"/>
        <v>3.4773352941176476</v>
      </c>
      <c r="E5">
        <f t="shared" si="3"/>
        <v>3.3083323529411772</v>
      </c>
      <c r="F5">
        <v>70</v>
      </c>
      <c r="G5">
        <v>7252</v>
      </c>
      <c r="H5">
        <f t="shared" si="4"/>
        <v>231.58326470588241</v>
      </c>
      <c r="I5">
        <f t="shared" si="0"/>
        <v>841.40748529411758</v>
      </c>
      <c r="J5">
        <f t="shared" si="1"/>
        <v>116.02419819279062</v>
      </c>
      <c r="K5">
        <f t="shared" ref="K5:K38" si="5">(B6-B4)/(A6-A4)</f>
        <v>-9.3126470588235269E-2</v>
      </c>
      <c r="L5">
        <f t="shared" ref="L5:L38" si="6">(C6-C4)/(A6-A4)</f>
        <v>-5.7926764705882275E-2</v>
      </c>
      <c r="M5">
        <f t="shared" ref="M5:M38" si="7">(K5+L5)/2</f>
        <v>-7.5526617647058772E-2</v>
      </c>
      <c r="N5">
        <f t="shared" ref="N5:N38" si="8">-J5/(M5*86400*$L$1)</f>
        <v>2.0604097912330844E-4</v>
      </c>
      <c r="O5" s="3">
        <f t="shared" ref="O5:O38" si="9">N5*10000</f>
        <v>2.0604097912330843</v>
      </c>
    </row>
    <row r="6" spans="1:15" x14ac:dyDescent="0.25">
      <c r="A6">
        <v>30</v>
      </c>
      <c r="B6" s="3">
        <v>4.2352588235294117</v>
      </c>
      <c r="C6" s="3">
        <v>7.3745882352941186</v>
      </c>
      <c r="D6">
        <f t="shared" si="2"/>
        <v>3.1393294117647068</v>
      </c>
      <c r="E6">
        <f t="shared" si="3"/>
        <v>2.8816382352941181</v>
      </c>
      <c r="F6">
        <v>70</v>
      </c>
      <c r="G6">
        <v>7218</v>
      </c>
      <c r="H6">
        <f t="shared" si="4"/>
        <v>201.71467647058827</v>
      </c>
      <c r="I6">
        <f t="shared" si="0"/>
        <v>609.82422058823511</v>
      </c>
      <c r="J6">
        <f t="shared" si="1"/>
        <v>84.486591935194667</v>
      </c>
      <c r="K6">
        <f t="shared" si="5"/>
        <v>-2.1035294117647041E-2</v>
      </c>
      <c r="L6">
        <f t="shared" si="6"/>
        <v>-6.3704705882352955E-2</v>
      </c>
      <c r="M6">
        <f t="shared" si="7"/>
        <v>-4.2369999999999998E-2</v>
      </c>
      <c r="N6">
        <f t="shared" si="8"/>
        <v>2.6744494441407584E-4</v>
      </c>
      <c r="O6" s="3">
        <f t="shared" si="9"/>
        <v>2.6744494441407585</v>
      </c>
    </row>
    <row r="7" spans="1:15" x14ac:dyDescent="0.25">
      <c r="A7">
        <v>40</v>
      </c>
      <c r="B7" s="3">
        <v>4.133664705882353</v>
      </c>
      <c r="C7" s="3">
        <v>6.7576117647058824</v>
      </c>
      <c r="D7">
        <f t="shared" si="2"/>
        <v>2.6239470588235294</v>
      </c>
      <c r="E7">
        <f t="shared" si="3"/>
        <v>2.2623558823529408</v>
      </c>
      <c r="F7">
        <v>70</v>
      </c>
      <c r="G7">
        <v>7128.25</v>
      </c>
      <c r="H7">
        <f t="shared" si="4"/>
        <v>158.36491176470585</v>
      </c>
      <c r="I7">
        <f t="shared" si="0"/>
        <v>408.10954411764681</v>
      </c>
      <c r="J7">
        <f t="shared" si="1"/>
        <v>57.252417369992187</v>
      </c>
      <c r="K7">
        <f t="shared" si="5"/>
        <v>-8.6099999999999614E-3</v>
      </c>
      <c r="L7">
        <f t="shared" si="6"/>
        <v>-7.0538235294117693E-2</v>
      </c>
      <c r="M7">
        <f t="shared" si="7"/>
        <v>-3.9574117647058829E-2</v>
      </c>
      <c r="N7">
        <f t="shared" si="8"/>
        <v>1.9403838583329744E-4</v>
      </c>
      <c r="O7" s="3">
        <f t="shared" si="9"/>
        <v>1.9403838583329744</v>
      </c>
    </row>
    <row r="8" spans="1:15" x14ac:dyDescent="0.25">
      <c r="A8">
        <v>50</v>
      </c>
      <c r="B8" s="3">
        <v>4.0630588235294125</v>
      </c>
      <c r="C8" s="3">
        <v>5.9638235294117647</v>
      </c>
      <c r="D8">
        <f t="shared" si="2"/>
        <v>1.9007647058823522</v>
      </c>
      <c r="E8">
        <f t="shared" si="3"/>
        <v>1.5550147058823522</v>
      </c>
      <c r="F8">
        <v>65</v>
      </c>
      <c r="G8">
        <v>6875.5</v>
      </c>
      <c r="H8">
        <f t="shared" si="4"/>
        <v>101.0759558823529</v>
      </c>
      <c r="I8">
        <f t="shared" si="0"/>
        <v>249.74463235294093</v>
      </c>
      <c r="J8">
        <f t="shared" si="1"/>
        <v>36.323850244046383</v>
      </c>
      <c r="K8">
        <f t="shared" si="5"/>
        <v>-6.817058823529387E-3</v>
      </c>
      <c r="L8">
        <f t="shared" si="6"/>
        <v>-7.7551176470588248E-2</v>
      </c>
      <c r="M8">
        <f t="shared" si="7"/>
        <v>-4.2184117647058816E-2</v>
      </c>
      <c r="N8">
        <f t="shared" si="8"/>
        <v>1.1549095485797839E-4</v>
      </c>
      <c r="O8" s="3">
        <f t="shared" si="9"/>
        <v>1.154909548579784</v>
      </c>
    </row>
    <row r="9" spans="1:15" x14ac:dyDescent="0.25">
      <c r="A9">
        <v>60</v>
      </c>
      <c r="B9" s="3">
        <v>3.9973235294117653</v>
      </c>
      <c r="C9" s="3">
        <v>5.2065882352941175</v>
      </c>
      <c r="D9">
        <f t="shared" si="2"/>
        <v>1.2092647058823522</v>
      </c>
      <c r="E9">
        <f t="shared" si="3"/>
        <v>0.99184705882352842</v>
      </c>
      <c r="F9">
        <v>65</v>
      </c>
      <c r="G9">
        <v>6622.75</v>
      </c>
      <c r="H9">
        <f t="shared" si="4"/>
        <v>64.470058823529342</v>
      </c>
      <c r="I9">
        <f>I10+H9</f>
        <v>148.66867647058803</v>
      </c>
      <c r="J9">
        <f>(I9/G9)*1000</f>
        <v>22.44817884875437</v>
      </c>
      <c r="K9">
        <f t="shared" si="5"/>
        <v>-4.9958823529411946E-3</v>
      </c>
      <c r="L9">
        <f t="shared" si="6"/>
        <v>-6.1312647058823576E-2</v>
      </c>
      <c r="M9">
        <f t="shared" si="7"/>
        <v>-3.3154264705882383E-2</v>
      </c>
      <c r="N9">
        <f t="shared" si="8"/>
        <v>9.0812739764399502E-5</v>
      </c>
      <c r="O9" s="3">
        <f>N9*10000</f>
        <v>0.90812739764399497</v>
      </c>
    </row>
    <row r="10" spans="1:15" x14ac:dyDescent="0.25">
      <c r="A10">
        <v>70</v>
      </c>
      <c r="B10" s="3">
        <v>3.9631411764705886</v>
      </c>
      <c r="C10" s="3">
        <v>4.7375705882352932</v>
      </c>
      <c r="D10">
        <f t="shared" si="2"/>
        <v>0.77442941176470459</v>
      </c>
      <c r="E10">
        <f t="shared" si="3"/>
        <v>0.64612058823529317</v>
      </c>
      <c r="F10">
        <v>65</v>
      </c>
      <c r="G10">
        <v>6370</v>
      </c>
      <c r="H10">
        <f>E10*F10</f>
        <v>41.997838235294054</v>
      </c>
      <c r="I10">
        <f t="shared" si="0"/>
        <v>84.198617647058668</v>
      </c>
      <c r="J10">
        <f t="shared" si="1"/>
        <v>13.217993351186605</v>
      </c>
      <c r="K10">
        <f t="shared" si="5"/>
        <v>-3.4602941176470779E-3</v>
      </c>
      <c r="L10">
        <f t="shared" si="6"/>
        <v>-3.8032941176470603E-2</v>
      </c>
      <c r="M10">
        <f t="shared" si="7"/>
        <v>-2.0746617647058839E-2</v>
      </c>
      <c r="N10">
        <f t="shared" si="8"/>
        <v>8.5452208407992017E-5</v>
      </c>
      <c r="O10" s="3">
        <f t="shared" si="9"/>
        <v>0.85452208407992014</v>
      </c>
    </row>
    <row r="11" spans="1:15" x14ac:dyDescent="0.25">
      <c r="A11">
        <v>80</v>
      </c>
      <c r="B11" s="3">
        <v>3.9281176470588237</v>
      </c>
      <c r="C11" s="3">
        <v>4.4459294117647055</v>
      </c>
      <c r="D11">
        <f t="shared" si="2"/>
        <v>0.51781176470588175</v>
      </c>
      <c r="E11">
        <f>(D11+D12)/2</f>
        <v>0.41850588235294151</v>
      </c>
      <c r="F11">
        <v>65</v>
      </c>
      <c r="G11">
        <v>6223</v>
      </c>
      <c r="H11">
        <f t="shared" si="4"/>
        <v>27.202882352941199</v>
      </c>
      <c r="I11">
        <f t="shared" si="0"/>
        <v>42.200779411764614</v>
      </c>
      <c r="J11">
        <f t="shared" si="1"/>
        <v>6.7814204421926103</v>
      </c>
      <c r="K11">
        <f t="shared" si="5"/>
        <v>-2.8188235294118067E-3</v>
      </c>
      <c r="L11">
        <f t="shared" si="6"/>
        <v>-2.5580294117646972E-2</v>
      </c>
      <c r="M11">
        <f t="shared" si="7"/>
        <v>-1.419955882352939E-2</v>
      </c>
      <c r="N11">
        <f t="shared" si="8"/>
        <v>6.4054682810510072E-5</v>
      </c>
      <c r="O11" s="3">
        <f t="shared" si="9"/>
        <v>0.64054682810510066</v>
      </c>
    </row>
    <row r="12" spans="1:15" x14ac:dyDescent="0.25">
      <c r="A12">
        <v>90</v>
      </c>
      <c r="B12" s="3">
        <v>3.9067647058823525</v>
      </c>
      <c r="C12" s="3">
        <v>4.2259647058823537</v>
      </c>
      <c r="D12">
        <f t="shared" si="2"/>
        <v>0.31920000000000126</v>
      </c>
      <c r="E12">
        <f t="shared" si="3"/>
        <v>0.20718529411764819</v>
      </c>
      <c r="F12">
        <v>65</v>
      </c>
      <c r="G12">
        <v>6076</v>
      </c>
      <c r="H12">
        <f t="shared" si="4"/>
        <v>13.467044117647132</v>
      </c>
      <c r="I12">
        <f t="shared" si="0"/>
        <v>14.997897058823414</v>
      </c>
      <c r="J12">
        <f t="shared" si="1"/>
        <v>2.4683833210703447</v>
      </c>
      <c r="K12">
        <f t="shared" si="5"/>
        <v>-2.1244117647059245E-3</v>
      </c>
      <c r="L12">
        <f t="shared" si="6"/>
        <v>-2.3256470588235257E-2</v>
      </c>
      <c r="M12">
        <f t="shared" si="7"/>
        <v>-1.269044117647059E-2</v>
      </c>
      <c r="N12">
        <f t="shared" si="8"/>
        <v>2.6088009737112529E-5</v>
      </c>
      <c r="O12" s="3">
        <f t="shared" si="9"/>
        <v>0.26088009737112527</v>
      </c>
    </row>
    <row r="13" spans="1:15" x14ac:dyDescent="0.25">
      <c r="A13">
        <v>100</v>
      </c>
      <c r="B13" s="3">
        <v>3.8856294117647052</v>
      </c>
      <c r="C13" s="3">
        <v>3.9808000000000003</v>
      </c>
      <c r="D13">
        <f t="shared" si="2"/>
        <v>9.5170588235295117E-2</v>
      </c>
      <c r="E13">
        <f t="shared" si="3"/>
        <v>5.3541176470589091E-2</v>
      </c>
      <c r="F13">
        <v>315</v>
      </c>
      <c r="G13">
        <v>5919</v>
      </c>
      <c r="H13">
        <f t="shared" si="4"/>
        <v>16.865470588235564</v>
      </c>
      <c r="I13">
        <f t="shared" si="0"/>
        <v>1.5308529411762812</v>
      </c>
      <c r="J13">
        <f t="shared" si="1"/>
        <v>0.25863371197436752</v>
      </c>
      <c r="K13">
        <f t="shared" si="5"/>
        <v>-2.1929411764705902E-3</v>
      </c>
      <c r="L13">
        <f t="shared" si="6"/>
        <v>-7.3144117647058931E-3</v>
      </c>
      <c r="M13">
        <f t="shared" si="7"/>
        <v>-4.7536764705882421E-3</v>
      </c>
      <c r="N13">
        <f t="shared" si="8"/>
        <v>7.2972727163425021E-6</v>
      </c>
      <c r="O13" s="3">
        <f t="shared" si="9"/>
        <v>7.2972727163425025E-2</v>
      </c>
    </row>
    <row r="14" spans="1:15" x14ac:dyDescent="0.25">
      <c r="A14">
        <v>150</v>
      </c>
      <c r="B14" s="3">
        <v>3.7751882352941171</v>
      </c>
      <c r="C14" s="3">
        <v>3.7871000000000001</v>
      </c>
      <c r="D14">
        <f t="shared" si="2"/>
        <v>1.1911764705883066E-2</v>
      </c>
      <c r="E14">
        <f t="shared" si="3"/>
        <v>7.2617647058821344E-3</v>
      </c>
      <c r="F14">
        <v>311</v>
      </c>
      <c r="G14">
        <v>5762</v>
      </c>
      <c r="H14">
        <f t="shared" si="4"/>
        <v>2.2584088235293436</v>
      </c>
      <c r="I14">
        <f t="shared" si="0"/>
        <v>-15.334617647059282</v>
      </c>
      <c r="J14">
        <f t="shared" si="1"/>
        <v>-2.6613359331932109</v>
      </c>
      <c r="K14">
        <f t="shared" si="5"/>
        <v>-2.0491176470588137E-3</v>
      </c>
      <c r="L14">
        <f t="shared" si="6"/>
        <v>-2.9747058823529527E-3</v>
      </c>
      <c r="M14">
        <f t="shared" si="7"/>
        <v>-2.5119117647058832E-3</v>
      </c>
      <c r="N14">
        <f t="shared" si="8"/>
        <v>-1.4210206298474377E-4</v>
      </c>
      <c r="O14" s="3">
        <f t="shared" si="9"/>
        <v>-1.4210206298474377</v>
      </c>
    </row>
    <row r="15" spans="1:15" x14ac:dyDescent="0.25">
      <c r="A15">
        <v>200</v>
      </c>
      <c r="B15" s="3">
        <v>3.6807176470588239</v>
      </c>
      <c r="C15" s="3">
        <v>3.6833294117647051</v>
      </c>
      <c r="D15">
        <f t="shared" si="2"/>
        <v>2.6117647058812032E-3</v>
      </c>
      <c r="E15">
        <f t="shared" si="3"/>
        <v>-2.7352941176475021E-3</v>
      </c>
      <c r="F15">
        <v>305</v>
      </c>
      <c r="G15">
        <v>5461</v>
      </c>
      <c r="H15">
        <f t="shared" si="4"/>
        <v>-0.83426470588248813</v>
      </c>
      <c r="I15">
        <f t="shared" si="0"/>
        <v>-17.593026470588626</v>
      </c>
      <c r="J15">
        <f t="shared" si="1"/>
        <v>-3.2215759880220887</v>
      </c>
      <c r="K15">
        <f t="shared" si="5"/>
        <v>-1.699058823529409E-3</v>
      </c>
      <c r="L15">
        <f t="shared" si="6"/>
        <v>-1.8990000000000018E-3</v>
      </c>
      <c r="M15">
        <f t="shared" si="7"/>
        <v>-1.7990294117647054E-3</v>
      </c>
      <c r="N15">
        <f t="shared" si="8"/>
        <v>-2.4017908230832572E-4</v>
      </c>
      <c r="O15" s="3">
        <f t="shared" si="9"/>
        <v>-2.4017908230832572</v>
      </c>
    </row>
    <row r="16" spans="1:15" x14ac:dyDescent="0.25">
      <c r="A16">
        <v>250</v>
      </c>
      <c r="B16" s="3">
        <v>3.6052823529411762</v>
      </c>
      <c r="C16" s="3">
        <v>3.5972</v>
      </c>
      <c r="D16">
        <f t="shared" si="2"/>
        <v>-8.0823529411762074E-3</v>
      </c>
      <c r="E16">
        <f t="shared" si="3"/>
        <v>-1.1173529411764305E-2</v>
      </c>
      <c r="F16">
        <v>298</v>
      </c>
      <c r="G16">
        <v>5186</v>
      </c>
      <c r="H16">
        <f t="shared" si="4"/>
        <v>-3.3297117647057628</v>
      </c>
      <c r="I16">
        <f t="shared" si="0"/>
        <v>-16.758761764706136</v>
      </c>
      <c r="J16">
        <f t="shared" si="1"/>
        <v>-3.2315390984778514</v>
      </c>
      <c r="K16">
        <f t="shared" si="5"/>
        <v>-1.4037647058823622E-3</v>
      </c>
      <c r="L16">
        <f t="shared" si="6"/>
        <v>-1.5725294117646981E-3</v>
      </c>
      <c r="M16">
        <f t="shared" si="7"/>
        <v>-1.4881470588235302E-3</v>
      </c>
      <c r="N16">
        <f t="shared" si="8"/>
        <v>-2.9125180768548351E-4</v>
      </c>
      <c r="O16" s="3">
        <f t="shared" si="9"/>
        <v>-2.9125180768548353</v>
      </c>
    </row>
    <row r="17" spans="1:15" x14ac:dyDescent="0.25">
      <c r="A17">
        <v>300</v>
      </c>
      <c r="B17" s="3">
        <v>3.5403411764705877</v>
      </c>
      <c r="C17" s="3">
        <v>3.5260764705882353</v>
      </c>
      <c r="D17">
        <f t="shared" si="2"/>
        <v>-1.4264705882352402E-2</v>
      </c>
      <c r="E17">
        <f t="shared" si="3"/>
        <v>-1.5479411764705686E-2</v>
      </c>
      <c r="F17">
        <v>289</v>
      </c>
      <c r="G17">
        <v>4893</v>
      </c>
      <c r="H17">
        <f t="shared" si="4"/>
        <v>-4.4735499999999435</v>
      </c>
      <c r="I17">
        <f t="shared" si="0"/>
        <v>-13.429050000000373</v>
      </c>
      <c r="J17">
        <f t="shared" si="1"/>
        <v>-2.7445432250154043</v>
      </c>
      <c r="K17">
        <f t="shared" si="5"/>
        <v>-1.0131764705882328E-3</v>
      </c>
      <c r="L17">
        <f t="shared" si="6"/>
        <v>-1.0992941176470605E-3</v>
      </c>
      <c r="M17">
        <f t="shared" si="7"/>
        <v>-1.0562352941176467E-3</v>
      </c>
      <c r="N17">
        <f t="shared" si="8"/>
        <v>-3.485093746276169E-4</v>
      </c>
      <c r="O17" s="3">
        <f t="shared" si="9"/>
        <v>-3.4850937462761689</v>
      </c>
    </row>
    <row r="18" spans="1:15" x14ac:dyDescent="0.25">
      <c r="A18">
        <v>350</v>
      </c>
      <c r="B18" s="3">
        <v>3.5039647058823529</v>
      </c>
      <c r="C18" s="3">
        <v>3.4872705882352939</v>
      </c>
      <c r="D18">
        <f t="shared" si="2"/>
        <v>-1.669411764705897E-2</v>
      </c>
      <c r="E18">
        <f t="shared" si="3"/>
        <v>-1.3770588235294312E-2</v>
      </c>
      <c r="F18">
        <v>284</v>
      </c>
      <c r="G18">
        <v>4615</v>
      </c>
      <c r="H18">
        <f t="shared" si="4"/>
        <v>-3.9108470588235846</v>
      </c>
      <c r="I18">
        <f t="shared" si="0"/>
        <v>-8.9555000000004288</v>
      </c>
      <c r="J18">
        <f t="shared" si="1"/>
        <v>-1.9405200433370375</v>
      </c>
      <c r="K18">
        <f t="shared" si="5"/>
        <v>-6.4247058823528656E-4</v>
      </c>
      <c r="L18">
        <f t="shared" si="6"/>
        <v>-6.0829411764705909E-4</v>
      </c>
      <c r="M18">
        <f t="shared" si="7"/>
        <v>-6.2538235294117288E-4</v>
      </c>
      <c r="N18">
        <f t="shared" si="8"/>
        <v>-4.1617652133356679E-4</v>
      </c>
      <c r="O18" s="3">
        <f t="shared" si="9"/>
        <v>-4.1617652133356682</v>
      </c>
    </row>
    <row r="19" spans="1:15" x14ac:dyDescent="0.25">
      <c r="A19">
        <v>400</v>
      </c>
      <c r="B19" s="3">
        <v>3.476094117647059</v>
      </c>
      <c r="C19" s="3">
        <v>3.4652470588235293</v>
      </c>
      <c r="D19">
        <f t="shared" si="2"/>
        <v>-1.0847058823529654E-2</v>
      </c>
      <c r="E19">
        <f t="shared" si="3"/>
        <v>-8.8000000000003631E-3</v>
      </c>
      <c r="F19">
        <v>279</v>
      </c>
      <c r="G19">
        <v>4306</v>
      </c>
      <c r="H19">
        <f t="shared" si="4"/>
        <v>-2.4552000000001013</v>
      </c>
      <c r="I19">
        <f t="shared" si="0"/>
        <v>-5.0446529411768442</v>
      </c>
      <c r="J19">
        <f t="shared" si="1"/>
        <v>-1.1715403950712597</v>
      </c>
      <c r="K19">
        <f t="shared" si="5"/>
        <v>-4.7917647058823396E-4</v>
      </c>
      <c r="L19">
        <f t="shared" si="6"/>
        <v>-3.79764705882355E-4</v>
      </c>
      <c r="M19">
        <f t="shared" si="7"/>
        <v>-4.2947058823529451E-4</v>
      </c>
      <c r="N19">
        <f t="shared" si="8"/>
        <v>-3.6587177369327501E-4</v>
      </c>
      <c r="O19" s="3">
        <f t="shared" si="9"/>
        <v>-3.6587177369327502</v>
      </c>
    </row>
    <row r="20" spans="1:15" x14ac:dyDescent="0.25">
      <c r="A20">
        <v>450</v>
      </c>
      <c r="B20" s="3">
        <v>3.4560470588235295</v>
      </c>
      <c r="C20" s="3">
        <v>3.4492941176470584</v>
      </c>
      <c r="D20">
        <f t="shared" si="2"/>
        <v>-6.7529411764710723E-3</v>
      </c>
      <c r="E20">
        <f t="shared" si="3"/>
        <v>-5.2058823529412823E-3</v>
      </c>
      <c r="F20">
        <v>271</v>
      </c>
      <c r="G20">
        <v>3966</v>
      </c>
      <c r="H20">
        <f t="shared" si="4"/>
        <v>-1.4107941176470875</v>
      </c>
      <c r="I20">
        <f t="shared" si="0"/>
        <v>-2.5894529411767424</v>
      </c>
      <c r="J20">
        <f t="shared" si="1"/>
        <v>-0.65291299575812967</v>
      </c>
      <c r="K20">
        <f t="shared" si="5"/>
        <v>-3.5841176470588379E-4</v>
      </c>
      <c r="L20">
        <f t="shared" si="6"/>
        <v>-2.8652941176470214E-4</v>
      </c>
      <c r="M20">
        <f t="shared" si="7"/>
        <v>-3.2247058823529299E-4</v>
      </c>
      <c r="N20">
        <f t="shared" si="8"/>
        <v>-2.7156279395687592E-4</v>
      </c>
      <c r="O20" s="3">
        <f t="shared" si="9"/>
        <v>-2.7156279395687593</v>
      </c>
    </row>
    <row r="21" spans="1:15" x14ac:dyDescent="0.25">
      <c r="A21">
        <v>500</v>
      </c>
      <c r="B21" s="3">
        <v>3.4402529411764706</v>
      </c>
      <c r="C21" s="3">
        <v>3.4365941176470591</v>
      </c>
      <c r="D21">
        <f t="shared" si="2"/>
        <v>-3.6588235294114924E-3</v>
      </c>
      <c r="E21">
        <f t="shared" si="3"/>
        <v>-2.4970588235295743E-3</v>
      </c>
      <c r="F21">
        <v>262</v>
      </c>
      <c r="G21">
        <v>3571</v>
      </c>
      <c r="H21">
        <f t="shared" si="4"/>
        <v>-0.65422941176474847</v>
      </c>
      <c r="I21">
        <f t="shared" si="0"/>
        <v>-1.1786588235296551</v>
      </c>
      <c r="J21">
        <f t="shared" si="1"/>
        <v>-0.33006407827769674</v>
      </c>
      <c r="K21">
        <f t="shared" si="5"/>
        <v>-2.9052941176470169E-4</v>
      </c>
      <c r="L21">
        <f t="shared" si="6"/>
        <v>-2.3635294117646755E-4</v>
      </c>
      <c r="M21">
        <f t="shared" si="7"/>
        <v>-2.6344117647058462E-4</v>
      </c>
      <c r="N21">
        <f t="shared" si="8"/>
        <v>-1.6804270716587013E-4</v>
      </c>
      <c r="O21" s="3">
        <f t="shared" si="9"/>
        <v>-1.6804270716587013</v>
      </c>
    </row>
    <row r="22" spans="1:15" x14ac:dyDescent="0.25">
      <c r="A22">
        <v>550</v>
      </c>
      <c r="B22" s="3">
        <v>3.4269941176470593</v>
      </c>
      <c r="C22" s="3">
        <v>3.4256588235294116</v>
      </c>
      <c r="D22">
        <f t="shared" si="2"/>
        <v>-1.3352941176476563E-3</v>
      </c>
      <c r="E22">
        <f t="shared" si="3"/>
        <v>-9.5000000000045048E-4</v>
      </c>
      <c r="F22">
        <v>251</v>
      </c>
      <c r="G22">
        <v>3239</v>
      </c>
      <c r="H22">
        <f t="shared" si="4"/>
        <v>-0.23845000000011307</v>
      </c>
      <c r="I22">
        <f t="shared" si="0"/>
        <v>-0.52442941176490665</v>
      </c>
      <c r="J22">
        <f t="shared" si="1"/>
        <v>-0.16191090205770503</v>
      </c>
      <c r="K22">
        <f t="shared" si="5"/>
        <v>-2.403529411764671E-4</v>
      </c>
      <c r="L22">
        <f t="shared" si="6"/>
        <v>-2.0941176470588464E-4</v>
      </c>
      <c r="M22">
        <f t="shared" si="7"/>
        <v>-2.2488235294117588E-4</v>
      </c>
      <c r="N22">
        <f t="shared" si="8"/>
        <v>-9.6566342102380614E-5</v>
      </c>
      <c r="O22" s="3">
        <f t="shared" si="9"/>
        <v>-0.96566342102380609</v>
      </c>
    </row>
    <row r="23" spans="1:15" x14ac:dyDescent="0.25">
      <c r="A23">
        <v>600</v>
      </c>
      <c r="B23" s="3">
        <v>3.4162176470588239</v>
      </c>
      <c r="C23" s="3">
        <v>3.4156529411764707</v>
      </c>
      <c r="D23">
        <f t="shared" si="2"/>
        <v>-5.647058823532447E-4</v>
      </c>
      <c r="E23">
        <f t="shared" si="3"/>
        <v>-5.26470588235739E-4</v>
      </c>
      <c r="F23">
        <v>240</v>
      </c>
      <c r="G23">
        <v>2767</v>
      </c>
      <c r="H23">
        <f t="shared" si="4"/>
        <v>-0.12635294117657736</v>
      </c>
      <c r="I23">
        <f>I24+H23</f>
        <v>-0.28597941176479358</v>
      </c>
      <c r="J23">
        <f t="shared" si="1"/>
        <v>-0.10335360020411766</v>
      </c>
      <c r="K23">
        <f t="shared" si="5"/>
        <v>-1.9894117647058617E-4</v>
      </c>
      <c r="L23">
        <f t="shared" si="6"/>
        <v>-1.9047058823529195E-4</v>
      </c>
      <c r="M23">
        <f t="shared" si="7"/>
        <v>-1.9470588235293907E-4</v>
      </c>
      <c r="N23">
        <f t="shared" si="8"/>
        <v>-7.1195345517799131E-5</v>
      </c>
      <c r="O23" s="3">
        <f t="shared" si="9"/>
        <v>-0.71195345517799136</v>
      </c>
    </row>
    <row r="24" spans="1:15" x14ac:dyDescent="0.25">
      <c r="A24">
        <v>650</v>
      </c>
      <c r="B24" s="3">
        <v>3.4071000000000007</v>
      </c>
      <c r="C24" s="3">
        <v>3.4066117647058825</v>
      </c>
      <c r="D24">
        <f t="shared" si="2"/>
        <v>-4.882352941182333E-4</v>
      </c>
      <c r="E24">
        <f t="shared" si="3"/>
        <v>-6.9705882352932846E-4</v>
      </c>
      <c r="F24">
        <v>229</v>
      </c>
      <c r="G24">
        <v>2129</v>
      </c>
      <c r="H24">
        <f t="shared" si="4"/>
        <v>-0.15962647058821622</v>
      </c>
      <c r="I24">
        <f>H24</f>
        <v>-0.15962647058821622</v>
      </c>
      <c r="J24">
        <f>(I24/G24)*1000</f>
        <v>-7.4977205536973332E-2</v>
      </c>
      <c r="K24">
        <f t="shared" si="5"/>
        <v>-1.7176470588236014E-4</v>
      </c>
      <c r="L24">
        <f t="shared" si="6"/>
        <v>-1.7517647058823193E-4</v>
      </c>
      <c r="M24">
        <f t="shared" si="7"/>
        <v>-1.7347058823529604E-4</v>
      </c>
      <c r="N24">
        <f t="shared" si="8"/>
        <v>-5.7970689216640759E-5</v>
      </c>
      <c r="O24" s="3">
        <f t="shared" si="9"/>
        <v>-0.57970689216640758</v>
      </c>
    </row>
    <row r="25" spans="1:15" x14ac:dyDescent="0.25">
      <c r="A25">
        <v>700</v>
      </c>
      <c r="B25" s="3">
        <v>3.3990411764705879</v>
      </c>
      <c r="C25" s="3">
        <v>3.3981352941176475</v>
      </c>
      <c r="D25">
        <f t="shared" si="2"/>
        <v>-9.0588235294042363E-4</v>
      </c>
      <c r="E25">
        <f t="shared" si="3"/>
        <v>-4.4411764705820644E-4</v>
      </c>
      <c r="F25" s="3">
        <v>216</v>
      </c>
      <c r="G25">
        <v>2130</v>
      </c>
      <c r="H25">
        <f t="shared" si="4"/>
        <v>-9.5929411764572592E-2</v>
      </c>
      <c r="I25">
        <f t="shared" ref="I25:I38" si="10">H25</f>
        <v>-9.5929411764572592E-2</v>
      </c>
      <c r="J25">
        <f t="shared" ref="J25:J38" si="11">(I25/G25)*1000</f>
        <v>-4.5037282518578685E-2</v>
      </c>
      <c r="K25">
        <f t="shared" si="5"/>
        <v>-1.3935294117647601E-4</v>
      </c>
      <c r="L25">
        <f t="shared" si="6"/>
        <v>-1.3429411764705356E-4</v>
      </c>
      <c r="M25">
        <f t="shared" si="7"/>
        <v>-1.3682352941176478E-4</v>
      </c>
      <c r="N25">
        <f t="shared" si="8"/>
        <v>-4.4148550983748052E-5</v>
      </c>
      <c r="O25" s="3">
        <f t="shared" si="9"/>
        <v>-0.44148550983748053</v>
      </c>
    </row>
    <row r="26" spans="1:15" x14ac:dyDescent="0.25">
      <c r="A26">
        <v>750</v>
      </c>
      <c r="B26" s="3">
        <v>3.3931647058823531</v>
      </c>
      <c r="C26" s="3">
        <v>3.3931823529411771</v>
      </c>
      <c r="D26">
        <f t="shared" si="2"/>
        <v>1.7647058824010742E-5</v>
      </c>
      <c r="E26">
        <f t="shared" si="3"/>
        <v>1.1029411764706953E-3</v>
      </c>
      <c r="F26" s="3">
        <v>205</v>
      </c>
      <c r="G26">
        <v>2131</v>
      </c>
      <c r="H26">
        <f t="shared" si="4"/>
        <v>0.22610294117649254</v>
      </c>
      <c r="I26">
        <f t="shared" si="10"/>
        <v>0.22610294117649254</v>
      </c>
      <c r="J26">
        <f t="shared" si="11"/>
        <v>0.1061018025229904</v>
      </c>
      <c r="K26">
        <f t="shared" si="5"/>
        <v>-1.1782352941176023E-4</v>
      </c>
      <c r="L26">
        <f t="shared" si="6"/>
        <v>-8.6882352941182179E-5</v>
      </c>
      <c r="M26">
        <f t="shared" si="7"/>
        <v>-1.023529411764712E-4</v>
      </c>
      <c r="N26">
        <f t="shared" si="8"/>
        <v>1.390360753427547E-4</v>
      </c>
      <c r="O26" s="3">
        <f t="shared" si="9"/>
        <v>1.3903607534275471</v>
      </c>
    </row>
    <row r="27" spans="1:15" x14ac:dyDescent="0.25">
      <c r="A27">
        <v>800</v>
      </c>
      <c r="B27" s="3">
        <v>3.3872588235294119</v>
      </c>
      <c r="C27" s="3">
        <v>3.3894470588235293</v>
      </c>
      <c r="D27">
        <f t="shared" si="2"/>
        <v>2.1882352941173799E-3</v>
      </c>
      <c r="E27">
        <f t="shared" si="3"/>
        <v>2.1382352941177185E-3</v>
      </c>
      <c r="F27" s="3">
        <v>192</v>
      </c>
      <c r="G27">
        <v>2132</v>
      </c>
      <c r="H27">
        <f t="shared" si="4"/>
        <v>0.41054117647060195</v>
      </c>
      <c r="I27">
        <f t="shared" si="10"/>
        <v>0.41054117647060195</v>
      </c>
      <c r="J27">
        <f t="shared" si="11"/>
        <v>0.19256152742523544</v>
      </c>
      <c r="K27">
        <f t="shared" si="5"/>
        <v>-1.0129411764706387E-4</v>
      </c>
      <c r="L27">
        <f t="shared" si="6"/>
        <v>-8.05882352941234E-5</v>
      </c>
      <c r="M27">
        <f t="shared" si="7"/>
        <v>-9.0941176470593627E-5</v>
      </c>
      <c r="N27">
        <f t="shared" si="8"/>
        <v>2.8399717434542452E-4</v>
      </c>
      <c r="O27" s="3">
        <f t="shared" si="9"/>
        <v>2.8399717434542451</v>
      </c>
    </row>
    <row r="28" spans="1:15" x14ac:dyDescent="0.25">
      <c r="A28">
        <v>850</v>
      </c>
      <c r="B28" s="3">
        <v>3.3830352941176467</v>
      </c>
      <c r="C28" s="3">
        <v>3.3851235294117648</v>
      </c>
      <c r="D28">
        <f t="shared" si="2"/>
        <v>2.0882352941180571E-3</v>
      </c>
      <c r="E28">
        <f t="shared" si="3"/>
        <v>2.4573529411766604E-3</v>
      </c>
      <c r="F28" s="3">
        <v>181</v>
      </c>
      <c r="G28">
        <v>2133</v>
      </c>
      <c r="H28">
        <f t="shared" si="4"/>
        <v>0.44478088235297553</v>
      </c>
      <c r="I28">
        <f t="shared" si="10"/>
        <v>0.44478088235297553</v>
      </c>
      <c r="J28">
        <f t="shared" si="11"/>
        <v>0.20852362041864769</v>
      </c>
      <c r="K28">
        <f t="shared" si="5"/>
        <v>-1.0108823529411559E-4</v>
      </c>
      <c r="L28">
        <f t="shared" si="6"/>
        <v>-9.470588235293675E-5</v>
      </c>
      <c r="M28">
        <f t="shared" si="7"/>
        <v>-9.789705882352617E-5</v>
      </c>
      <c r="N28">
        <f t="shared" si="8"/>
        <v>2.8568713082138169E-4</v>
      </c>
      <c r="O28" s="3">
        <f t="shared" si="9"/>
        <v>2.8568713082138171</v>
      </c>
    </row>
    <row r="29" spans="1:15" x14ac:dyDescent="0.25">
      <c r="A29">
        <v>900</v>
      </c>
      <c r="B29" s="3">
        <v>3.3771500000000003</v>
      </c>
      <c r="C29" s="3">
        <v>3.3799764705882356</v>
      </c>
      <c r="D29">
        <f t="shared" si="2"/>
        <v>2.8264705882352636E-3</v>
      </c>
      <c r="E29">
        <f t="shared" si="3"/>
        <v>3.0326102941173882E-3</v>
      </c>
      <c r="F29" s="3">
        <v>177</v>
      </c>
      <c r="G29">
        <v>2134</v>
      </c>
      <c r="H29">
        <f t="shared" si="4"/>
        <v>0.53677202205877772</v>
      </c>
      <c r="I29">
        <f t="shared" si="10"/>
        <v>0.53677202205877772</v>
      </c>
      <c r="J29">
        <f t="shared" si="11"/>
        <v>0.25153328118968027</v>
      </c>
      <c r="K29">
        <f t="shared" si="5"/>
        <v>-1.0854044117646567E-4</v>
      </c>
      <c r="L29">
        <f t="shared" si="6"/>
        <v>-9.70352941176511E-5</v>
      </c>
      <c r="M29">
        <f t="shared" si="7"/>
        <v>-1.0278786764705838E-4</v>
      </c>
      <c r="N29">
        <f t="shared" si="8"/>
        <v>3.282151808848708E-4</v>
      </c>
      <c r="O29" s="3">
        <f t="shared" si="9"/>
        <v>3.2821518088487078</v>
      </c>
    </row>
    <row r="30" spans="1:15" x14ac:dyDescent="0.25">
      <c r="A30">
        <v>950</v>
      </c>
      <c r="B30" s="3">
        <v>3.3721812500000001</v>
      </c>
      <c r="C30" s="3">
        <v>3.3754199999999996</v>
      </c>
      <c r="D30">
        <f t="shared" si="2"/>
        <v>3.2387499999995129E-3</v>
      </c>
      <c r="E30">
        <f t="shared" si="3"/>
        <v>1.305089285714045E-3</v>
      </c>
      <c r="F30" s="3">
        <v>172</v>
      </c>
      <c r="G30">
        <v>2135</v>
      </c>
      <c r="H30">
        <f t="shared" si="4"/>
        <v>0.22447535714281575</v>
      </c>
      <c r="I30">
        <f t="shared" si="10"/>
        <v>0.22447535714281575</v>
      </c>
      <c r="J30">
        <f t="shared" si="11"/>
        <v>0.10514068250248981</v>
      </c>
      <c r="K30">
        <f t="shared" si="5"/>
        <v>-5.7214285714288774E-5</v>
      </c>
      <c r="L30">
        <f t="shared" si="6"/>
        <v>-9.176470588235563E-5</v>
      </c>
      <c r="M30">
        <f t="shared" si="7"/>
        <v>-7.4489495798322195E-5</v>
      </c>
      <c r="N30">
        <f t="shared" si="8"/>
        <v>1.8931316762492469E-4</v>
      </c>
      <c r="O30" s="3">
        <f t="shared" si="9"/>
        <v>1.8931316762492469</v>
      </c>
    </row>
    <row r="31" spans="1:15" x14ac:dyDescent="0.25">
      <c r="A31">
        <v>1000</v>
      </c>
      <c r="B31" s="3">
        <v>3.3714285714285714</v>
      </c>
      <c r="C31" s="3">
        <v>3.3708</v>
      </c>
      <c r="D31">
        <f t="shared" si="2"/>
        <v>-6.2857142857142279E-4</v>
      </c>
      <c r="E31">
        <f t="shared" si="3"/>
        <v>-2.2857142857124479E-4</v>
      </c>
      <c r="F31" s="3">
        <v>167</v>
      </c>
      <c r="G31">
        <v>2136</v>
      </c>
      <c r="H31">
        <f t="shared" si="4"/>
        <v>-3.8171428571397881E-2</v>
      </c>
      <c r="I31">
        <f t="shared" si="10"/>
        <v>-3.8171428571397881E-2</v>
      </c>
      <c r="J31">
        <f t="shared" si="11"/>
        <v>-1.7870518994100131E-2</v>
      </c>
      <c r="K31">
        <f t="shared" si="5"/>
        <v>-5.7098214285717928E-5</v>
      </c>
      <c r="L31">
        <f t="shared" si="6"/>
        <v>-8.7771428571423721E-5</v>
      </c>
      <c r="M31">
        <f t="shared" si="7"/>
        <v>-7.2434821428570825E-5</v>
      </c>
      <c r="N31">
        <f t="shared" si="8"/>
        <v>-3.3089852912504276E-5</v>
      </c>
      <c r="O31" s="3">
        <f t="shared" si="9"/>
        <v>-0.33089852912504275</v>
      </c>
    </row>
    <row r="32" spans="1:15" x14ac:dyDescent="0.25">
      <c r="A32">
        <v>1050</v>
      </c>
      <c r="B32" s="3">
        <v>3.3664714285714283</v>
      </c>
      <c r="C32" s="3">
        <v>3.3666428571428573</v>
      </c>
      <c r="D32">
        <f t="shared" si="2"/>
        <v>1.714285714289332E-4</v>
      </c>
      <c r="E32">
        <f t="shared" si="3"/>
        <v>-1.1428571428528933E-4</v>
      </c>
      <c r="F32" s="3">
        <v>160</v>
      </c>
      <c r="G32">
        <v>2137</v>
      </c>
      <c r="H32">
        <f t="shared" si="4"/>
        <v>-1.8285714285646293E-2</v>
      </c>
      <c r="I32">
        <f t="shared" si="10"/>
        <v>-1.8285714285646293E-2</v>
      </c>
      <c r="J32">
        <f t="shared" si="11"/>
        <v>-8.556721705964573E-3</v>
      </c>
      <c r="K32">
        <f t="shared" si="5"/>
        <v>-8.7357142857147346E-5</v>
      </c>
      <c r="L32">
        <f t="shared" si="6"/>
        <v>-8.5071428571428237E-5</v>
      </c>
      <c r="M32">
        <f t="shared" si="7"/>
        <v>-8.6214285714287798E-5</v>
      </c>
      <c r="N32">
        <f t="shared" si="8"/>
        <v>-1.3311691312008776E-5</v>
      </c>
      <c r="O32" s="3">
        <f t="shared" si="9"/>
        <v>-0.13311691312008775</v>
      </c>
    </row>
    <row r="33" spans="1:15" x14ac:dyDescent="0.25">
      <c r="A33">
        <v>1100</v>
      </c>
      <c r="B33" s="3">
        <v>3.3626928571428567</v>
      </c>
      <c r="C33" s="3">
        <v>3.3622928571428572</v>
      </c>
      <c r="D33">
        <f t="shared" si="2"/>
        <v>-3.9999999999951186E-4</v>
      </c>
      <c r="E33">
        <f t="shared" si="3"/>
        <v>1.6126373626379475E-4</v>
      </c>
      <c r="F33" s="3">
        <v>151</v>
      </c>
      <c r="G33">
        <v>2138</v>
      </c>
      <c r="H33">
        <f t="shared" si="4"/>
        <v>2.4350824175833008E-2</v>
      </c>
      <c r="I33">
        <f t="shared" si="10"/>
        <v>2.4350824175833008E-2</v>
      </c>
      <c r="J33">
        <f t="shared" si="11"/>
        <v>1.1389534226301687E-2</v>
      </c>
      <c r="K33">
        <f t="shared" si="5"/>
        <v>-8.5785714285711029E-5</v>
      </c>
      <c r="L33">
        <f t="shared" si="6"/>
        <v>-8.0274725274729337E-5</v>
      </c>
      <c r="M33">
        <f t="shared" si="7"/>
        <v>-8.3030219780220183E-5</v>
      </c>
      <c r="N33">
        <f t="shared" si="8"/>
        <v>1.8398179071440174E-5</v>
      </c>
      <c r="O33" s="3">
        <f t="shared" si="9"/>
        <v>0.18398179071440174</v>
      </c>
    </row>
    <row r="34" spans="1:15" x14ac:dyDescent="0.25">
      <c r="A34">
        <v>1150</v>
      </c>
      <c r="B34" s="3">
        <v>3.3578928571428572</v>
      </c>
      <c r="C34" s="3">
        <v>3.3586153846153843</v>
      </c>
      <c r="D34">
        <f t="shared" si="2"/>
        <v>7.2252747252710137E-4</v>
      </c>
      <c r="E34">
        <f t="shared" si="3"/>
        <v>6.2216117216107314E-4</v>
      </c>
      <c r="F34" s="3">
        <v>145</v>
      </c>
      <c r="G34">
        <v>2139</v>
      </c>
      <c r="H34">
        <f t="shared" si="4"/>
        <v>9.0213369963355605E-2</v>
      </c>
      <c r="I34">
        <f t="shared" si="10"/>
        <v>9.0213369963355605E-2</v>
      </c>
      <c r="J34">
        <f t="shared" si="11"/>
        <v>4.2175488528918004E-2</v>
      </c>
      <c r="K34">
        <f t="shared" si="5"/>
        <v>-7.3761904761902037E-5</v>
      </c>
      <c r="L34">
        <f t="shared" si="6"/>
        <v>-6.4543956043956467E-5</v>
      </c>
      <c r="M34">
        <f t="shared" si="7"/>
        <v>-6.9152930402929252E-5</v>
      </c>
      <c r="N34">
        <f t="shared" si="8"/>
        <v>8.1800243887468702E-5</v>
      </c>
      <c r="O34" s="3">
        <f t="shared" si="9"/>
        <v>0.81800243887468704</v>
      </c>
    </row>
    <row r="35" spans="1:15" x14ac:dyDescent="0.25">
      <c r="A35">
        <v>1200</v>
      </c>
      <c r="B35" s="3">
        <v>3.3553166666666665</v>
      </c>
      <c r="C35" s="3">
        <v>3.3558384615384615</v>
      </c>
      <c r="D35">
        <f t="shared" si="2"/>
        <v>5.2179487179504491E-4</v>
      </c>
      <c r="E35">
        <f t="shared" si="3"/>
        <v>6.5673076923111751E-4</v>
      </c>
      <c r="F35" s="3">
        <v>137</v>
      </c>
      <c r="G35">
        <v>2140</v>
      </c>
      <c r="H35">
        <f t="shared" si="4"/>
        <v>8.9972115384663098E-2</v>
      </c>
      <c r="I35">
        <f t="shared" si="10"/>
        <v>8.9972115384663098E-2</v>
      </c>
      <c r="J35">
        <f t="shared" si="11"/>
        <v>4.2043044572272481E-2</v>
      </c>
      <c r="K35">
        <f t="shared" si="5"/>
        <v>-5.2595238095243249E-5</v>
      </c>
      <c r="L35">
        <f t="shared" si="6"/>
        <v>-5.1903846153842361E-5</v>
      </c>
      <c r="M35">
        <f t="shared" si="7"/>
        <v>-5.2249542124542802E-5</v>
      </c>
      <c r="N35">
        <f t="shared" si="8"/>
        <v>1.0792367719472543E-4</v>
      </c>
      <c r="O35" s="3">
        <f t="shared" si="9"/>
        <v>1.0792367719472542</v>
      </c>
    </row>
    <row r="36" spans="1:15" x14ac:dyDescent="0.25">
      <c r="A36">
        <v>1250</v>
      </c>
      <c r="B36" s="3">
        <v>3.3526333333333329</v>
      </c>
      <c r="C36" s="3">
        <v>3.3534250000000001</v>
      </c>
      <c r="D36">
        <f t="shared" si="2"/>
        <v>7.916666666671901E-4</v>
      </c>
      <c r="E36">
        <f t="shared" si="3"/>
        <v>1.0383333333336964E-3</v>
      </c>
      <c r="F36" s="3">
        <v>124</v>
      </c>
      <c r="G36">
        <v>2141</v>
      </c>
      <c r="H36">
        <f t="shared" si="4"/>
        <v>0.12875333333337835</v>
      </c>
      <c r="I36">
        <f t="shared" si="10"/>
        <v>0.12875333333337835</v>
      </c>
      <c r="J36">
        <f t="shared" si="11"/>
        <v>6.0137007628854905E-2</v>
      </c>
      <c r="K36">
        <f t="shared" si="5"/>
        <v>-5.0766666666661743E-5</v>
      </c>
      <c r="L36">
        <f t="shared" si="6"/>
        <v>-4.3134615384610163E-5</v>
      </c>
      <c r="M36">
        <f t="shared" si="7"/>
        <v>-4.695064102563595E-5</v>
      </c>
      <c r="N36">
        <f t="shared" si="8"/>
        <v>1.7179295619960849E-4</v>
      </c>
      <c r="O36" s="3">
        <f t="shared" si="9"/>
        <v>1.7179295619960848</v>
      </c>
    </row>
    <row r="37" spans="1:15" x14ac:dyDescent="0.25">
      <c r="A37">
        <v>1300</v>
      </c>
      <c r="B37" s="3">
        <v>3.3502400000000003</v>
      </c>
      <c r="C37" s="3">
        <v>3.3515250000000005</v>
      </c>
      <c r="D37">
        <f t="shared" si="2"/>
        <v>1.2850000000002026E-3</v>
      </c>
      <c r="E37">
        <f t="shared" si="3"/>
        <v>2.8841666666661325E-3</v>
      </c>
      <c r="F37" s="3">
        <v>101</v>
      </c>
      <c r="G37">
        <v>2142</v>
      </c>
      <c r="H37">
        <f t="shared" si="4"/>
        <v>0.29130083333327939</v>
      </c>
      <c r="I37">
        <f t="shared" si="10"/>
        <v>0.29130083333327939</v>
      </c>
      <c r="J37">
        <f t="shared" si="11"/>
        <v>0.13599478680358515</v>
      </c>
      <c r="K37">
        <f t="shared" si="5"/>
        <v>-8.6833333333324878E-5</v>
      </c>
      <c r="L37">
        <f t="shared" si="6"/>
        <v>-4.9916666666676156E-5</v>
      </c>
      <c r="M37">
        <f t="shared" si="7"/>
        <v>-6.837500000000051E-5</v>
      </c>
      <c r="N37">
        <f t="shared" si="8"/>
        <v>2.6676569865093254E-4</v>
      </c>
      <c r="O37" s="3">
        <f t="shared" si="9"/>
        <v>2.6676569865093254</v>
      </c>
    </row>
    <row r="38" spans="1:15" x14ac:dyDescent="0.25">
      <c r="A38">
        <v>1350</v>
      </c>
      <c r="B38" s="3">
        <v>3.3439500000000004</v>
      </c>
      <c r="C38" s="3">
        <v>3.3484333333333325</v>
      </c>
      <c r="D38">
        <f t="shared" si="2"/>
        <v>4.4833333333320624E-3</v>
      </c>
      <c r="E38">
        <f t="shared" si="3"/>
        <v>2.2416666666660312E-3</v>
      </c>
      <c r="F38" s="3">
        <v>67</v>
      </c>
      <c r="G38">
        <v>2143</v>
      </c>
      <c r="H38">
        <f t="shared" si="4"/>
        <v>0.15019166666662409</v>
      </c>
      <c r="I38">
        <f t="shared" si="10"/>
        <v>0.15019166666662409</v>
      </c>
      <c r="J38">
        <f t="shared" si="11"/>
        <v>7.0084772126282821E-2</v>
      </c>
      <c r="K38">
        <f t="shared" si="5"/>
        <v>-1.1323333333332908E-4</v>
      </c>
      <c r="L38">
        <f t="shared" si="6"/>
        <v>-4.0916666666670489E-5</v>
      </c>
      <c r="M38">
        <f t="shared" si="7"/>
        <v>-7.7074999999999786E-5</v>
      </c>
      <c r="N38">
        <f t="shared" si="8"/>
        <v>1.2195937701701013E-4</v>
      </c>
      <c r="O38" s="3">
        <f t="shared" si="9"/>
        <v>1.2195937701701014</v>
      </c>
    </row>
    <row r="39" spans="1:15" x14ac:dyDescent="0.25">
      <c r="A39">
        <v>1400</v>
      </c>
      <c r="B39" s="3">
        <v>3.3389166666666674</v>
      </c>
      <c r="C39" s="3">
        <v>3.3474333333333335</v>
      </c>
      <c r="F39" s="3">
        <v>25.9</v>
      </c>
      <c r="O39" s="3"/>
    </row>
    <row r="40" spans="1:15" x14ac:dyDescent="0.25">
      <c r="B40" s="3"/>
      <c r="C40" s="3"/>
      <c r="D40" s="8"/>
      <c r="E40" s="8"/>
      <c r="F40" s="3"/>
      <c r="G40" s="9"/>
      <c r="O40" s="3"/>
    </row>
    <row r="41" spans="1:15" x14ac:dyDescent="0.25">
      <c r="B41" s="3"/>
      <c r="C41" s="3"/>
      <c r="D41" s="8"/>
      <c r="E41" s="8"/>
      <c r="F41" s="3"/>
      <c r="G41" s="9"/>
      <c r="O41" s="3"/>
    </row>
    <row r="42" spans="1:15" x14ac:dyDescent="0.25">
      <c r="B42" s="3"/>
      <c r="C42" s="3"/>
      <c r="D42" s="8"/>
      <c r="E42" s="8"/>
      <c r="F42" s="3"/>
      <c r="G42" s="9"/>
      <c r="O42" s="3"/>
    </row>
    <row r="43" spans="1:15" x14ac:dyDescent="0.25">
      <c r="B43" s="3"/>
      <c r="C43" s="3"/>
      <c r="D43" s="8"/>
      <c r="E43" s="8"/>
      <c r="F43" s="3"/>
      <c r="G43" s="9"/>
      <c r="O43" s="3"/>
    </row>
    <row r="44" spans="1:15" x14ac:dyDescent="0.25">
      <c r="B44" s="3"/>
      <c r="C44" s="3"/>
      <c r="D44" s="8"/>
      <c r="E44" s="8"/>
      <c r="F44" s="3"/>
      <c r="G44" s="9"/>
      <c r="O44" s="3"/>
    </row>
    <row r="45" spans="1:15" x14ac:dyDescent="0.25">
      <c r="B45" s="3"/>
      <c r="C45" s="3"/>
      <c r="D45" s="8"/>
      <c r="E45" s="8"/>
      <c r="F45" s="3"/>
      <c r="G45" s="9"/>
      <c r="O45" s="3"/>
    </row>
    <row r="46" spans="1:15" x14ac:dyDescent="0.25">
      <c r="B46" s="3"/>
      <c r="C46" s="3"/>
      <c r="D46" s="8"/>
      <c r="E46" s="8"/>
      <c r="F46" s="3"/>
      <c r="G46" s="9"/>
      <c r="O46" s="3"/>
    </row>
    <row r="47" spans="1:15" x14ac:dyDescent="0.25">
      <c r="B47" s="3"/>
      <c r="C47" s="3"/>
      <c r="D47" s="8"/>
      <c r="E47" s="8"/>
      <c r="F47" s="3"/>
      <c r="G47" s="9"/>
      <c r="O47" s="3"/>
    </row>
    <row r="48" spans="1:15" x14ac:dyDescent="0.25">
      <c r="B48" s="3"/>
      <c r="C48" s="3"/>
      <c r="D48" s="8"/>
      <c r="E48" s="8"/>
      <c r="F48" s="3"/>
      <c r="G48" s="9"/>
      <c r="O48" s="3"/>
    </row>
    <row r="49" spans="2:15" x14ac:dyDescent="0.25">
      <c r="B49" s="3"/>
      <c r="C49" s="3"/>
      <c r="D49" s="8"/>
      <c r="E49" s="8"/>
      <c r="F49" s="3"/>
      <c r="G49" s="9"/>
      <c r="O49" s="3"/>
    </row>
    <row r="50" spans="2:15" x14ac:dyDescent="0.25">
      <c r="B50" s="3"/>
      <c r="C50" s="3"/>
      <c r="D50" s="8"/>
      <c r="E50" s="8"/>
      <c r="F50" s="3"/>
      <c r="G50" s="9"/>
      <c r="O50" s="3"/>
    </row>
    <row r="51" spans="2:15" x14ac:dyDescent="0.25">
      <c r="B51" s="3"/>
      <c r="C51" s="3"/>
      <c r="D51" s="8"/>
      <c r="E51" s="8"/>
      <c r="F51" s="3"/>
      <c r="G51" s="9"/>
      <c r="O51" s="3"/>
    </row>
    <row r="52" spans="2:15" x14ac:dyDescent="0.25">
      <c r="B52" s="3"/>
      <c r="C52" s="3"/>
      <c r="D52" s="8"/>
      <c r="E52" s="8"/>
      <c r="F52" s="3"/>
      <c r="O52" s="3"/>
    </row>
    <row r="53" spans="2:15" x14ac:dyDescent="0.25">
      <c r="B53" s="3"/>
      <c r="C53" s="3"/>
      <c r="D53" s="8"/>
      <c r="E53" s="8"/>
      <c r="F53" s="3"/>
      <c r="G53" s="9"/>
      <c r="O53" s="3"/>
    </row>
    <row r="54" spans="2:15" x14ac:dyDescent="0.25">
      <c r="B54" s="3"/>
      <c r="C54" s="3"/>
      <c r="D54" s="8"/>
      <c r="E54" s="8"/>
      <c r="F54" s="3"/>
      <c r="G54" s="9"/>
      <c r="O54" s="3"/>
    </row>
    <row r="55" spans="2:15" x14ac:dyDescent="0.25">
      <c r="B55" s="3"/>
      <c r="C55" s="3"/>
      <c r="D55" s="8"/>
      <c r="E55" s="8"/>
      <c r="F55" s="3"/>
      <c r="G55" s="9"/>
      <c r="O55" s="3"/>
    </row>
    <row r="56" spans="2:15" x14ac:dyDescent="0.25">
      <c r="B56" s="3"/>
      <c r="C56" s="3"/>
      <c r="D56" s="8"/>
      <c r="E56" s="8"/>
      <c r="F56" s="3"/>
      <c r="G56" s="9"/>
      <c r="O56" s="3"/>
    </row>
    <row r="57" spans="2:15" x14ac:dyDescent="0.25">
      <c r="B57" s="3"/>
      <c r="C57" s="3"/>
      <c r="D57" s="8"/>
      <c r="E57" s="8"/>
      <c r="F57" s="3"/>
      <c r="G57" s="9"/>
      <c r="O57" s="3"/>
    </row>
    <row r="58" spans="2:15" x14ac:dyDescent="0.25">
      <c r="B58" s="3"/>
      <c r="D58" s="8"/>
      <c r="E58" s="8"/>
      <c r="F58" s="3"/>
      <c r="G58" s="9"/>
      <c r="O58" s="3"/>
    </row>
    <row r="59" spans="2:15" x14ac:dyDescent="0.25">
      <c r="B59" s="3"/>
      <c r="D59" s="8"/>
      <c r="E59" s="8"/>
      <c r="F59" s="3"/>
      <c r="G59" s="9"/>
      <c r="O59" s="3"/>
    </row>
    <row r="60" spans="2:15" x14ac:dyDescent="0.25">
      <c r="B60" s="3"/>
      <c r="D60" s="8"/>
      <c r="E60" s="8"/>
      <c r="F60" s="3"/>
      <c r="G60" s="9"/>
      <c r="O60" s="3"/>
    </row>
    <row r="61" spans="2:15" x14ac:dyDescent="0.25">
      <c r="B61" s="3"/>
      <c r="D61" s="8"/>
      <c r="E61" s="8"/>
      <c r="F61" s="3"/>
      <c r="G61" s="9"/>
      <c r="O61" s="3"/>
    </row>
    <row r="62" spans="2:15" x14ac:dyDescent="0.25">
      <c r="B62" s="3"/>
      <c r="D62" s="8"/>
      <c r="E62" s="8"/>
      <c r="F62" s="3"/>
      <c r="G62" s="9"/>
      <c r="O62" s="3"/>
    </row>
    <row r="63" spans="2:15" x14ac:dyDescent="0.25">
      <c r="B63" s="3"/>
      <c r="D63" s="8"/>
      <c r="E63" s="8"/>
      <c r="F63" s="3"/>
      <c r="G63" s="9"/>
      <c r="O63" s="3"/>
    </row>
    <row r="64" spans="2:15" x14ac:dyDescent="0.25">
      <c r="B64" s="3"/>
      <c r="D64" s="8"/>
      <c r="E64" s="8"/>
      <c r="F64" s="3"/>
      <c r="G64" s="9"/>
      <c r="O64" s="3"/>
    </row>
    <row r="65" spans="2:15" x14ac:dyDescent="0.25">
      <c r="B65" s="3"/>
      <c r="D65" s="8"/>
      <c r="E65" s="8"/>
      <c r="F65" s="3"/>
      <c r="G65" s="9"/>
      <c r="O65" s="3"/>
    </row>
    <row r="66" spans="2:15" x14ac:dyDescent="0.25">
      <c r="B66" s="3"/>
      <c r="D66" s="8"/>
      <c r="E66" s="8"/>
      <c r="F66" s="3"/>
      <c r="G66" s="9"/>
      <c r="O66" s="3"/>
    </row>
    <row r="67" spans="2:15" x14ac:dyDescent="0.25">
      <c r="B67" s="3"/>
      <c r="D67" s="8"/>
      <c r="E67" s="8"/>
      <c r="F67" s="3"/>
      <c r="G67" s="9"/>
      <c r="O67" s="3"/>
    </row>
    <row r="68" spans="2:15" x14ac:dyDescent="0.25">
      <c r="B68" s="3"/>
      <c r="D68" s="8"/>
      <c r="E68" s="8"/>
      <c r="F68" s="3"/>
      <c r="G68" s="9"/>
      <c r="O68" s="3"/>
    </row>
    <row r="69" spans="2:15" x14ac:dyDescent="0.25">
      <c r="B69" s="3"/>
      <c r="D69" s="8"/>
      <c r="E69" s="8"/>
      <c r="F69" s="3"/>
      <c r="G69" s="9"/>
      <c r="O69" s="3"/>
    </row>
    <row r="70" spans="2:15" x14ac:dyDescent="0.25">
      <c r="B70" s="3"/>
      <c r="D70" s="8"/>
      <c r="E70" s="8"/>
      <c r="F70" s="3"/>
      <c r="G70" s="9"/>
      <c r="O70" s="3"/>
    </row>
    <row r="71" spans="2:15" x14ac:dyDescent="0.25">
      <c r="B71" s="3"/>
      <c r="D71" s="8"/>
      <c r="E71" s="8"/>
      <c r="F71" s="3"/>
      <c r="G71" s="9"/>
      <c r="O71" s="3"/>
    </row>
    <row r="72" spans="2:15" x14ac:dyDescent="0.25">
      <c r="B72" s="3"/>
      <c r="D72" s="8"/>
      <c r="E72" s="8"/>
      <c r="F72" s="3"/>
      <c r="G72" s="9"/>
      <c r="O72" s="3"/>
    </row>
    <row r="73" spans="2:15" x14ac:dyDescent="0.25">
      <c r="B73" s="3"/>
      <c r="D73" s="8"/>
      <c r="E73" s="8"/>
      <c r="F73" s="3"/>
      <c r="G73" s="9"/>
      <c r="O73" s="3"/>
    </row>
    <row r="74" spans="2:15" x14ac:dyDescent="0.25">
      <c r="B74" s="3"/>
      <c r="D74" s="8"/>
      <c r="E74" s="8"/>
      <c r="F74" s="3"/>
      <c r="G74" s="9"/>
      <c r="O74" s="3"/>
    </row>
    <row r="75" spans="2:15" x14ac:dyDescent="0.25">
      <c r="B75" s="3"/>
      <c r="D75" s="8"/>
      <c r="E75" s="8"/>
      <c r="F75" s="3"/>
      <c r="G75" s="9"/>
      <c r="O75" s="3"/>
    </row>
    <row r="76" spans="2:15" x14ac:dyDescent="0.25">
      <c r="B76" s="3"/>
      <c r="D76" s="8"/>
      <c r="E76" s="8"/>
      <c r="F76" s="3"/>
      <c r="G76" s="9"/>
      <c r="O76" s="3"/>
    </row>
    <row r="77" spans="2:15" x14ac:dyDescent="0.25">
      <c r="B77" s="3"/>
      <c r="D77" s="8"/>
      <c r="E77" s="8"/>
      <c r="F77" s="3"/>
      <c r="O77" s="3"/>
    </row>
    <row r="78" spans="2:15" x14ac:dyDescent="0.25">
      <c r="B78" s="3"/>
      <c r="D78" s="8"/>
      <c r="E78" s="8"/>
      <c r="F78" s="3"/>
      <c r="G78" s="9"/>
      <c r="O78" s="3"/>
    </row>
    <row r="79" spans="2:15" x14ac:dyDescent="0.25">
      <c r="B79" s="3"/>
      <c r="D79" s="8"/>
      <c r="E79" s="8"/>
      <c r="F79" s="3"/>
      <c r="G79" s="9"/>
      <c r="O79" s="3"/>
    </row>
    <row r="80" spans="2:15" x14ac:dyDescent="0.25">
      <c r="B80" s="3"/>
      <c r="D80" s="8"/>
      <c r="E80" s="8"/>
      <c r="F80" s="3"/>
      <c r="G80" s="9"/>
      <c r="O80" s="3"/>
    </row>
    <row r="81" spans="4:15" x14ac:dyDescent="0.25">
      <c r="D81" s="8"/>
      <c r="E81" s="8"/>
      <c r="F81" s="3"/>
      <c r="G81" s="9"/>
      <c r="O81" s="3"/>
    </row>
    <row r="82" spans="4:15" x14ac:dyDescent="0.25">
      <c r="D82" s="8"/>
      <c r="E82" s="8"/>
      <c r="F82" s="3"/>
      <c r="G82" s="9"/>
      <c r="O82" s="3"/>
    </row>
    <row r="83" spans="4:15" x14ac:dyDescent="0.25">
      <c r="D83" s="8"/>
      <c r="E83" s="8"/>
      <c r="F83" s="3"/>
      <c r="G83" s="9"/>
      <c r="O83" s="3"/>
    </row>
    <row r="84" spans="4:15" x14ac:dyDescent="0.25">
      <c r="D84" s="8"/>
      <c r="E84" s="8"/>
      <c r="F84" s="3"/>
      <c r="G84" s="9"/>
      <c r="O84" s="3"/>
    </row>
    <row r="85" spans="4:15" x14ac:dyDescent="0.25">
      <c r="D85" s="8"/>
      <c r="E85" s="8"/>
      <c r="F85" s="3"/>
      <c r="G85" s="9"/>
      <c r="O85" s="3"/>
    </row>
    <row r="86" spans="4:15" x14ac:dyDescent="0.25">
      <c r="D86" s="8"/>
      <c r="E86" s="8"/>
      <c r="F86" s="3"/>
      <c r="G86" s="9"/>
      <c r="O86" s="3"/>
    </row>
    <row r="87" spans="4:15" x14ac:dyDescent="0.25">
      <c r="D87" s="8"/>
      <c r="E87" s="8"/>
      <c r="F87" s="3"/>
      <c r="G87" s="9"/>
      <c r="O87" s="3"/>
    </row>
    <row r="88" spans="4:15" x14ac:dyDescent="0.25">
      <c r="D88" s="8"/>
      <c r="E88" s="8"/>
      <c r="F88" s="3"/>
      <c r="G88" s="9"/>
      <c r="O88" s="3"/>
    </row>
    <row r="89" spans="4:15" x14ac:dyDescent="0.25">
      <c r="D89" s="8"/>
      <c r="E89" s="8"/>
      <c r="F89" s="3"/>
      <c r="G89" s="9"/>
      <c r="O89" s="3"/>
    </row>
    <row r="90" spans="4:15" x14ac:dyDescent="0.25">
      <c r="D90" s="8"/>
      <c r="E90" s="8"/>
      <c r="F90" s="3"/>
      <c r="G90" s="9"/>
      <c r="O90" s="3"/>
    </row>
    <row r="91" spans="4:15" x14ac:dyDescent="0.25">
      <c r="D91" s="8"/>
      <c r="E91" s="8"/>
      <c r="F91" s="3"/>
      <c r="G91" s="9"/>
      <c r="O91" s="3"/>
    </row>
    <row r="92" spans="4:15" x14ac:dyDescent="0.25">
      <c r="D92" s="8"/>
      <c r="E92" s="8"/>
      <c r="F92" s="3"/>
      <c r="G92" s="9"/>
      <c r="O92" s="3"/>
    </row>
    <row r="93" spans="4:15" x14ac:dyDescent="0.25">
      <c r="D93" s="8"/>
      <c r="E93" s="8"/>
      <c r="F93" s="3"/>
      <c r="G93" s="9"/>
      <c r="O93" s="3"/>
    </row>
    <row r="94" spans="4:15" x14ac:dyDescent="0.25">
      <c r="D94" s="8"/>
      <c r="E94" s="8"/>
      <c r="F94" s="3"/>
      <c r="G94" s="9"/>
      <c r="O94" s="3"/>
    </row>
    <row r="95" spans="4:15" x14ac:dyDescent="0.25">
      <c r="D95" s="8"/>
      <c r="E95" s="8"/>
      <c r="F95" s="3"/>
      <c r="G95" s="9"/>
      <c r="O95" s="3"/>
    </row>
    <row r="96" spans="4:15" x14ac:dyDescent="0.25">
      <c r="D96" s="8"/>
      <c r="E96" s="8"/>
      <c r="F96" s="3"/>
      <c r="G96" s="9"/>
      <c r="O96" s="3"/>
    </row>
    <row r="97" spans="4:15" x14ac:dyDescent="0.25">
      <c r="D97" s="8"/>
      <c r="E97" s="8"/>
      <c r="F97" s="3"/>
      <c r="G97" s="9"/>
      <c r="O97" s="3"/>
    </row>
    <row r="98" spans="4:15" x14ac:dyDescent="0.25">
      <c r="D98" s="8"/>
      <c r="E98" s="8"/>
      <c r="F98" s="3"/>
      <c r="G98" s="9"/>
      <c r="O98" s="3"/>
    </row>
    <row r="99" spans="4:15" x14ac:dyDescent="0.25">
      <c r="D99" s="8"/>
      <c r="E99" s="8"/>
      <c r="F99" s="3"/>
      <c r="G99" s="9"/>
      <c r="O99" s="3"/>
    </row>
    <row r="100" spans="4:15" x14ac:dyDescent="0.25">
      <c r="D100" s="8"/>
      <c r="E100" s="8"/>
      <c r="F100" s="3"/>
      <c r="G100" s="9"/>
      <c r="O100" s="3"/>
    </row>
    <row r="101" spans="4:15" x14ac:dyDescent="0.25">
      <c r="D101" s="8"/>
      <c r="E101" s="8"/>
      <c r="F101" s="3"/>
      <c r="G101" s="9"/>
      <c r="O101" s="3"/>
    </row>
    <row r="102" spans="4:15" x14ac:dyDescent="0.25">
      <c r="D102" s="8"/>
      <c r="E102" s="8"/>
      <c r="F102" s="3"/>
      <c r="O102" s="3"/>
    </row>
    <row r="103" spans="4:15" x14ac:dyDescent="0.25">
      <c r="D103" s="8"/>
      <c r="E103" s="8"/>
      <c r="F103" s="3"/>
      <c r="G103" s="9"/>
      <c r="O103" s="3"/>
    </row>
    <row r="104" spans="4:15" x14ac:dyDescent="0.25">
      <c r="D104" s="8"/>
      <c r="E104" s="8"/>
      <c r="F104" s="3"/>
      <c r="G104" s="9"/>
      <c r="O104" s="3"/>
    </row>
    <row r="105" spans="4:15" x14ac:dyDescent="0.25">
      <c r="D105" s="8"/>
      <c r="E105" s="8"/>
      <c r="F105" s="3"/>
      <c r="G105" s="9"/>
      <c r="O105" s="3"/>
    </row>
    <row r="106" spans="4:15" x14ac:dyDescent="0.25">
      <c r="D106" s="8"/>
      <c r="E106" s="8"/>
      <c r="F106" s="3"/>
      <c r="G106" s="9"/>
      <c r="O106" s="3"/>
    </row>
    <row r="107" spans="4:15" x14ac:dyDescent="0.25">
      <c r="D107" s="8"/>
      <c r="E107" s="8"/>
      <c r="F107" s="3"/>
      <c r="G107" s="9"/>
      <c r="O107" s="3"/>
    </row>
    <row r="108" spans="4:15" x14ac:dyDescent="0.25">
      <c r="D108" s="8"/>
      <c r="E108" s="8"/>
      <c r="F108" s="3"/>
      <c r="G108" s="9"/>
      <c r="O108" s="3"/>
    </row>
    <row r="109" spans="4:15" x14ac:dyDescent="0.25">
      <c r="D109" s="8"/>
      <c r="E109" s="8"/>
      <c r="F109" s="3"/>
      <c r="G109" s="9"/>
      <c r="O109" s="3"/>
    </row>
    <row r="110" spans="4:15" x14ac:dyDescent="0.25">
      <c r="D110" s="8"/>
      <c r="E110" s="8"/>
      <c r="F110" s="3"/>
      <c r="G110" s="9"/>
      <c r="O110" s="3"/>
    </row>
    <row r="111" spans="4:15" x14ac:dyDescent="0.25">
      <c r="D111" s="8"/>
      <c r="E111" s="8"/>
      <c r="F111" s="3"/>
      <c r="G111" s="9"/>
      <c r="O111" s="3"/>
    </row>
    <row r="112" spans="4:15" x14ac:dyDescent="0.25">
      <c r="D112" s="8"/>
      <c r="E112" s="8"/>
      <c r="F112" s="3"/>
      <c r="G112" s="9"/>
      <c r="O112" s="3"/>
    </row>
    <row r="113" spans="4:15" x14ac:dyDescent="0.25">
      <c r="D113" s="8"/>
      <c r="E113" s="8"/>
      <c r="F113" s="3"/>
      <c r="G113" s="9"/>
      <c r="O113" s="3"/>
    </row>
    <row r="114" spans="4:15" x14ac:dyDescent="0.25">
      <c r="D114" s="8"/>
      <c r="E114" s="8"/>
      <c r="F114" s="3"/>
      <c r="G114" s="9"/>
      <c r="O114" s="3"/>
    </row>
    <row r="115" spans="4:15" x14ac:dyDescent="0.25">
      <c r="D115" s="8"/>
      <c r="E115" s="8"/>
      <c r="F115" s="3"/>
      <c r="G115" s="9"/>
      <c r="O115" s="3"/>
    </row>
    <row r="116" spans="4:15" x14ac:dyDescent="0.25">
      <c r="D116" s="8"/>
      <c r="E116" s="8"/>
      <c r="F116" s="3"/>
      <c r="G116" s="9"/>
      <c r="O116" s="3"/>
    </row>
    <row r="117" spans="4:15" x14ac:dyDescent="0.25">
      <c r="D117" s="8"/>
      <c r="E117" s="8"/>
      <c r="F117" s="3"/>
      <c r="G117" s="9"/>
      <c r="O117" s="3"/>
    </row>
    <row r="118" spans="4:15" x14ac:dyDescent="0.25">
      <c r="D118" s="8"/>
      <c r="E118" s="8"/>
      <c r="F118" s="3"/>
      <c r="G118" s="9"/>
      <c r="O118" s="3"/>
    </row>
    <row r="119" spans="4:15" x14ac:dyDescent="0.25">
      <c r="D119" s="8"/>
      <c r="E119" s="8"/>
      <c r="F119" s="3"/>
      <c r="G119" s="9"/>
      <c r="O119" s="3"/>
    </row>
    <row r="120" spans="4:15" x14ac:dyDescent="0.25">
      <c r="D120" s="8"/>
      <c r="E120" s="8"/>
      <c r="F120" s="3"/>
      <c r="G120" s="9"/>
      <c r="O120" s="3"/>
    </row>
    <row r="121" spans="4:15" x14ac:dyDescent="0.25">
      <c r="D121" s="8"/>
      <c r="E121" s="8"/>
      <c r="F121" s="3"/>
      <c r="G121" s="9"/>
      <c r="O121" s="3"/>
    </row>
    <row r="122" spans="4:15" x14ac:dyDescent="0.25">
      <c r="D122" s="8"/>
      <c r="E122" s="8"/>
      <c r="F122" s="3"/>
      <c r="G122" s="9"/>
      <c r="O122" s="3"/>
    </row>
    <row r="123" spans="4:15" x14ac:dyDescent="0.25">
      <c r="D123" s="8"/>
      <c r="E123" s="8"/>
      <c r="F123" s="3"/>
      <c r="G123" s="9"/>
      <c r="O123" s="3"/>
    </row>
    <row r="124" spans="4:15" x14ac:dyDescent="0.25">
      <c r="D124" s="8"/>
      <c r="E124" s="8"/>
      <c r="F124" s="3"/>
      <c r="G124" s="9"/>
      <c r="O124" s="3"/>
    </row>
    <row r="125" spans="4:15" x14ac:dyDescent="0.25">
      <c r="D125" s="8"/>
      <c r="E125" s="8"/>
      <c r="F125" s="3"/>
      <c r="G125" s="9"/>
      <c r="O125" s="3"/>
    </row>
    <row r="126" spans="4:15" x14ac:dyDescent="0.25">
      <c r="D126" s="8"/>
      <c r="E126" s="8"/>
      <c r="F126" s="3"/>
      <c r="G126" s="9"/>
      <c r="O126" s="3"/>
    </row>
    <row r="127" spans="4:15" x14ac:dyDescent="0.25">
      <c r="D127" s="8"/>
      <c r="E127" s="8"/>
      <c r="F127" s="3"/>
      <c r="O127" s="3"/>
    </row>
    <row r="128" spans="4:15" x14ac:dyDescent="0.25">
      <c r="D128" s="8"/>
      <c r="E128" s="8"/>
      <c r="F128" s="3"/>
      <c r="G128" s="9"/>
      <c r="O128" s="3"/>
    </row>
    <row r="129" spans="4:15" x14ac:dyDescent="0.25">
      <c r="D129" s="8"/>
      <c r="E129" s="8"/>
      <c r="F129" s="3"/>
      <c r="G129" s="9"/>
      <c r="O129" s="3"/>
    </row>
    <row r="130" spans="4:15" x14ac:dyDescent="0.25">
      <c r="D130" s="8"/>
      <c r="E130" s="8"/>
      <c r="F130" s="3"/>
      <c r="G130" s="9"/>
      <c r="O130" s="3"/>
    </row>
    <row r="131" spans="4:15" x14ac:dyDescent="0.25">
      <c r="D131" s="8"/>
      <c r="E131" s="8"/>
      <c r="F131" s="3"/>
      <c r="G131" s="9"/>
      <c r="O131" s="3"/>
    </row>
    <row r="132" spans="4:15" x14ac:dyDescent="0.25">
      <c r="D132" s="8"/>
      <c r="E132" s="8"/>
      <c r="F132" s="3"/>
      <c r="G132" s="9"/>
      <c r="O132" s="3"/>
    </row>
    <row r="133" spans="4:15" x14ac:dyDescent="0.25">
      <c r="D133" s="8"/>
      <c r="E133" s="8"/>
      <c r="F133" s="3"/>
      <c r="G133" s="9"/>
      <c r="O133" s="3"/>
    </row>
    <row r="134" spans="4:15" x14ac:dyDescent="0.25">
      <c r="D134" s="8"/>
      <c r="E134" s="8"/>
      <c r="F134" s="3"/>
      <c r="G134" s="9"/>
      <c r="O134" s="3"/>
    </row>
    <row r="135" spans="4:15" x14ac:dyDescent="0.25">
      <c r="D135" s="8"/>
      <c r="E135" s="8"/>
      <c r="F135" s="3"/>
      <c r="G135" s="9"/>
      <c r="O135" s="3"/>
    </row>
    <row r="136" spans="4:15" x14ac:dyDescent="0.25">
      <c r="D136" s="8"/>
      <c r="E136" s="8"/>
      <c r="F136" s="3"/>
      <c r="G136" s="9"/>
      <c r="O136" s="3"/>
    </row>
    <row r="137" spans="4:15" x14ac:dyDescent="0.25">
      <c r="D137" s="8"/>
      <c r="E137" s="8"/>
      <c r="F137" s="3"/>
      <c r="G137" s="9"/>
      <c r="O137" s="3"/>
    </row>
    <row r="138" spans="4:15" x14ac:dyDescent="0.25">
      <c r="D138" s="8"/>
      <c r="E138" s="8"/>
      <c r="F138" s="3"/>
      <c r="G138" s="9"/>
      <c r="O138" s="3"/>
    </row>
    <row r="139" spans="4:15" x14ac:dyDescent="0.25">
      <c r="D139" s="8"/>
      <c r="E139" s="8"/>
      <c r="F139" s="3"/>
      <c r="G139" s="9"/>
      <c r="O139" s="3"/>
    </row>
    <row r="140" spans="4:15" x14ac:dyDescent="0.25">
      <c r="D140" s="8"/>
      <c r="E140" s="8"/>
      <c r="F140" s="3"/>
      <c r="G140" s="9"/>
      <c r="O140" s="3"/>
    </row>
    <row r="141" spans="4:15" x14ac:dyDescent="0.25">
      <c r="D141" s="8"/>
      <c r="E141" s="8"/>
      <c r="F141" s="3"/>
      <c r="G141" s="9"/>
      <c r="O141" s="3"/>
    </row>
    <row r="142" spans="4:15" x14ac:dyDescent="0.25">
      <c r="D142" s="8"/>
      <c r="E142" s="8"/>
      <c r="F142" s="3"/>
      <c r="G142" s="9"/>
      <c r="O142" s="3"/>
    </row>
    <row r="143" spans="4:15" x14ac:dyDescent="0.25">
      <c r="D143" s="8"/>
      <c r="E143" s="8"/>
      <c r="F143" s="3"/>
      <c r="G143" s="9"/>
      <c r="O143" s="3"/>
    </row>
    <row r="144" spans="4:15" x14ac:dyDescent="0.25">
      <c r="D144" s="8"/>
      <c r="E144" s="8"/>
      <c r="F144" s="3"/>
      <c r="G144" s="9"/>
      <c r="O144" s="3"/>
    </row>
    <row r="145" spans="4:15" x14ac:dyDescent="0.25">
      <c r="D145" s="8"/>
      <c r="E145" s="8"/>
      <c r="F145" s="3"/>
      <c r="G145" s="9"/>
      <c r="O145" s="3"/>
    </row>
    <row r="146" spans="4:15" x14ac:dyDescent="0.25">
      <c r="D146" s="8"/>
      <c r="E146" s="8"/>
      <c r="F146" s="3"/>
      <c r="G146" s="9"/>
      <c r="O146" s="3"/>
    </row>
    <row r="147" spans="4:15" x14ac:dyDescent="0.25">
      <c r="D147" s="8"/>
      <c r="E147" s="8"/>
      <c r="F147" s="3"/>
      <c r="G147" s="9"/>
      <c r="O147" s="3"/>
    </row>
    <row r="148" spans="4:15" x14ac:dyDescent="0.25">
      <c r="D148" s="8"/>
      <c r="E148" s="8"/>
      <c r="F148" s="3"/>
      <c r="G148" s="9"/>
      <c r="O148" s="3"/>
    </row>
    <row r="149" spans="4:15" x14ac:dyDescent="0.25">
      <c r="D149" s="8"/>
      <c r="E149" s="8"/>
      <c r="F149" s="3"/>
      <c r="G149" s="9"/>
      <c r="O149" s="3"/>
    </row>
    <row r="150" spans="4:15" x14ac:dyDescent="0.25">
      <c r="D150" s="8"/>
      <c r="E150" s="8"/>
      <c r="F150" s="3"/>
      <c r="G150" s="9"/>
      <c r="O150" s="3"/>
    </row>
    <row r="151" spans="4:15" x14ac:dyDescent="0.25">
      <c r="D151" s="8"/>
      <c r="E151" s="8"/>
      <c r="F151" s="3"/>
      <c r="G151" s="9"/>
      <c r="O151" s="3"/>
    </row>
    <row r="152" spans="4:15" x14ac:dyDescent="0.25">
      <c r="D152" s="8"/>
      <c r="E152" s="8"/>
      <c r="F152" s="3"/>
      <c r="O152" s="3"/>
    </row>
    <row r="153" spans="4:15" x14ac:dyDescent="0.25">
      <c r="D153" s="8"/>
      <c r="E153" s="8"/>
      <c r="F153" s="3"/>
      <c r="G153" s="9"/>
      <c r="O153" s="3"/>
    </row>
    <row r="154" spans="4:15" x14ac:dyDescent="0.25">
      <c r="D154" s="8"/>
      <c r="E154" s="8"/>
      <c r="F154" s="3"/>
      <c r="G154" s="9"/>
      <c r="O154" s="3"/>
    </row>
    <row r="155" spans="4:15" x14ac:dyDescent="0.25">
      <c r="D155" s="8"/>
      <c r="E155" s="8"/>
      <c r="F155" s="3"/>
      <c r="G155" s="9"/>
      <c r="O155" s="3"/>
    </row>
    <row r="156" spans="4:15" x14ac:dyDescent="0.25">
      <c r="D156" s="8"/>
      <c r="E156" s="8"/>
      <c r="F156" s="3"/>
      <c r="G156" s="9"/>
      <c r="O156" s="3"/>
    </row>
    <row r="157" spans="4:15" x14ac:dyDescent="0.25">
      <c r="D157" s="8"/>
      <c r="E157" s="8"/>
      <c r="F157" s="3"/>
      <c r="G157" s="9"/>
      <c r="O157" s="3"/>
    </row>
    <row r="158" spans="4:15" x14ac:dyDescent="0.25">
      <c r="D158" s="8"/>
      <c r="E158" s="8"/>
      <c r="F158" s="3"/>
      <c r="G158" s="9"/>
      <c r="O158" s="3"/>
    </row>
    <row r="159" spans="4:15" x14ac:dyDescent="0.25">
      <c r="D159" s="8"/>
      <c r="E159" s="8"/>
      <c r="F159" s="3"/>
      <c r="G159" s="9"/>
      <c r="O159" s="3"/>
    </row>
    <row r="160" spans="4:15" x14ac:dyDescent="0.25">
      <c r="D160" s="8"/>
      <c r="E160" s="8"/>
      <c r="F160" s="3"/>
      <c r="G160" s="9"/>
      <c r="O160" s="3"/>
    </row>
    <row r="161" spans="4:15" x14ac:dyDescent="0.25">
      <c r="D161" s="8"/>
      <c r="E161" s="8"/>
      <c r="F161" s="3"/>
      <c r="G161" s="9"/>
      <c r="O161" s="3"/>
    </row>
    <row r="162" spans="4:15" x14ac:dyDescent="0.25">
      <c r="D162" s="8"/>
      <c r="E162" s="8"/>
      <c r="F162" s="3"/>
      <c r="G162" s="9"/>
      <c r="O162" s="3"/>
    </row>
    <row r="163" spans="4:15" x14ac:dyDescent="0.25">
      <c r="D163" s="8"/>
      <c r="E163" s="8"/>
      <c r="F163" s="3"/>
      <c r="G163" s="9"/>
      <c r="O163" s="3"/>
    </row>
    <row r="164" spans="4:15" x14ac:dyDescent="0.25">
      <c r="D164" s="8"/>
      <c r="E164" s="8"/>
      <c r="F164" s="3"/>
      <c r="G164" s="9"/>
      <c r="O164" s="3"/>
    </row>
    <row r="165" spans="4:15" x14ac:dyDescent="0.25">
      <c r="D165" s="8"/>
      <c r="E165" s="8"/>
      <c r="F165" s="3"/>
      <c r="G165" s="9"/>
      <c r="O165" s="3"/>
    </row>
    <row r="166" spans="4:15" x14ac:dyDescent="0.25">
      <c r="D166" s="8"/>
      <c r="E166" s="8"/>
      <c r="F166" s="3"/>
      <c r="G166" s="9"/>
      <c r="O166" s="3"/>
    </row>
    <row r="167" spans="4:15" x14ac:dyDescent="0.25">
      <c r="D167" s="8"/>
      <c r="E167" s="8"/>
      <c r="F167" s="3"/>
      <c r="G167" s="9"/>
      <c r="O167" s="3"/>
    </row>
    <row r="168" spans="4:15" x14ac:dyDescent="0.25">
      <c r="D168" s="8"/>
      <c r="E168" s="8"/>
      <c r="F168" s="3"/>
      <c r="G168" s="9"/>
      <c r="O168" s="3"/>
    </row>
    <row r="169" spans="4:15" x14ac:dyDescent="0.25">
      <c r="D169" s="8"/>
      <c r="E169" s="8"/>
      <c r="F169" s="3"/>
      <c r="G169" s="9"/>
      <c r="O169" s="3"/>
    </row>
    <row r="170" spans="4:15" x14ac:dyDescent="0.25">
      <c r="D170" s="8"/>
      <c r="E170" s="8"/>
      <c r="F170" s="3"/>
      <c r="G170" s="9"/>
      <c r="O170" s="3"/>
    </row>
    <row r="171" spans="4:15" x14ac:dyDescent="0.25">
      <c r="D171" s="8"/>
      <c r="E171" s="8"/>
      <c r="F171" s="3"/>
      <c r="G171" s="9"/>
      <c r="O171" s="3"/>
    </row>
    <row r="172" spans="4:15" x14ac:dyDescent="0.25">
      <c r="D172" s="8"/>
      <c r="E172" s="8"/>
      <c r="F172" s="3"/>
      <c r="G172" s="9"/>
      <c r="O172" s="3"/>
    </row>
    <row r="173" spans="4:15" x14ac:dyDescent="0.25">
      <c r="D173" s="8"/>
      <c r="E173" s="8"/>
      <c r="F173" s="3"/>
      <c r="G173" s="9"/>
      <c r="O173" s="3"/>
    </row>
    <row r="174" spans="4:15" x14ac:dyDescent="0.25">
      <c r="D174" s="8"/>
      <c r="E174" s="8"/>
      <c r="F174" s="3"/>
      <c r="G174" s="9"/>
      <c r="O174" s="3"/>
    </row>
    <row r="175" spans="4:15" x14ac:dyDescent="0.25">
      <c r="D175" s="8"/>
      <c r="E175" s="8"/>
      <c r="F175" s="3"/>
      <c r="G175" s="9"/>
      <c r="O175" s="3"/>
    </row>
    <row r="176" spans="4:15" x14ac:dyDescent="0.25">
      <c r="D176" s="8"/>
      <c r="E176" s="8"/>
      <c r="F176" s="3"/>
      <c r="G176" s="9"/>
      <c r="O176" s="3"/>
    </row>
    <row r="177" spans="4:15" x14ac:dyDescent="0.25">
      <c r="D177" s="8"/>
      <c r="E177" s="8"/>
      <c r="F177" s="3"/>
      <c r="O177" s="3"/>
    </row>
    <row r="178" spans="4:15" x14ac:dyDescent="0.25">
      <c r="D178" s="8"/>
      <c r="E178" s="8"/>
      <c r="F178" s="3"/>
      <c r="G178" s="9"/>
      <c r="O178" s="3"/>
    </row>
    <row r="179" spans="4:15" x14ac:dyDescent="0.25">
      <c r="D179" s="8"/>
      <c r="E179" s="8"/>
      <c r="F179" s="3"/>
      <c r="G179" s="9"/>
      <c r="O179" s="3"/>
    </row>
    <row r="180" spans="4:15" x14ac:dyDescent="0.25">
      <c r="D180" s="8"/>
      <c r="E180" s="8"/>
      <c r="F180" s="3"/>
      <c r="G180" s="9"/>
      <c r="O180" s="3"/>
    </row>
    <row r="181" spans="4:15" x14ac:dyDescent="0.25">
      <c r="D181" s="8"/>
      <c r="E181" s="8"/>
      <c r="F181" s="3"/>
      <c r="G181" s="9"/>
      <c r="O181" s="3"/>
    </row>
    <row r="182" spans="4:15" x14ac:dyDescent="0.25">
      <c r="D182" s="8"/>
      <c r="E182" s="8"/>
      <c r="F182" s="3"/>
      <c r="G182" s="9"/>
      <c r="O182" s="3"/>
    </row>
    <row r="183" spans="4:15" x14ac:dyDescent="0.25">
      <c r="D183" s="8"/>
      <c r="E183" s="8"/>
      <c r="F183" s="3"/>
      <c r="G183" s="9"/>
      <c r="O183" s="3"/>
    </row>
    <row r="184" spans="4:15" x14ac:dyDescent="0.25">
      <c r="D184" s="8"/>
      <c r="E184" s="8"/>
      <c r="F184" s="3"/>
      <c r="G184" s="9"/>
      <c r="O184" s="3"/>
    </row>
    <row r="185" spans="4:15" x14ac:dyDescent="0.25">
      <c r="D185" s="8"/>
      <c r="E185" s="8"/>
      <c r="F185" s="3"/>
      <c r="G185" s="9"/>
      <c r="O185" s="3"/>
    </row>
    <row r="186" spans="4:15" x14ac:dyDescent="0.25">
      <c r="D186" s="8"/>
      <c r="E186" s="8"/>
      <c r="F186" s="3"/>
      <c r="G186" s="9"/>
      <c r="O186" s="3"/>
    </row>
    <row r="187" spans="4:15" x14ac:dyDescent="0.25">
      <c r="D187" s="8"/>
      <c r="E187" s="8"/>
      <c r="F187" s="3"/>
      <c r="G187" s="9"/>
      <c r="O187" s="3"/>
    </row>
    <row r="188" spans="4:15" x14ac:dyDescent="0.25">
      <c r="D188" s="8"/>
      <c r="E188" s="8"/>
      <c r="F188" s="3"/>
      <c r="G188" s="9"/>
      <c r="O188" s="3"/>
    </row>
    <row r="189" spans="4:15" x14ac:dyDescent="0.25">
      <c r="D189" s="8"/>
      <c r="E189" s="8"/>
      <c r="F189" s="3"/>
      <c r="G189" s="9"/>
      <c r="O189" s="3"/>
    </row>
    <row r="190" spans="4:15" x14ac:dyDescent="0.25">
      <c r="D190" s="8"/>
      <c r="E190" s="8"/>
      <c r="F190" s="3"/>
      <c r="G190" s="9"/>
      <c r="O190" s="3"/>
    </row>
    <row r="191" spans="4:15" x14ac:dyDescent="0.25">
      <c r="D191" s="8"/>
      <c r="E191" s="8"/>
      <c r="F191" s="3"/>
      <c r="G191" s="9"/>
      <c r="O191" s="3"/>
    </row>
    <row r="192" spans="4:15" x14ac:dyDescent="0.25">
      <c r="D192" s="8"/>
      <c r="E192" s="8"/>
      <c r="F192" s="3"/>
      <c r="G192" s="9"/>
      <c r="O192" s="3"/>
    </row>
    <row r="193" spans="4:15" x14ac:dyDescent="0.25">
      <c r="D193" s="8"/>
      <c r="E193" s="8"/>
      <c r="F193" s="3"/>
      <c r="G193" s="9"/>
      <c r="O193" s="3"/>
    </row>
    <row r="194" spans="4:15" x14ac:dyDescent="0.25">
      <c r="D194" s="8"/>
      <c r="E194" s="8"/>
      <c r="F194" s="3"/>
      <c r="G194" s="9"/>
      <c r="O194" s="3"/>
    </row>
    <row r="195" spans="4:15" x14ac:dyDescent="0.25">
      <c r="D195" s="8"/>
      <c r="E195" s="8"/>
      <c r="F195" s="3"/>
      <c r="G195" s="9"/>
      <c r="O195" s="3"/>
    </row>
    <row r="196" spans="4:15" x14ac:dyDescent="0.25">
      <c r="D196" s="8"/>
      <c r="E196" s="8"/>
      <c r="F196" s="3"/>
      <c r="G196" s="9"/>
      <c r="O196" s="3"/>
    </row>
    <row r="197" spans="4:15" x14ac:dyDescent="0.25">
      <c r="D197" s="8"/>
      <c r="E197" s="8"/>
      <c r="F197" s="3"/>
      <c r="G197" s="9"/>
      <c r="O197" s="3"/>
    </row>
    <row r="198" spans="4:15" x14ac:dyDescent="0.25">
      <c r="D198" s="8"/>
      <c r="E198" s="8"/>
      <c r="F198" s="3"/>
      <c r="G198" s="9"/>
      <c r="O198" s="3"/>
    </row>
    <row r="199" spans="4:15" x14ac:dyDescent="0.25">
      <c r="D199" s="8"/>
      <c r="E199" s="8"/>
      <c r="F199" s="3"/>
      <c r="G199" s="9"/>
      <c r="O199" s="3"/>
    </row>
    <row r="200" spans="4:15" x14ac:dyDescent="0.25">
      <c r="D200" s="8"/>
      <c r="E200" s="8"/>
      <c r="F200" s="3"/>
      <c r="G200" s="9"/>
      <c r="O200" s="3"/>
    </row>
    <row r="201" spans="4:15" x14ac:dyDescent="0.25">
      <c r="D201" s="8"/>
      <c r="E201" s="8"/>
      <c r="F201" s="3"/>
      <c r="G201" s="9"/>
      <c r="O201" s="3"/>
    </row>
    <row r="202" spans="4:15" x14ac:dyDescent="0.25">
      <c r="D202" s="8"/>
      <c r="E202" s="8"/>
      <c r="F202" s="3"/>
      <c r="O202" s="3"/>
    </row>
    <row r="203" spans="4:15" x14ac:dyDescent="0.25">
      <c r="D203" s="8"/>
      <c r="E203" s="8"/>
      <c r="F203" s="3"/>
      <c r="G203" s="9"/>
      <c r="O203" s="3"/>
    </row>
    <row r="204" spans="4:15" x14ac:dyDescent="0.25">
      <c r="D204" s="8"/>
      <c r="E204" s="8"/>
      <c r="F204" s="3"/>
      <c r="G204" s="9"/>
      <c r="O204" s="3"/>
    </row>
    <row r="205" spans="4:15" x14ac:dyDescent="0.25">
      <c r="D205" s="8"/>
      <c r="E205" s="8"/>
      <c r="F205" s="3"/>
      <c r="G205" s="9"/>
      <c r="O205" s="3"/>
    </row>
    <row r="206" spans="4:15" x14ac:dyDescent="0.25">
      <c r="D206" s="8"/>
      <c r="E206" s="8"/>
      <c r="F206" s="3"/>
      <c r="G206" s="9"/>
      <c r="O206" s="3"/>
    </row>
    <row r="207" spans="4:15" x14ac:dyDescent="0.25">
      <c r="D207" s="8"/>
      <c r="E207" s="8"/>
      <c r="F207" s="3"/>
      <c r="G207" s="9"/>
      <c r="O207" s="3"/>
    </row>
    <row r="208" spans="4:15" x14ac:dyDescent="0.25">
      <c r="D208" s="8"/>
      <c r="E208" s="8"/>
      <c r="F208" s="3"/>
      <c r="G208" s="9"/>
      <c r="O208" s="3"/>
    </row>
    <row r="209" spans="4:15" x14ac:dyDescent="0.25">
      <c r="D209" s="8"/>
      <c r="E209" s="8"/>
      <c r="F209" s="3"/>
      <c r="G209" s="9"/>
      <c r="O209" s="3"/>
    </row>
    <row r="210" spans="4:15" x14ac:dyDescent="0.25">
      <c r="D210" s="8"/>
      <c r="E210" s="8"/>
      <c r="F210" s="3"/>
      <c r="G210" s="9"/>
      <c r="O210" s="3"/>
    </row>
    <row r="211" spans="4:15" x14ac:dyDescent="0.25">
      <c r="D211" s="8"/>
      <c r="E211" s="8"/>
      <c r="F211" s="3"/>
      <c r="G211" s="9"/>
      <c r="O211" s="3"/>
    </row>
    <row r="212" spans="4:15" x14ac:dyDescent="0.25">
      <c r="D212" s="8"/>
      <c r="E212" s="8"/>
      <c r="F212" s="3"/>
      <c r="G212" s="9"/>
      <c r="O212" s="3"/>
    </row>
    <row r="213" spans="4:15" x14ac:dyDescent="0.25">
      <c r="D213" s="8"/>
      <c r="E213" s="8"/>
      <c r="F213" s="3"/>
      <c r="G213" s="9"/>
      <c r="O213" s="3"/>
    </row>
    <row r="214" spans="4:15" x14ac:dyDescent="0.25">
      <c r="D214" s="8"/>
      <c r="E214" s="8"/>
      <c r="F214" s="3"/>
      <c r="G214" s="9"/>
      <c r="O214" s="3"/>
    </row>
    <row r="215" spans="4:15" x14ac:dyDescent="0.25">
      <c r="D215" s="8"/>
      <c r="E215" s="8"/>
      <c r="F215" s="3"/>
      <c r="G215" s="9"/>
      <c r="O215" s="3"/>
    </row>
    <row r="216" spans="4:15" x14ac:dyDescent="0.25">
      <c r="D216" s="8"/>
      <c r="E216" s="8"/>
      <c r="F216" s="3"/>
      <c r="G216" s="9"/>
      <c r="O216" s="3"/>
    </row>
    <row r="217" spans="4:15" x14ac:dyDescent="0.25">
      <c r="D217" s="8"/>
      <c r="E217" s="8"/>
      <c r="F217" s="3"/>
      <c r="G217" s="9"/>
      <c r="O217" s="3"/>
    </row>
    <row r="218" spans="4:15" x14ac:dyDescent="0.25">
      <c r="D218" s="8"/>
      <c r="E218" s="8"/>
      <c r="F218" s="3"/>
      <c r="G218" s="9"/>
      <c r="O218" s="3"/>
    </row>
    <row r="219" spans="4:15" x14ac:dyDescent="0.25">
      <c r="D219" s="8"/>
      <c r="E219" s="8"/>
      <c r="F219" s="3"/>
      <c r="G219" s="9"/>
      <c r="O219" s="3"/>
    </row>
    <row r="220" spans="4:15" x14ac:dyDescent="0.25">
      <c r="D220" s="8"/>
      <c r="E220" s="8"/>
      <c r="F220" s="3"/>
      <c r="G220" s="9"/>
      <c r="O220" s="3"/>
    </row>
    <row r="221" spans="4:15" x14ac:dyDescent="0.25">
      <c r="D221" s="8"/>
      <c r="E221" s="8"/>
      <c r="F221" s="3"/>
      <c r="G221" s="9"/>
      <c r="O221" s="3"/>
    </row>
    <row r="222" spans="4:15" x14ac:dyDescent="0.25">
      <c r="D222" s="8"/>
      <c r="E222" s="8"/>
      <c r="F222" s="3"/>
      <c r="G222" s="9"/>
      <c r="O222" s="3"/>
    </row>
    <row r="223" spans="4:15" x14ac:dyDescent="0.25">
      <c r="D223" s="8"/>
      <c r="E223" s="8"/>
      <c r="F223" s="3"/>
      <c r="G223" s="9"/>
      <c r="O223" s="3"/>
    </row>
    <row r="224" spans="4:15" x14ac:dyDescent="0.25">
      <c r="D224" s="8"/>
      <c r="E224" s="8"/>
      <c r="F224" s="3"/>
      <c r="G224" s="9"/>
      <c r="O224" s="3"/>
    </row>
    <row r="225" spans="4:15" x14ac:dyDescent="0.25">
      <c r="D225" s="8"/>
      <c r="E225" s="8"/>
      <c r="F225" s="3"/>
      <c r="G225" s="9"/>
      <c r="O225" s="3"/>
    </row>
    <row r="226" spans="4:15" x14ac:dyDescent="0.25">
      <c r="D226" s="8"/>
      <c r="E226" s="8"/>
      <c r="F226" s="3"/>
      <c r="G226" s="9"/>
      <c r="O226" s="3"/>
    </row>
    <row r="227" spans="4:15" x14ac:dyDescent="0.25">
      <c r="D227" s="8"/>
      <c r="E227" s="8"/>
      <c r="F227" s="3"/>
      <c r="O227" s="3"/>
    </row>
    <row r="228" spans="4:15" x14ac:dyDescent="0.25">
      <c r="D228" s="8"/>
      <c r="E228" s="8"/>
      <c r="F228" s="3"/>
      <c r="G228" s="9"/>
      <c r="O228" s="3"/>
    </row>
    <row r="229" spans="4:15" x14ac:dyDescent="0.25">
      <c r="D229" s="8"/>
      <c r="E229" s="8"/>
      <c r="F229" s="3"/>
      <c r="G229" s="9"/>
      <c r="O229" s="3"/>
    </row>
    <row r="230" spans="4:15" x14ac:dyDescent="0.25">
      <c r="D230" s="8"/>
      <c r="E230" s="8"/>
      <c r="F230" s="3"/>
      <c r="G230" s="9"/>
      <c r="O230" s="3"/>
    </row>
    <row r="231" spans="4:15" x14ac:dyDescent="0.25">
      <c r="D231" s="8"/>
      <c r="E231" s="8"/>
      <c r="F231" s="3"/>
      <c r="G231" s="9"/>
      <c r="O231" s="3"/>
    </row>
    <row r="232" spans="4:15" x14ac:dyDescent="0.25">
      <c r="D232" s="8"/>
      <c r="E232" s="8"/>
      <c r="F232" s="3"/>
      <c r="G232" s="9"/>
      <c r="O232" s="3"/>
    </row>
    <row r="233" spans="4:15" x14ac:dyDescent="0.25">
      <c r="D233" s="8"/>
      <c r="E233" s="8"/>
      <c r="F233" s="3"/>
      <c r="G233" s="9"/>
      <c r="O233" s="3"/>
    </row>
    <row r="234" spans="4:15" x14ac:dyDescent="0.25">
      <c r="D234" s="8"/>
      <c r="E234" s="8"/>
      <c r="F234" s="3"/>
      <c r="G234" s="9"/>
      <c r="O234" s="3"/>
    </row>
    <row r="235" spans="4:15" x14ac:dyDescent="0.25">
      <c r="D235" s="8"/>
      <c r="E235" s="8"/>
      <c r="F235" s="3"/>
      <c r="G235" s="9"/>
      <c r="O235" s="3"/>
    </row>
    <row r="236" spans="4:15" x14ac:dyDescent="0.25">
      <c r="D236" s="8"/>
      <c r="E236" s="8"/>
      <c r="F236" s="3"/>
      <c r="G236" s="9"/>
      <c r="O236" s="3"/>
    </row>
    <row r="237" spans="4:15" x14ac:dyDescent="0.25">
      <c r="D237" s="8"/>
      <c r="E237" s="8"/>
      <c r="F237" s="3"/>
      <c r="G237" s="9"/>
      <c r="O237" s="3"/>
    </row>
    <row r="238" spans="4:15" x14ac:dyDescent="0.25">
      <c r="D238" s="8"/>
      <c r="E238" s="8"/>
      <c r="F238" s="3"/>
      <c r="G238" s="9"/>
      <c r="O238" s="3"/>
    </row>
    <row r="239" spans="4:15" x14ac:dyDescent="0.25">
      <c r="D239" s="8"/>
      <c r="E239" s="8"/>
      <c r="F239" s="3"/>
      <c r="G239" s="9"/>
      <c r="O239" s="3"/>
    </row>
    <row r="240" spans="4:15" x14ac:dyDescent="0.25">
      <c r="D240" s="8"/>
      <c r="E240" s="8"/>
      <c r="F240" s="3"/>
      <c r="G240" s="9"/>
      <c r="O240" s="3"/>
    </row>
    <row r="241" spans="4:15" x14ac:dyDescent="0.25">
      <c r="D241" s="8"/>
      <c r="E241" s="8"/>
      <c r="F241" s="3"/>
      <c r="G241" s="9"/>
      <c r="O241" s="3"/>
    </row>
    <row r="242" spans="4:15" x14ac:dyDescent="0.25">
      <c r="D242" s="8"/>
      <c r="E242" s="8"/>
      <c r="F242" s="3"/>
      <c r="G242" s="9"/>
      <c r="O242" s="3"/>
    </row>
    <row r="243" spans="4:15" x14ac:dyDescent="0.25">
      <c r="D243" s="8"/>
      <c r="E243" s="8"/>
      <c r="F243" s="3"/>
      <c r="G243" s="9"/>
      <c r="O243" s="3"/>
    </row>
    <row r="244" spans="4:15" x14ac:dyDescent="0.25">
      <c r="D244" s="8"/>
      <c r="E244" s="8"/>
      <c r="F244" s="3"/>
      <c r="G244" s="9"/>
      <c r="O244" s="3"/>
    </row>
    <row r="245" spans="4:15" x14ac:dyDescent="0.25">
      <c r="D245" s="8"/>
      <c r="E245" s="8"/>
      <c r="F245" s="3"/>
      <c r="G245" s="9"/>
      <c r="O245" s="3"/>
    </row>
    <row r="246" spans="4:15" x14ac:dyDescent="0.25">
      <c r="D246" s="8"/>
      <c r="E246" s="8"/>
      <c r="F246" s="3"/>
      <c r="G246" s="9"/>
      <c r="O246" s="3"/>
    </row>
    <row r="247" spans="4:15" x14ac:dyDescent="0.25">
      <c r="D247" s="8"/>
      <c r="E247" s="8"/>
      <c r="F247" s="3"/>
      <c r="G247" s="9"/>
      <c r="O247" s="3"/>
    </row>
    <row r="248" spans="4:15" x14ac:dyDescent="0.25">
      <c r="D248" s="8"/>
      <c r="E248" s="8"/>
      <c r="F248" s="3"/>
      <c r="G248" s="9"/>
      <c r="O248" s="3"/>
    </row>
    <row r="249" spans="4:15" x14ac:dyDescent="0.25">
      <c r="D249" s="8"/>
      <c r="E249" s="8"/>
      <c r="F249" s="3"/>
      <c r="G249" s="9"/>
      <c r="O249" s="3"/>
    </row>
    <row r="250" spans="4:15" x14ac:dyDescent="0.25">
      <c r="D250" s="8"/>
      <c r="E250" s="8"/>
      <c r="F250" s="3"/>
      <c r="G250" s="9"/>
      <c r="O250" s="3"/>
    </row>
    <row r="251" spans="4:15" x14ac:dyDescent="0.25">
      <c r="D251" s="8"/>
      <c r="E251" s="8"/>
      <c r="F251" s="3"/>
      <c r="G251" s="9"/>
      <c r="O251" s="3"/>
    </row>
    <row r="252" spans="4:15" x14ac:dyDescent="0.25">
      <c r="D252" s="8"/>
      <c r="E252" s="8"/>
      <c r="F252" s="3"/>
      <c r="O252" s="3"/>
    </row>
    <row r="253" spans="4:15" x14ac:dyDescent="0.25">
      <c r="D253" s="8"/>
      <c r="E253" s="8"/>
      <c r="F253" s="3"/>
      <c r="G253" s="9"/>
      <c r="O253" s="3"/>
    </row>
    <row r="254" spans="4:15" x14ac:dyDescent="0.25">
      <c r="D254" s="8"/>
      <c r="E254" s="8"/>
      <c r="F254" s="3"/>
      <c r="G254" s="9"/>
      <c r="O254" s="3"/>
    </row>
    <row r="255" spans="4:15" x14ac:dyDescent="0.25">
      <c r="D255" s="8"/>
      <c r="E255" s="8"/>
      <c r="F255" s="3"/>
      <c r="G255" s="9"/>
      <c r="O255" s="3"/>
    </row>
    <row r="256" spans="4:15" x14ac:dyDescent="0.25">
      <c r="D256" s="8"/>
      <c r="E256" s="8"/>
      <c r="F256" s="3"/>
      <c r="G256" s="9"/>
      <c r="O256" s="3"/>
    </row>
    <row r="257" spans="4:15" x14ac:dyDescent="0.25">
      <c r="D257" s="8"/>
      <c r="E257" s="8"/>
      <c r="F257" s="3"/>
      <c r="G257" s="9"/>
      <c r="O257" s="3"/>
    </row>
    <row r="258" spans="4:15" x14ac:dyDescent="0.25">
      <c r="D258" s="8"/>
      <c r="E258" s="8"/>
      <c r="F258" s="3"/>
      <c r="G258" s="9"/>
      <c r="O258" s="3"/>
    </row>
    <row r="259" spans="4:15" x14ac:dyDescent="0.25">
      <c r="D259" s="8"/>
      <c r="E259" s="8"/>
      <c r="F259" s="3"/>
      <c r="G259" s="9"/>
      <c r="O259" s="3"/>
    </row>
    <row r="260" spans="4:15" x14ac:dyDescent="0.25">
      <c r="D260" s="8"/>
      <c r="E260" s="8"/>
      <c r="F260" s="3"/>
      <c r="G260" s="9"/>
      <c r="O260" s="3"/>
    </row>
    <row r="261" spans="4:15" x14ac:dyDescent="0.25">
      <c r="D261" s="8"/>
      <c r="E261" s="8"/>
      <c r="F261" s="3"/>
      <c r="G261" s="9"/>
      <c r="O261" s="3"/>
    </row>
    <row r="262" spans="4:15" x14ac:dyDescent="0.25">
      <c r="D262" s="8"/>
      <c r="E262" s="8"/>
      <c r="F262" s="3"/>
      <c r="G262" s="9"/>
      <c r="O262" s="3"/>
    </row>
    <row r="263" spans="4:15" x14ac:dyDescent="0.25">
      <c r="D263" s="8"/>
      <c r="E263" s="8"/>
      <c r="F263" s="3"/>
      <c r="G263" s="9"/>
      <c r="O263" s="3"/>
    </row>
    <row r="264" spans="4:15" x14ac:dyDescent="0.25">
      <c r="D264" s="8"/>
      <c r="E264" s="8"/>
      <c r="F264" s="3"/>
      <c r="G264" s="9"/>
      <c r="O264" s="3"/>
    </row>
    <row r="265" spans="4:15" x14ac:dyDescent="0.25">
      <c r="D265" s="8"/>
      <c r="E265" s="8"/>
      <c r="F265" s="3"/>
      <c r="G265" s="9"/>
      <c r="O265" s="3"/>
    </row>
    <row r="266" spans="4:15" x14ac:dyDescent="0.25">
      <c r="D266" s="8"/>
      <c r="E266" s="8"/>
      <c r="F266" s="3"/>
      <c r="G266" s="9"/>
      <c r="O266" s="3"/>
    </row>
    <row r="267" spans="4:15" x14ac:dyDescent="0.25">
      <c r="D267" s="8"/>
      <c r="E267" s="8"/>
      <c r="F267" s="3"/>
      <c r="G267" s="9"/>
      <c r="O267" s="3"/>
    </row>
    <row r="268" spans="4:15" x14ac:dyDescent="0.25">
      <c r="D268" s="8"/>
      <c r="E268" s="8"/>
      <c r="F268" s="3"/>
      <c r="G268" s="9"/>
      <c r="O268" s="3"/>
    </row>
    <row r="269" spans="4:15" x14ac:dyDescent="0.25">
      <c r="D269" s="8"/>
      <c r="E269" s="8"/>
      <c r="F269" s="3"/>
      <c r="G269" s="9"/>
      <c r="O269" s="3"/>
    </row>
    <row r="270" spans="4:15" x14ac:dyDescent="0.25">
      <c r="D270" s="8"/>
      <c r="E270" s="8"/>
      <c r="F270" s="3"/>
      <c r="G270" s="9"/>
      <c r="O270" s="3"/>
    </row>
    <row r="271" spans="4:15" x14ac:dyDescent="0.25">
      <c r="D271" s="8"/>
      <c r="E271" s="8"/>
      <c r="F271" s="3"/>
      <c r="G271" s="9"/>
      <c r="O271" s="3"/>
    </row>
    <row r="272" spans="4:15" x14ac:dyDescent="0.25">
      <c r="D272" s="8"/>
      <c r="E272" s="8"/>
      <c r="F272" s="3"/>
      <c r="G272" s="9"/>
      <c r="O272" s="3"/>
    </row>
    <row r="273" spans="4:15" x14ac:dyDescent="0.25">
      <c r="D273" s="8"/>
      <c r="E273" s="8"/>
      <c r="F273" s="3"/>
      <c r="G273" s="9"/>
      <c r="O273" s="3"/>
    </row>
    <row r="274" spans="4:15" x14ac:dyDescent="0.25">
      <c r="D274" s="8"/>
      <c r="E274" s="8"/>
      <c r="F274" s="3"/>
      <c r="G274" s="9"/>
      <c r="O274" s="3"/>
    </row>
    <row r="275" spans="4:15" x14ac:dyDescent="0.25">
      <c r="D275" s="8"/>
      <c r="E275" s="8"/>
      <c r="F275" s="3"/>
      <c r="G275" s="9"/>
      <c r="O275" s="3"/>
    </row>
    <row r="276" spans="4:15" x14ac:dyDescent="0.25">
      <c r="D276" s="8"/>
      <c r="E276" s="8"/>
      <c r="F276" s="3"/>
      <c r="G276" s="9"/>
      <c r="O276" s="3"/>
    </row>
    <row r="277" spans="4:15" x14ac:dyDescent="0.25">
      <c r="D277" s="8"/>
      <c r="E277" s="8"/>
      <c r="F277" s="3"/>
      <c r="O277" s="3"/>
    </row>
    <row r="278" spans="4:15" x14ac:dyDescent="0.25">
      <c r="D278" s="8"/>
      <c r="E278" s="8"/>
      <c r="F278" s="3"/>
      <c r="G278" s="9"/>
      <c r="O278" s="3"/>
    </row>
    <row r="279" spans="4:15" x14ac:dyDescent="0.25">
      <c r="D279" s="8"/>
      <c r="E279" s="8"/>
      <c r="F279" s="3"/>
      <c r="G279" s="9"/>
      <c r="O279" s="3"/>
    </row>
    <row r="280" spans="4:15" x14ac:dyDescent="0.25">
      <c r="D280" s="8"/>
      <c r="E280" s="8"/>
      <c r="F280" s="3"/>
      <c r="G280" s="9"/>
      <c r="O280" s="3"/>
    </row>
    <row r="281" spans="4:15" x14ac:dyDescent="0.25">
      <c r="D281" s="8"/>
      <c r="E281" s="8"/>
      <c r="F281" s="3"/>
      <c r="G281" s="9"/>
      <c r="O281" s="3"/>
    </row>
    <row r="282" spans="4:15" x14ac:dyDescent="0.25">
      <c r="D282" s="8"/>
      <c r="E282" s="8"/>
      <c r="F282" s="3"/>
      <c r="G282" s="9"/>
      <c r="O282" s="3"/>
    </row>
    <row r="283" spans="4:15" x14ac:dyDescent="0.25">
      <c r="D283" s="8"/>
      <c r="E283" s="8"/>
      <c r="F283" s="3"/>
      <c r="G283" s="9"/>
      <c r="O283" s="3"/>
    </row>
    <row r="284" spans="4:15" x14ac:dyDescent="0.25">
      <c r="D284" s="8"/>
      <c r="E284" s="8"/>
      <c r="F284" s="3"/>
      <c r="G284" s="9"/>
      <c r="O284" s="3"/>
    </row>
    <row r="285" spans="4:15" x14ac:dyDescent="0.25">
      <c r="D285" s="8"/>
      <c r="E285" s="8"/>
      <c r="F285" s="3"/>
      <c r="G285" s="9"/>
      <c r="O285" s="3"/>
    </row>
    <row r="286" spans="4:15" x14ac:dyDescent="0.25">
      <c r="D286" s="8"/>
      <c r="E286" s="8"/>
      <c r="F286" s="3"/>
      <c r="G286" s="9"/>
      <c r="O286" s="3"/>
    </row>
    <row r="287" spans="4:15" x14ac:dyDescent="0.25">
      <c r="D287" s="8"/>
      <c r="E287" s="8"/>
      <c r="F287" s="3"/>
      <c r="G287" s="9"/>
      <c r="O287" s="3"/>
    </row>
    <row r="288" spans="4:15" x14ac:dyDescent="0.25">
      <c r="D288" s="8"/>
      <c r="E288" s="8"/>
      <c r="F288" s="3"/>
      <c r="G288" s="9"/>
      <c r="O288" s="3"/>
    </row>
    <row r="289" spans="4:15" x14ac:dyDescent="0.25">
      <c r="D289" s="8"/>
      <c r="E289" s="8"/>
      <c r="F289" s="3"/>
      <c r="G289" s="9"/>
      <c r="O289" s="3"/>
    </row>
    <row r="290" spans="4:15" x14ac:dyDescent="0.25">
      <c r="D290" s="8"/>
      <c r="E290" s="8"/>
      <c r="F290" s="3"/>
      <c r="G290" s="9"/>
      <c r="O290" s="3"/>
    </row>
    <row r="291" spans="4:15" x14ac:dyDescent="0.25">
      <c r="D291" s="8"/>
      <c r="E291" s="8"/>
      <c r="F291" s="3"/>
      <c r="G291" s="9"/>
      <c r="O291" s="3"/>
    </row>
    <row r="292" spans="4:15" x14ac:dyDescent="0.25">
      <c r="D292" s="8"/>
      <c r="E292" s="8"/>
      <c r="F292" s="3"/>
      <c r="G292" s="9"/>
      <c r="O292" s="3"/>
    </row>
    <row r="293" spans="4:15" x14ac:dyDescent="0.25">
      <c r="D293" s="8"/>
      <c r="E293" s="8"/>
      <c r="F293" s="3"/>
      <c r="G293" s="9"/>
      <c r="O293" s="3"/>
    </row>
    <row r="294" spans="4:15" x14ac:dyDescent="0.25">
      <c r="D294" s="8"/>
      <c r="E294" s="8"/>
      <c r="F294" s="3"/>
      <c r="G294" s="9"/>
      <c r="O294" s="3"/>
    </row>
    <row r="295" spans="4:15" x14ac:dyDescent="0.25">
      <c r="D295" s="8"/>
      <c r="E295" s="8"/>
      <c r="F295" s="3"/>
      <c r="G295" s="9"/>
      <c r="O295" s="3"/>
    </row>
    <row r="296" spans="4:15" x14ac:dyDescent="0.25">
      <c r="D296" s="8"/>
      <c r="E296" s="8"/>
      <c r="F296" s="3"/>
      <c r="G296" s="9"/>
      <c r="O296" s="3"/>
    </row>
    <row r="297" spans="4:15" x14ac:dyDescent="0.25">
      <c r="D297" s="8"/>
      <c r="E297" s="8"/>
      <c r="F297" s="3"/>
      <c r="G297" s="9"/>
      <c r="O297" s="3"/>
    </row>
    <row r="298" spans="4:15" x14ac:dyDescent="0.25">
      <c r="D298" s="8"/>
      <c r="E298" s="8"/>
      <c r="F298" s="3"/>
      <c r="G298" s="9"/>
      <c r="O298" s="3"/>
    </row>
    <row r="299" spans="4:15" x14ac:dyDescent="0.25">
      <c r="D299" s="8"/>
      <c r="E299" s="8"/>
      <c r="F299" s="3"/>
      <c r="G299" s="9"/>
      <c r="O299" s="3"/>
    </row>
    <row r="300" spans="4:15" x14ac:dyDescent="0.25">
      <c r="D300" s="8"/>
      <c r="E300" s="8"/>
      <c r="F300" s="3"/>
      <c r="G300" s="9"/>
      <c r="O300" s="3"/>
    </row>
    <row r="301" spans="4:15" x14ac:dyDescent="0.25">
      <c r="D301" s="8"/>
      <c r="E301" s="8"/>
      <c r="F301" s="3"/>
      <c r="G301" s="9"/>
      <c r="O301" s="3"/>
    </row>
    <row r="302" spans="4:15" x14ac:dyDescent="0.25">
      <c r="D302" s="8"/>
      <c r="E302" s="8"/>
      <c r="F302" s="3"/>
      <c r="O302" s="3"/>
    </row>
    <row r="303" spans="4:15" x14ac:dyDescent="0.25">
      <c r="D303" s="8"/>
      <c r="E303" s="8"/>
      <c r="F303" s="3"/>
      <c r="G303" s="9"/>
      <c r="O303" s="3"/>
    </row>
    <row r="304" spans="4:15" x14ac:dyDescent="0.25">
      <c r="D304" s="8"/>
      <c r="E304" s="8"/>
      <c r="F304" s="3"/>
      <c r="G304" s="9"/>
      <c r="O304" s="3"/>
    </row>
    <row r="305" spans="4:15" x14ac:dyDescent="0.25">
      <c r="D305" s="8"/>
      <c r="E305" s="8"/>
      <c r="F305" s="3"/>
      <c r="G305" s="9"/>
      <c r="O305" s="3"/>
    </row>
    <row r="306" spans="4:15" x14ac:dyDescent="0.25">
      <c r="D306" s="8"/>
      <c r="E306" s="8"/>
      <c r="F306" s="3"/>
      <c r="G306" s="9"/>
      <c r="O306" s="3"/>
    </row>
    <row r="307" spans="4:15" x14ac:dyDescent="0.25">
      <c r="D307" s="8"/>
      <c r="E307" s="8"/>
      <c r="F307" s="3"/>
      <c r="G307" s="9"/>
      <c r="O307" s="3"/>
    </row>
    <row r="308" spans="4:15" x14ac:dyDescent="0.25">
      <c r="D308" s="8"/>
      <c r="E308" s="8"/>
      <c r="F308" s="3"/>
      <c r="G308" s="9"/>
      <c r="O308" s="3"/>
    </row>
    <row r="309" spans="4:15" x14ac:dyDescent="0.25">
      <c r="D309" s="8"/>
      <c r="E309" s="8"/>
      <c r="F309" s="3"/>
      <c r="G309" s="9"/>
      <c r="O309" s="3"/>
    </row>
    <row r="310" spans="4:15" x14ac:dyDescent="0.25">
      <c r="D310" s="8"/>
      <c r="E310" s="8"/>
      <c r="F310" s="3"/>
      <c r="G310" s="9"/>
      <c r="O310" s="3"/>
    </row>
    <row r="311" spans="4:15" x14ac:dyDescent="0.25">
      <c r="D311" s="8"/>
      <c r="E311" s="8"/>
      <c r="F311" s="3"/>
      <c r="G311" s="9"/>
      <c r="O311" s="3"/>
    </row>
    <row r="312" spans="4:15" x14ac:dyDescent="0.25">
      <c r="D312" s="8"/>
      <c r="E312" s="8"/>
      <c r="F312" s="3"/>
      <c r="G312" s="9"/>
      <c r="O312" s="3"/>
    </row>
    <row r="313" spans="4:15" x14ac:dyDescent="0.25">
      <c r="D313" s="8"/>
      <c r="E313" s="8"/>
      <c r="F313" s="3"/>
      <c r="G313" s="9"/>
      <c r="O313" s="3"/>
    </row>
    <row r="314" spans="4:15" x14ac:dyDescent="0.25">
      <c r="D314" s="8"/>
      <c r="E314" s="8"/>
      <c r="F314" s="3"/>
      <c r="G314" s="9"/>
      <c r="O314" s="3"/>
    </row>
    <row r="315" spans="4:15" x14ac:dyDescent="0.25">
      <c r="D315" s="8"/>
      <c r="E315" s="8"/>
      <c r="F315" s="3"/>
      <c r="G315" s="9"/>
      <c r="O315" s="3"/>
    </row>
    <row r="316" spans="4:15" x14ac:dyDescent="0.25">
      <c r="D316" s="8"/>
      <c r="E316" s="8"/>
      <c r="F316" s="3"/>
      <c r="G316" s="9"/>
      <c r="O316" s="3"/>
    </row>
    <row r="317" spans="4:15" x14ac:dyDescent="0.25">
      <c r="D317" s="8"/>
      <c r="E317" s="8"/>
      <c r="F317" s="3"/>
      <c r="G317" s="9"/>
      <c r="O317" s="3"/>
    </row>
    <row r="318" spans="4:15" x14ac:dyDescent="0.25">
      <c r="D318" s="8"/>
      <c r="E318" s="8"/>
      <c r="F318" s="3"/>
      <c r="G318" s="9"/>
      <c r="O318" s="3"/>
    </row>
    <row r="319" spans="4:15" x14ac:dyDescent="0.25">
      <c r="D319" s="8"/>
      <c r="E319" s="8"/>
      <c r="F319" s="3"/>
      <c r="G319" s="9"/>
      <c r="O319" s="3"/>
    </row>
    <row r="320" spans="4:15" x14ac:dyDescent="0.25">
      <c r="D320" s="8"/>
      <c r="E320" s="8"/>
      <c r="F320" s="3"/>
      <c r="G320" s="9"/>
      <c r="O320" s="3"/>
    </row>
    <row r="321" spans="4:15" x14ac:dyDescent="0.25">
      <c r="D321" s="8"/>
      <c r="E321" s="8"/>
      <c r="F321" s="3"/>
      <c r="G321" s="9"/>
      <c r="O321" s="3"/>
    </row>
    <row r="322" spans="4:15" x14ac:dyDescent="0.25">
      <c r="D322" s="8"/>
      <c r="E322" s="8"/>
      <c r="F322" s="3"/>
      <c r="G322" s="9"/>
      <c r="O322" s="3"/>
    </row>
    <row r="323" spans="4:15" x14ac:dyDescent="0.25">
      <c r="D323" s="8"/>
      <c r="E323" s="8"/>
      <c r="F323" s="3"/>
      <c r="G323" s="9"/>
      <c r="O323" s="3"/>
    </row>
    <row r="324" spans="4:15" x14ac:dyDescent="0.25">
      <c r="D324" s="8"/>
      <c r="E324" s="8"/>
      <c r="F324" s="3"/>
      <c r="G324" s="9"/>
      <c r="O324" s="3"/>
    </row>
    <row r="325" spans="4:15" x14ac:dyDescent="0.25">
      <c r="D325" s="8"/>
      <c r="E325" s="8"/>
      <c r="F325" s="3"/>
      <c r="G325" s="9"/>
      <c r="O325" s="3"/>
    </row>
    <row r="326" spans="4:15" x14ac:dyDescent="0.25">
      <c r="D326" s="8"/>
      <c r="E326" s="8"/>
      <c r="F326" s="3"/>
      <c r="G326" s="9"/>
      <c r="O326" s="3"/>
    </row>
    <row r="327" spans="4:15" x14ac:dyDescent="0.25">
      <c r="D327" s="8"/>
      <c r="E327" s="8"/>
      <c r="F327" s="3"/>
      <c r="O327" s="3"/>
    </row>
    <row r="328" spans="4:15" x14ac:dyDescent="0.25">
      <c r="D328" s="8"/>
      <c r="E328" s="8"/>
      <c r="F328" s="3"/>
      <c r="G328" s="9"/>
      <c r="O328" s="3"/>
    </row>
    <row r="329" spans="4:15" x14ac:dyDescent="0.25">
      <c r="D329" s="8"/>
      <c r="E329" s="8"/>
      <c r="F329" s="3"/>
      <c r="G329" s="9"/>
      <c r="O329" s="3"/>
    </row>
    <row r="330" spans="4:15" x14ac:dyDescent="0.25">
      <c r="D330" s="8"/>
      <c r="E330" s="8"/>
      <c r="F330" s="3"/>
      <c r="G330" s="9"/>
      <c r="O330" s="3"/>
    </row>
    <row r="331" spans="4:15" x14ac:dyDescent="0.25">
      <c r="D331" s="8"/>
      <c r="E331" s="8"/>
      <c r="F331" s="3"/>
      <c r="G331" s="9"/>
      <c r="O331" s="3"/>
    </row>
    <row r="332" spans="4:15" x14ac:dyDescent="0.25">
      <c r="D332" s="8"/>
      <c r="E332" s="8"/>
      <c r="F332" s="3"/>
      <c r="G332" s="9"/>
      <c r="O332" s="3"/>
    </row>
    <row r="333" spans="4:15" x14ac:dyDescent="0.25">
      <c r="D333" s="8"/>
      <c r="E333" s="8"/>
      <c r="F333" s="3"/>
      <c r="G333" s="9"/>
      <c r="O333" s="3"/>
    </row>
    <row r="334" spans="4:15" x14ac:dyDescent="0.25">
      <c r="D334" s="8"/>
      <c r="E334" s="8"/>
      <c r="F334" s="3"/>
      <c r="G334" s="9"/>
      <c r="O334" s="3"/>
    </row>
    <row r="335" spans="4:15" x14ac:dyDescent="0.25">
      <c r="D335" s="8"/>
      <c r="E335" s="8"/>
      <c r="F335" s="3"/>
      <c r="G335" s="9"/>
      <c r="O335" s="3"/>
    </row>
    <row r="336" spans="4:15" x14ac:dyDescent="0.25">
      <c r="D336" s="8"/>
      <c r="E336" s="8"/>
      <c r="F336" s="3"/>
      <c r="G336" s="9"/>
      <c r="O336" s="3"/>
    </row>
    <row r="337" spans="4:15" x14ac:dyDescent="0.25">
      <c r="D337" s="8"/>
      <c r="E337" s="8"/>
      <c r="F337" s="3"/>
      <c r="G337" s="9"/>
      <c r="O337" s="3"/>
    </row>
    <row r="338" spans="4:15" x14ac:dyDescent="0.25">
      <c r="D338" s="8"/>
      <c r="E338" s="8"/>
      <c r="F338" s="3"/>
      <c r="G338" s="9"/>
      <c r="O338" s="3"/>
    </row>
    <row r="339" spans="4:15" x14ac:dyDescent="0.25">
      <c r="D339" s="8"/>
      <c r="E339" s="8"/>
      <c r="F339" s="3"/>
      <c r="G339" s="9"/>
      <c r="O339" s="3"/>
    </row>
    <row r="340" spans="4:15" x14ac:dyDescent="0.25">
      <c r="D340" s="8"/>
      <c r="E340" s="8"/>
      <c r="F340" s="3"/>
      <c r="G340" s="9"/>
      <c r="O340" s="3"/>
    </row>
    <row r="341" spans="4:15" x14ac:dyDescent="0.25">
      <c r="D341" s="8"/>
      <c r="E341" s="8"/>
      <c r="F341" s="3"/>
      <c r="G341" s="9"/>
      <c r="O341" s="3"/>
    </row>
    <row r="342" spans="4:15" x14ac:dyDescent="0.25">
      <c r="D342" s="8"/>
      <c r="E342" s="8"/>
      <c r="F342" s="3"/>
      <c r="G342" s="9"/>
      <c r="O342" s="3"/>
    </row>
    <row r="343" spans="4:15" x14ac:dyDescent="0.25">
      <c r="D343" s="8"/>
      <c r="E343" s="8"/>
      <c r="F343" s="3"/>
      <c r="G343" s="9"/>
      <c r="O343" s="3"/>
    </row>
    <row r="344" spans="4:15" x14ac:dyDescent="0.25">
      <c r="D344" s="8"/>
      <c r="E344" s="8"/>
      <c r="F344" s="3"/>
      <c r="G344" s="9"/>
      <c r="O344" s="3"/>
    </row>
    <row r="345" spans="4:15" x14ac:dyDescent="0.25">
      <c r="D345" s="8"/>
      <c r="E345" s="8"/>
      <c r="F345" s="3"/>
      <c r="G345" s="9"/>
      <c r="O345" s="3"/>
    </row>
    <row r="346" spans="4:15" x14ac:dyDescent="0.25">
      <c r="D346" s="8"/>
      <c r="E346" s="8"/>
      <c r="F346" s="3"/>
      <c r="G346" s="9"/>
      <c r="O346" s="3"/>
    </row>
    <row r="347" spans="4:15" x14ac:dyDescent="0.25">
      <c r="D347" s="8"/>
      <c r="E347" s="8"/>
      <c r="F347" s="3"/>
      <c r="G347" s="9"/>
      <c r="O347" s="3"/>
    </row>
    <row r="348" spans="4:15" x14ac:dyDescent="0.25">
      <c r="D348" s="8"/>
      <c r="E348" s="8"/>
      <c r="F348" s="3"/>
      <c r="G348" s="9"/>
      <c r="O348" s="3"/>
    </row>
    <row r="349" spans="4:15" x14ac:dyDescent="0.25">
      <c r="D349" s="8"/>
      <c r="E349" s="8"/>
      <c r="F349" s="3"/>
      <c r="G349" s="9"/>
      <c r="O349" s="3"/>
    </row>
    <row r="350" spans="4:15" x14ac:dyDescent="0.25">
      <c r="D350" s="8"/>
      <c r="E350" s="8"/>
      <c r="F350" s="3"/>
      <c r="G350" s="9"/>
      <c r="O350" s="3"/>
    </row>
    <row r="351" spans="4:15" x14ac:dyDescent="0.25">
      <c r="D351" s="8"/>
      <c r="E351" s="8"/>
      <c r="F351" s="3"/>
      <c r="G351" s="9"/>
      <c r="O351" s="3"/>
    </row>
    <row r="352" spans="4:15" x14ac:dyDescent="0.25">
      <c r="D352" s="8"/>
      <c r="E352" s="8"/>
      <c r="F352" s="3"/>
      <c r="O352" s="3"/>
    </row>
    <row r="353" spans="4:15" x14ac:dyDescent="0.25">
      <c r="D353" s="8"/>
      <c r="E353" s="8"/>
      <c r="F353" s="3"/>
      <c r="G353" s="9"/>
      <c r="O353" s="3"/>
    </row>
    <row r="354" spans="4:15" x14ac:dyDescent="0.25">
      <c r="D354" s="8"/>
      <c r="E354" s="8"/>
      <c r="F354" s="3"/>
      <c r="G354" s="9"/>
      <c r="O354" s="3"/>
    </row>
    <row r="355" spans="4:15" x14ac:dyDescent="0.25">
      <c r="D355" s="8"/>
      <c r="E355" s="8"/>
      <c r="F355" s="3"/>
      <c r="G355" s="9"/>
      <c r="O355" s="3"/>
    </row>
    <row r="356" spans="4:15" x14ac:dyDescent="0.25">
      <c r="D356" s="8"/>
      <c r="E356" s="8"/>
      <c r="F356" s="3"/>
      <c r="G356" s="9"/>
      <c r="O356" s="3"/>
    </row>
    <row r="357" spans="4:15" x14ac:dyDescent="0.25">
      <c r="D357" s="8"/>
      <c r="E357" s="8"/>
      <c r="F357" s="3"/>
      <c r="G357" s="9"/>
      <c r="O357" s="3"/>
    </row>
    <row r="358" spans="4:15" x14ac:dyDescent="0.25">
      <c r="D358" s="8"/>
      <c r="E358" s="8"/>
      <c r="F358" s="3"/>
      <c r="G358" s="9"/>
      <c r="O358" s="3"/>
    </row>
    <row r="359" spans="4:15" x14ac:dyDescent="0.25">
      <c r="D359" s="8"/>
      <c r="E359" s="8"/>
      <c r="F359" s="3"/>
      <c r="G359" s="9"/>
      <c r="O359" s="3"/>
    </row>
    <row r="360" spans="4:15" x14ac:dyDescent="0.25">
      <c r="D360" s="8"/>
      <c r="E360" s="8"/>
      <c r="F360" s="3"/>
      <c r="G360" s="9"/>
      <c r="O360" s="3"/>
    </row>
    <row r="361" spans="4:15" x14ac:dyDescent="0.25">
      <c r="D361" s="8"/>
      <c r="E361" s="8"/>
      <c r="F361" s="3"/>
      <c r="G361" s="9"/>
      <c r="O361" s="3"/>
    </row>
    <row r="362" spans="4:15" x14ac:dyDescent="0.25">
      <c r="D362" s="8"/>
      <c r="E362" s="8"/>
      <c r="F362" s="3"/>
      <c r="G362" s="9"/>
      <c r="O362" s="3"/>
    </row>
    <row r="363" spans="4:15" x14ac:dyDescent="0.25">
      <c r="D363" s="8"/>
      <c r="E363" s="8"/>
      <c r="F363" s="3"/>
      <c r="G363" s="9"/>
      <c r="O363" s="3"/>
    </row>
    <row r="364" spans="4:15" x14ac:dyDescent="0.25">
      <c r="D364" s="8"/>
      <c r="E364" s="8"/>
      <c r="F364" s="3"/>
      <c r="G364" s="9"/>
      <c r="O364" s="3"/>
    </row>
    <row r="365" spans="4:15" x14ac:dyDescent="0.25">
      <c r="D365" s="8"/>
      <c r="E365" s="8"/>
      <c r="F365" s="3"/>
      <c r="G365" s="9"/>
      <c r="O365" s="3"/>
    </row>
    <row r="366" spans="4:15" x14ac:dyDescent="0.25">
      <c r="D366" s="8"/>
      <c r="E366" s="8"/>
      <c r="F366" s="3"/>
      <c r="G366" s="9"/>
      <c r="O366" s="3"/>
    </row>
    <row r="367" spans="4:15" x14ac:dyDescent="0.25">
      <c r="D367" s="8"/>
      <c r="E367" s="8"/>
      <c r="F367" s="3"/>
      <c r="G367" s="9"/>
      <c r="O367" s="3"/>
    </row>
    <row r="368" spans="4:15" x14ac:dyDescent="0.25">
      <c r="D368" s="8"/>
      <c r="E368" s="8"/>
      <c r="F368" s="3"/>
      <c r="G368" s="9"/>
      <c r="O368" s="3"/>
    </row>
    <row r="369" spans="4:15" x14ac:dyDescent="0.25">
      <c r="D369" s="8"/>
      <c r="E369" s="8"/>
      <c r="F369" s="3"/>
      <c r="G369" s="9"/>
      <c r="O369" s="3"/>
    </row>
    <row r="370" spans="4:15" x14ac:dyDescent="0.25">
      <c r="D370" s="8"/>
      <c r="E370" s="8"/>
      <c r="F370" s="3"/>
      <c r="G370" s="9"/>
      <c r="O370" s="3"/>
    </row>
    <row r="371" spans="4:15" x14ac:dyDescent="0.25">
      <c r="D371" s="8"/>
      <c r="E371" s="8"/>
      <c r="F371" s="3"/>
      <c r="G371" s="9"/>
      <c r="O371" s="3"/>
    </row>
    <row r="372" spans="4:15" x14ac:dyDescent="0.25">
      <c r="D372" s="8"/>
      <c r="E372" s="8"/>
      <c r="F372" s="3"/>
      <c r="G372" s="9"/>
      <c r="O372" s="3"/>
    </row>
    <row r="373" spans="4:15" x14ac:dyDescent="0.25">
      <c r="D373" s="8"/>
      <c r="E373" s="8"/>
      <c r="F373" s="3"/>
      <c r="G373" s="9"/>
      <c r="O373" s="3"/>
    </row>
    <row r="374" spans="4:15" x14ac:dyDescent="0.25">
      <c r="D374" s="8"/>
      <c r="E374" s="8"/>
      <c r="F374" s="3"/>
      <c r="G374" s="9"/>
      <c r="O374" s="3"/>
    </row>
    <row r="375" spans="4:15" x14ac:dyDescent="0.25">
      <c r="D375" s="8"/>
      <c r="E375" s="8"/>
      <c r="F375" s="3"/>
      <c r="G375" s="9"/>
      <c r="O375" s="3"/>
    </row>
    <row r="376" spans="4:15" x14ac:dyDescent="0.25">
      <c r="D376" s="8"/>
      <c r="E376" s="8"/>
      <c r="F376" s="3"/>
      <c r="G376" s="9"/>
      <c r="O376" s="3"/>
    </row>
    <row r="377" spans="4:15" x14ac:dyDescent="0.25">
      <c r="D377" s="8"/>
      <c r="E377" s="8"/>
      <c r="F377" s="3"/>
      <c r="O377" s="3"/>
    </row>
    <row r="378" spans="4:15" x14ac:dyDescent="0.25">
      <c r="D378" s="8"/>
      <c r="E378" s="8"/>
      <c r="F378" s="3"/>
      <c r="G378" s="9"/>
      <c r="O378" s="3"/>
    </row>
    <row r="379" spans="4:15" x14ac:dyDescent="0.25">
      <c r="D379" s="8"/>
      <c r="E379" s="8"/>
      <c r="F379" s="3"/>
      <c r="G379" s="9"/>
      <c r="O379" s="3"/>
    </row>
    <row r="380" spans="4:15" x14ac:dyDescent="0.25">
      <c r="D380" s="8"/>
      <c r="E380" s="8"/>
      <c r="F380" s="3"/>
      <c r="G380" s="9"/>
      <c r="O380" s="3"/>
    </row>
    <row r="381" spans="4:15" x14ac:dyDescent="0.25">
      <c r="D381" s="8"/>
      <c r="E381" s="8"/>
      <c r="F381" s="3"/>
      <c r="G381" s="9"/>
      <c r="O381" s="3"/>
    </row>
    <row r="382" spans="4:15" x14ac:dyDescent="0.25">
      <c r="D382" s="8"/>
      <c r="E382" s="8"/>
      <c r="F382" s="3"/>
      <c r="G382" s="9"/>
      <c r="O382" s="3"/>
    </row>
    <row r="383" spans="4:15" x14ac:dyDescent="0.25">
      <c r="D383" s="8"/>
      <c r="E383" s="8"/>
      <c r="F383" s="3"/>
      <c r="G383" s="9"/>
      <c r="O383" s="3"/>
    </row>
    <row r="384" spans="4:15" x14ac:dyDescent="0.25">
      <c r="D384" s="8"/>
      <c r="E384" s="8"/>
      <c r="F384" s="3"/>
      <c r="G384" s="9"/>
      <c r="O384" s="3"/>
    </row>
    <row r="385" spans="4:15" x14ac:dyDescent="0.25">
      <c r="D385" s="8"/>
      <c r="E385" s="8"/>
      <c r="F385" s="3"/>
      <c r="G385" s="9"/>
      <c r="O385" s="3"/>
    </row>
    <row r="386" spans="4:15" x14ac:dyDescent="0.25">
      <c r="D386" s="8"/>
      <c r="E386" s="8"/>
      <c r="F386" s="3"/>
      <c r="G386" s="9"/>
      <c r="O386" s="3"/>
    </row>
    <row r="387" spans="4:15" x14ac:dyDescent="0.25">
      <c r="D387" s="8"/>
      <c r="E387" s="8"/>
      <c r="F387" s="3"/>
      <c r="G387" s="9"/>
      <c r="O387" s="3"/>
    </row>
    <row r="388" spans="4:15" x14ac:dyDescent="0.25">
      <c r="D388" s="8"/>
      <c r="E388" s="8"/>
      <c r="F388" s="3"/>
      <c r="G388" s="9"/>
      <c r="O388" s="3"/>
    </row>
    <row r="389" spans="4:15" x14ac:dyDescent="0.25">
      <c r="D389" s="8"/>
      <c r="E389" s="8"/>
      <c r="F389" s="3"/>
      <c r="G389" s="9"/>
      <c r="O389" s="3"/>
    </row>
    <row r="390" spans="4:15" x14ac:dyDescent="0.25">
      <c r="D390" s="8"/>
      <c r="E390" s="8"/>
      <c r="F390" s="3"/>
      <c r="G390" s="9"/>
      <c r="O390" s="3"/>
    </row>
    <row r="391" spans="4:15" x14ac:dyDescent="0.25">
      <c r="D391" s="8"/>
      <c r="E391" s="8"/>
      <c r="F391" s="3"/>
      <c r="G391" s="9"/>
      <c r="O391" s="3"/>
    </row>
    <row r="392" spans="4:15" x14ac:dyDescent="0.25">
      <c r="D392" s="8"/>
      <c r="E392" s="8"/>
      <c r="F392" s="3"/>
      <c r="G392" s="9"/>
      <c r="O392" s="3"/>
    </row>
    <row r="393" spans="4:15" x14ac:dyDescent="0.25">
      <c r="D393" s="8"/>
      <c r="E393" s="8"/>
      <c r="F393" s="3"/>
      <c r="G393" s="9"/>
      <c r="O393" s="3"/>
    </row>
    <row r="394" spans="4:15" x14ac:dyDescent="0.25">
      <c r="D394" s="8"/>
      <c r="E394" s="8"/>
      <c r="F394" s="3"/>
      <c r="G394" s="9"/>
      <c r="O394" s="3"/>
    </row>
    <row r="395" spans="4:15" x14ac:dyDescent="0.25">
      <c r="D395" s="8"/>
      <c r="E395" s="8"/>
      <c r="F395" s="3"/>
      <c r="G395" s="9"/>
      <c r="O395" s="3"/>
    </row>
    <row r="396" spans="4:15" x14ac:dyDescent="0.25">
      <c r="D396" s="8"/>
      <c r="E396" s="8"/>
      <c r="F396" s="3"/>
      <c r="G396" s="9"/>
      <c r="O396" s="3"/>
    </row>
    <row r="397" spans="4:15" x14ac:dyDescent="0.25">
      <c r="D397" s="8"/>
      <c r="E397" s="8"/>
      <c r="F397" s="3"/>
      <c r="G397" s="9"/>
      <c r="O397" s="3"/>
    </row>
    <row r="398" spans="4:15" x14ac:dyDescent="0.25">
      <c r="D398" s="8"/>
      <c r="E398" s="8"/>
      <c r="F398" s="3"/>
      <c r="G398" s="9"/>
      <c r="O398" s="3"/>
    </row>
    <row r="399" spans="4:15" x14ac:dyDescent="0.25">
      <c r="D399" s="8"/>
      <c r="E399" s="8"/>
      <c r="F399" s="3"/>
      <c r="G399" s="9"/>
      <c r="O399" s="3"/>
    </row>
    <row r="400" spans="4:15" x14ac:dyDescent="0.25">
      <c r="D400" s="8"/>
      <c r="E400" s="8"/>
      <c r="F400" s="3"/>
      <c r="G400" s="9"/>
      <c r="O400" s="3"/>
    </row>
    <row r="401" spans="4:15" x14ac:dyDescent="0.25">
      <c r="D401" s="8"/>
      <c r="E401" s="8"/>
      <c r="F401" s="3"/>
      <c r="G401" s="9"/>
      <c r="O401" s="3"/>
    </row>
    <row r="402" spans="4:15" x14ac:dyDescent="0.25">
      <c r="D402" s="8"/>
      <c r="E402" s="8"/>
      <c r="F402" s="3"/>
      <c r="O402" s="3"/>
    </row>
    <row r="403" spans="4:15" x14ac:dyDescent="0.25">
      <c r="D403" s="8"/>
      <c r="E403" s="8"/>
      <c r="F403" s="3"/>
      <c r="G403" s="9"/>
      <c r="O403" s="3"/>
    </row>
    <row r="404" spans="4:15" x14ac:dyDescent="0.25">
      <c r="D404" s="8"/>
      <c r="E404" s="8"/>
      <c r="F404" s="3"/>
      <c r="G404" s="9"/>
      <c r="O404" s="3"/>
    </row>
    <row r="405" spans="4:15" x14ac:dyDescent="0.25">
      <c r="D405" s="8"/>
      <c r="E405" s="8"/>
      <c r="F405" s="3"/>
      <c r="G405" s="9"/>
      <c r="O405" s="3"/>
    </row>
    <row r="406" spans="4:15" x14ac:dyDescent="0.25">
      <c r="D406" s="8"/>
      <c r="E406" s="8"/>
      <c r="F406" s="3"/>
      <c r="G406" s="9"/>
      <c r="O406" s="3"/>
    </row>
    <row r="407" spans="4:15" x14ac:dyDescent="0.25">
      <c r="D407" s="8"/>
      <c r="E407" s="8"/>
      <c r="F407" s="3"/>
      <c r="G407" s="9"/>
      <c r="O407" s="3"/>
    </row>
    <row r="408" spans="4:15" x14ac:dyDescent="0.25">
      <c r="D408" s="8"/>
      <c r="E408" s="8"/>
      <c r="F408" s="3"/>
      <c r="G408" s="9"/>
      <c r="O408" s="3"/>
    </row>
    <row r="409" spans="4:15" x14ac:dyDescent="0.25">
      <c r="D409" s="8"/>
      <c r="E409" s="8"/>
      <c r="F409" s="3"/>
      <c r="G409" s="9"/>
      <c r="O409" s="3"/>
    </row>
    <row r="410" spans="4:15" x14ac:dyDescent="0.25">
      <c r="D410" s="8"/>
      <c r="E410" s="8"/>
      <c r="F410" s="3"/>
      <c r="G410" s="9"/>
      <c r="O410" s="3"/>
    </row>
    <row r="411" spans="4:15" x14ac:dyDescent="0.25">
      <c r="D411" s="8"/>
      <c r="E411" s="8"/>
      <c r="F411" s="3"/>
      <c r="G411" s="9"/>
      <c r="O411" s="3"/>
    </row>
    <row r="412" spans="4:15" x14ac:dyDescent="0.25">
      <c r="D412" s="8"/>
      <c r="E412" s="8"/>
      <c r="F412" s="3"/>
      <c r="G412" s="9"/>
      <c r="O412" s="3"/>
    </row>
    <row r="413" spans="4:15" x14ac:dyDescent="0.25">
      <c r="D413" s="8"/>
      <c r="E413" s="8"/>
      <c r="F413" s="3"/>
      <c r="G413" s="9"/>
      <c r="O413" s="3"/>
    </row>
    <row r="414" spans="4:15" x14ac:dyDescent="0.25">
      <c r="D414" s="8"/>
      <c r="E414" s="8"/>
      <c r="F414" s="3"/>
      <c r="G414" s="9"/>
      <c r="O414" s="3"/>
    </row>
    <row r="415" spans="4:15" x14ac:dyDescent="0.25">
      <c r="D415" s="8"/>
      <c r="E415" s="8"/>
      <c r="F415" s="3"/>
      <c r="G415" s="9"/>
      <c r="O415" s="3"/>
    </row>
    <row r="416" spans="4:15" x14ac:dyDescent="0.25">
      <c r="D416" s="8"/>
      <c r="E416" s="8"/>
      <c r="F416" s="3"/>
      <c r="G416" s="9"/>
      <c r="O416" s="3"/>
    </row>
    <row r="417" spans="4:15" x14ac:dyDescent="0.25">
      <c r="D417" s="8"/>
      <c r="E417" s="8"/>
      <c r="F417" s="3"/>
      <c r="G417" s="9"/>
      <c r="O417" s="3"/>
    </row>
    <row r="418" spans="4:15" x14ac:dyDescent="0.25">
      <c r="D418" s="8"/>
      <c r="E418" s="8"/>
      <c r="F418" s="3"/>
      <c r="G418" s="9"/>
      <c r="O418" s="3"/>
    </row>
    <row r="419" spans="4:15" x14ac:dyDescent="0.25">
      <c r="D419" s="8"/>
      <c r="E419" s="8"/>
      <c r="F419" s="3"/>
      <c r="G419" s="9"/>
      <c r="O419" s="3"/>
    </row>
    <row r="420" spans="4:15" x14ac:dyDescent="0.25">
      <c r="D420" s="8"/>
      <c r="E420" s="8"/>
      <c r="F420" s="3"/>
      <c r="G420" s="9"/>
      <c r="O420" s="3"/>
    </row>
    <row r="421" spans="4:15" x14ac:dyDescent="0.25">
      <c r="D421" s="8"/>
      <c r="E421" s="8"/>
      <c r="F421" s="3"/>
      <c r="G421" s="9"/>
      <c r="O421" s="3"/>
    </row>
    <row r="422" spans="4:15" x14ac:dyDescent="0.25">
      <c r="D422" s="8"/>
      <c r="E422" s="8"/>
      <c r="F422" s="3"/>
      <c r="G422" s="9"/>
      <c r="O422" s="3"/>
    </row>
    <row r="423" spans="4:15" x14ac:dyDescent="0.25">
      <c r="D423" s="8"/>
      <c r="E423" s="8"/>
      <c r="F423" s="3"/>
      <c r="G423" s="9"/>
      <c r="O423" s="3"/>
    </row>
    <row r="424" spans="4:15" x14ac:dyDescent="0.25">
      <c r="D424" s="8"/>
      <c r="E424" s="8"/>
      <c r="F424" s="3"/>
      <c r="G424" s="9"/>
      <c r="O424" s="3"/>
    </row>
    <row r="425" spans="4:15" x14ac:dyDescent="0.25">
      <c r="D425" s="8"/>
      <c r="E425" s="8"/>
      <c r="F425" s="3"/>
      <c r="G425" s="9"/>
      <c r="O425" s="3"/>
    </row>
    <row r="426" spans="4:15" x14ac:dyDescent="0.25">
      <c r="D426" s="8"/>
      <c r="E426" s="8"/>
      <c r="F426" s="3"/>
      <c r="G426" s="9"/>
      <c r="O426" s="3"/>
    </row>
    <row r="427" spans="4:15" x14ac:dyDescent="0.25">
      <c r="D427" s="8"/>
      <c r="E427" s="8"/>
      <c r="F427" s="3"/>
      <c r="O427" s="3"/>
    </row>
    <row r="428" spans="4:15" x14ac:dyDescent="0.25">
      <c r="D428" s="8"/>
      <c r="E428" s="8"/>
      <c r="F428" s="3"/>
      <c r="G428" s="9"/>
      <c r="O428" s="3"/>
    </row>
    <row r="429" spans="4:15" x14ac:dyDescent="0.25">
      <c r="D429" s="8"/>
      <c r="E429" s="8"/>
      <c r="F429" s="3"/>
      <c r="G429" s="9"/>
      <c r="O429" s="3"/>
    </row>
    <row r="430" spans="4:15" x14ac:dyDescent="0.25">
      <c r="D430" s="8"/>
      <c r="E430" s="8"/>
      <c r="F430" s="3"/>
      <c r="G430" s="9"/>
      <c r="O430" s="3"/>
    </row>
    <row r="431" spans="4:15" x14ac:dyDescent="0.25">
      <c r="D431" s="8"/>
      <c r="E431" s="8"/>
      <c r="F431" s="3"/>
      <c r="G431" s="9"/>
      <c r="O431" s="3"/>
    </row>
    <row r="432" spans="4:15" x14ac:dyDescent="0.25">
      <c r="D432" s="8"/>
      <c r="E432" s="8"/>
      <c r="F432" s="3"/>
      <c r="G432" s="9"/>
      <c r="O432" s="3"/>
    </row>
    <row r="433" spans="4:15" x14ac:dyDescent="0.25">
      <c r="D433" s="8"/>
      <c r="E433" s="8"/>
      <c r="F433" s="3"/>
      <c r="G433" s="9"/>
      <c r="O433" s="3"/>
    </row>
    <row r="434" spans="4:15" x14ac:dyDescent="0.25">
      <c r="D434" s="8"/>
      <c r="E434" s="8"/>
      <c r="F434" s="3"/>
      <c r="G434" s="9"/>
      <c r="O434" s="3"/>
    </row>
    <row r="435" spans="4:15" x14ac:dyDescent="0.25">
      <c r="D435" s="8"/>
      <c r="E435" s="8"/>
      <c r="F435" s="3"/>
      <c r="G435" s="9"/>
      <c r="O435" s="3"/>
    </row>
    <row r="436" spans="4:15" x14ac:dyDescent="0.25">
      <c r="D436" s="8"/>
      <c r="E436" s="8"/>
      <c r="F436" s="3"/>
      <c r="G436" s="9"/>
      <c r="O436" s="3"/>
    </row>
    <row r="437" spans="4:15" x14ac:dyDescent="0.25">
      <c r="D437" s="8"/>
      <c r="E437" s="8"/>
      <c r="F437" s="3"/>
      <c r="G437" s="9"/>
      <c r="O437" s="3"/>
    </row>
    <row r="438" spans="4:15" x14ac:dyDescent="0.25">
      <c r="D438" s="8"/>
      <c r="E438" s="8"/>
      <c r="F438" s="3"/>
      <c r="G438" s="9"/>
      <c r="O438" s="3"/>
    </row>
    <row r="439" spans="4:15" x14ac:dyDescent="0.25">
      <c r="D439" s="8"/>
      <c r="E439" s="8"/>
      <c r="F439" s="3"/>
      <c r="G439" s="9"/>
      <c r="O439" s="3"/>
    </row>
    <row r="440" spans="4:15" x14ac:dyDescent="0.25">
      <c r="D440" s="8"/>
      <c r="E440" s="8"/>
      <c r="F440" s="3"/>
      <c r="G440" s="9"/>
      <c r="O440" s="3"/>
    </row>
    <row r="441" spans="4:15" x14ac:dyDescent="0.25">
      <c r="D441" s="8"/>
      <c r="E441" s="8"/>
      <c r="F441" s="3"/>
      <c r="G441" s="9"/>
      <c r="O441" s="3"/>
    </row>
    <row r="442" spans="4:15" x14ac:dyDescent="0.25">
      <c r="D442" s="8"/>
      <c r="E442" s="8"/>
      <c r="F442" s="3"/>
      <c r="G442" s="9"/>
      <c r="O442" s="3"/>
    </row>
    <row r="443" spans="4:15" x14ac:dyDescent="0.25">
      <c r="D443" s="8"/>
      <c r="E443" s="8"/>
      <c r="F443" s="3"/>
      <c r="G443" s="9"/>
      <c r="O443" s="3"/>
    </row>
    <row r="444" spans="4:15" x14ac:dyDescent="0.25">
      <c r="D444" s="8"/>
      <c r="E444" s="8"/>
      <c r="F444" s="3"/>
      <c r="G444" s="9"/>
      <c r="O444" s="3"/>
    </row>
    <row r="445" spans="4:15" x14ac:dyDescent="0.25">
      <c r="D445" s="8"/>
      <c r="E445" s="8"/>
      <c r="F445" s="3"/>
      <c r="G445" s="9"/>
      <c r="O445" s="3"/>
    </row>
    <row r="446" spans="4:15" x14ac:dyDescent="0.25">
      <c r="D446" s="8"/>
      <c r="E446" s="8"/>
      <c r="F446" s="3"/>
      <c r="G446" s="9"/>
      <c r="O446" s="3"/>
    </row>
    <row r="447" spans="4:15" x14ac:dyDescent="0.25">
      <c r="D447" s="8"/>
      <c r="E447" s="8"/>
      <c r="F447" s="3"/>
      <c r="G447" s="9"/>
      <c r="O447" s="3"/>
    </row>
    <row r="448" spans="4:15" x14ac:dyDescent="0.25">
      <c r="D448" s="8"/>
      <c r="E448" s="8"/>
      <c r="F448" s="3"/>
      <c r="G448" s="9"/>
      <c r="O448" s="3"/>
    </row>
    <row r="449" spans="4:15" x14ac:dyDescent="0.25">
      <c r="D449" s="8"/>
      <c r="E449" s="8"/>
      <c r="F449" s="3"/>
      <c r="G449" s="9"/>
      <c r="O449" s="3"/>
    </row>
    <row r="450" spans="4:15" x14ac:dyDescent="0.25">
      <c r="D450" s="8"/>
      <c r="E450" s="8"/>
      <c r="F450" s="3"/>
      <c r="G450" s="9"/>
      <c r="O450" s="3"/>
    </row>
    <row r="451" spans="4:15" x14ac:dyDescent="0.25">
      <c r="D451" s="8"/>
      <c r="E451" s="8"/>
      <c r="F451" s="3"/>
      <c r="G451" s="9"/>
      <c r="O451" s="3"/>
    </row>
    <row r="452" spans="4:15" x14ac:dyDescent="0.25">
      <c r="D452" s="8"/>
      <c r="E452" s="8"/>
      <c r="F452" s="3"/>
      <c r="O452" s="3"/>
    </row>
    <row r="453" spans="4:15" x14ac:dyDescent="0.25">
      <c r="D453" s="8"/>
      <c r="E453" s="8"/>
      <c r="F453" s="3"/>
      <c r="G453" s="9"/>
      <c r="O453" s="3"/>
    </row>
    <row r="454" spans="4:15" x14ac:dyDescent="0.25">
      <c r="D454" s="8"/>
      <c r="E454" s="8"/>
      <c r="F454" s="3"/>
      <c r="G454" s="9"/>
      <c r="O454" s="3"/>
    </row>
    <row r="455" spans="4:15" x14ac:dyDescent="0.25">
      <c r="D455" s="8"/>
      <c r="E455" s="8"/>
      <c r="F455" s="3"/>
      <c r="G455" s="9"/>
      <c r="O455" s="3"/>
    </row>
    <row r="456" spans="4:15" x14ac:dyDescent="0.25">
      <c r="D456" s="8"/>
      <c r="E456" s="8"/>
      <c r="F456" s="3"/>
      <c r="G456" s="9"/>
      <c r="O456" s="3"/>
    </row>
    <row r="457" spans="4:15" x14ac:dyDescent="0.25">
      <c r="D457" s="8"/>
      <c r="E457" s="8"/>
      <c r="F457" s="3"/>
      <c r="G457" s="9"/>
      <c r="O457" s="3"/>
    </row>
    <row r="458" spans="4:15" x14ac:dyDescent="0.25">
      <c r="D458" s="8"/>
      <c r="E458" s="8"/>
      <c r="F458" s="3"/>
      <c r="G458" s="9"/>
      <c r="O458" s="3"/>
    </row>
    <row r="459" spans="4:15" x14ac:dyDescent="0.25">
      <c r="D459" s="8"/>
      <c r="E459" s="8"/>
      <c r="F459" s="3"/>
      <c r="G459" s="9"/>
      <c r="O459" s="3"/>
    </row>
    <row r="460" spans="4:15" x14ac:dyDescent="0.25">
      <c r="D460" s="8"/>
      <c r="E460" s="8"/>
      <c r="F460" s="3"/>
      <c r="G460" s="9"/>
      <c r="O460" s="3"/>
    </row>
    <row r="461" spans="4:15" x14ac:dyDescent="0.25">
      <c r="D461" s="8"/>
      <c r="E461" s="8"/>
      <c r="F461" s="3"/>
      <c r="G461" s="9"/>
      <c r="O461" s="3"/>
    </row>
    <row r="462" spans="4:15" x14ac:dyDescent="0.25">
      <c r="D462" s="8"/>
      <c r="E462" s="8"/>
      <c r="F462" s="3"/>
      <c r="G462" s="9"/>
      <c r="O462" s="3"/>
    </row>
    <row r="463" spans="4:15" x14ac:dyDescent="0.25">
      <c r="D463" s="8"/>
      <c r="E463" s="8"/>
      <c r="F463" s="3"/>
      <c r="G463" s="9"/>
      <c r="O463" s="3"/>
    </row>
    <row r="464" spans="4:15" x14ac:dyDescent="0.25">
      <c r="D464" s="8"/>
      <c r="E464" s="8"/>
      <c r="F464" s="3"/>
      <c r="G464" s="9"/>
      <c r="O464" s="3"/>
    </row>
    <row r="465" spans="4:15" x14ac:dyDescent="0.25">
      <c r="D465" s="8"/>
      <c r="E465" s="8"/>
      <c r="F465" s="3"/>
      <c r="G465" s="9"/>
      <c r="O465" s="3"/>
    </row>
    <row r="466" spans="4:15" x14ac:dyDescent="0.25">
      <c r="D466" s="8"/>
      <c r="E466" s="8"/>
      <c r="F466" s="3"/>
      <c r="G466" s="9"/>
      <c r="O466" s="3"/>
    </row>
    <row r="467" spans="4:15" x14ac:dyDescent="0.25">
      <c r="D467" s="8"/>
      <c r="E467" s="8"/>
      <c r="F467" s="3"/>
      <c r="G467" s="9"/>
      <c r="O467" s="3"/>
    </row>
    <row r="468" spans="4:15" x14ac:dyDescent="0.25">
      <c r="D468" s="8"/>
      <c r="E468" s="8"/>
      <c r="F468" s="3"/>
      <c r="G468" s="9"/>
      <c r="O468" s="3"/>
    </row>
    <row r="469" spans="4:15" x14ac:dyDescent="0.25">
      <c r="D469" s="8"/>
      <c r="E469" s="8"/>
      <c r="F469" s="3"/>
      <c r="G469" s="9"/>
      <c r="O469" s="3"/>
    </row>
    <row r="470" spans="4:15" x14ac:dyDescent="0.25">
      <c r="D470" s="8"/>
      <c r="E470" s="8"/>
      <c r="F470" s="3"/>
      <c r="G470" s="9"/>
      <c r="O470" s="3"/>
    </row>
    <row r="471" spans="4:15" x14ac:dyDescent="0.25">
      <c r="D471" s="8"/>
      <c r="E471" s="8"/>
      <c r="F471" s="3"/>
      <c r="G471" s="9"/>
      <c r="O471" s="3"/>
    </row>
    <row r="472" spans="4:15" x14ac:dyDescent="0.25">
      <c r="D472" s="8"/>
      <c r="E472" s="8"/>
      <c r="F472" s="3"/>
      <c r="G472" s="9"/>
      <c r="O472" s="3"/>
    </row>
    <row r="473" spans="4:15" x14ac:dyDescent="0.25">
      <c r="D473" s="8"/>
      <c r="E473" s="8"/>
      <c r="F473" s="3"/>
      <c r="G473" s="9"/>
      <c r="O473" s="3"/>
    </row>
    <row r="474" spans="4:15" x14ac:dyDescent="0.25">
      <c r="D474" s="8"/>
      <c r="E474" s="8"/>
      <c r="F474" s="3"/>
      <c r="G474" s="9"/>
      <c r="O474" s="3"/>
    </row>
    <row r="475" spans="4:15" x14ac:dyDescent="0.25">
      <c r="D475" s="8"/>
      <c r="E475" s="8"/>
      <c r="F475" s="3"/>
      <c r="G475" s="9"/>
      <c r="O475" s="3"/>
    </row>
    <row r="476" spans="4:15" x14ac:dyDescent="0.25">
      <c r="D476" s="8"/>
      <c r="E476" s="8"/>
      <c r="F476" s="3"/>
      <c r="G476" s="9"/>
      <c r="O476" s="3"/>
    </row>
    <row r="477" spans="4:15" x14ac:dyDescent="0.25">
      <c r="D477" s="8"/>
      <c r="E477" s="8"/>
      <c r="F477" s="3"/>
      <c r="O477" s="3"/>
    </row>
    <row r="478" spans="4:15" x14ac:dyDescent="0.25">
      <c r="D478" s="8"/>
      <c r="E478" s="8"/>
      <c r="F478" s="3"/>
      <c r="G478" s="9"/>
      <c r="O478" s="3"/>
    </row>
    <row r="479" spans="4:15" x14ac:dyDescent="0.25">
      <c r="D479" s="8"/>
      <c r="E479" s="8"/>
      <c r="F479" s="3"/>
      <c r="G479" s="9"/>
      <c r="O479" s="3"/>
    </row>
    <row r="480" spans="4:15" x14ac:dyDescent="0.25">
      <c r="D480" s="8"/>
      <c r="E480" s="8"/>
      <c r="F480" s="3"/>
      <c r="G480" s="9"/>
      <c r="O480" s="3"/>
    </row>
    <row r="481" spans="4:15" x14ac:dyDescent="0.25">
      <c r="D481" s="8"/>
      <c r="E481" s="8"/>
      <c r="F481" s="3"/>
      <c r="G481" s="9"/>
      <c r="O481" s="3"/>
    </row>
    <row r="482" spans="4:15" x14ac:dyDescent="0.25">
      <c r="D482" s="8"/>
      <c r="E482" s="8"/>
      <c r="F482" s="3"/>
      <c r="G482" s="9"/>
      <c r="O482" s="3"/>
    </row>
    <row r="483" spans="4:15" x14ac:dyDescent="0.25">
      <c r="D483" s="8"/>
      <c r="E483" s="8"/>
      <c r="F483" s="3"/>
      <c r="G483" s="9"/>
      <c r="O483" s="3"/>
    </row>
    <row r="484" spans="4:15" x14ac:dyDescent="0.25">
      <c r="D484" s="8"/>
      <c r="E484" s="8"/>
      <c r="F484" s="3"/>
      <c r="G484" s="9"/>
      <c r="O484" s="3"/>
    </row>
    <row r="485" spans="4:15" x14ac:dyDescent="0.25">
      <c r="D485" s="8"/>
      <c r="E485" s="8"/>
      <c r="F485" s="3"/>
      <c r="G485" s="9"/>
      <c r="O485" s="3"/>
    </row>
    <row r="486" spans="4:15" x14ac:dyDescent="0.25">
      <c r="D486" s="8"/>
      <c r="E486" s="8"/>
      <c r="F486" s="3"/>
      <c r="G486" s="9"/>
      <c r="O486" s="3"/>
    </row>
    <row r="487" spans="4:15" x14ac:dyDescent="0.25">
      <c r="D487" s="8"/>
      <c r="E487" s="8"/>
      <c r="F487" s="3"/>
      <c r="G487" s="9"/>
      <c r="O487" s="3"/>
    </row>
    <row r="488" spans="4:15" x14ac:dyDescent="0.25">
      <c r="D488" s="8"/>
      <c r="E488" s="8"/>
      <c r="F488" s="3"/>
      <c r="G488" s="9"/>
      <c r="O488" s="3"/>
    </row>
    <row r="489" spans="4:15" x14ac:dyDescent="0.25">
      <c r="D489" s="8"/>
      <c r="E489" s="8"/>
      <c r="F489" s="3"/>
      <c r="G489" s="9"/>
      <c r="O489" s="3"/>
    </row>
    <row r="490" spans="4:15" x14ac:dyDescent="0.25">
      <c r="D490" s="8"/>
      <c r="E490" s="8"/>
      <c r="F490" s="3"/>
      <c r="G490" s="9"/>
      <c r="O490" s="3"/>
    </row>
    <row r="491" spans="4:15" x14ac:dyDescent="0.25">
      <c r="D491" s="8"/>
      <c r="E491" s="8"/>
      <c r="F491" s="3"/>
      <c r="G491" s="9"/>
      <c r="O491" s="3"/>
    </row>
    <row r="492" spans="4:15" x14ac:dyDescent="0.25">
      <c r="D492" s="8"/>
      <c r="E492" s="8"/>
      <c r="F492" s="3"/>
      <c r="G492" s="9"/>
      <c r="O492" s="3"/>
    </row>
    <row r="493" spans="4:15" x14ac:dyDescent="0.25">
      <c r="D493" s="8"/>
      <c r="E493" s="8"/>
      <c r="F493" s="3"/>
      <c r="G493" s="9"/>
      <c r="O493" s="3"/>
    </row>
    <row r="494" spans="4:15" x14ac:dyDescent="0.25">
      <c r="D494" s="8"/>
      <c r="E494" s="8"/>
      <c r="F494" s="3"/>
      <c r="G494" s="9"/>
      <c r="O494" s="3"/>
    </row>
    <row r="495" spans="4:15" x14ac:dyDescent="0.25">
      <c r="D495" s="8"/>
      <c r="E495" s="8"/>
      <c r="F495" s="3"/>
      <c r="G495" s="9"/>
      <c r="O495" s="3"/>
    </row>
    <row r="496" spans="4:15" x14ac:dyDescent="0.25">
      <c r="D496" s="8"/>
      <c r="E496" s="8"/>
      <c r="F496" s="3"/>
      <c r="G496" s="9"/>
      <c r="O496" s="3"/>
    </row>
    <row r="497" spans="4:15" x14ac:dyDescent="0.25">
      <c r="D497" s="8"/>
      <c r="E497" s="8"/>
      <c r="F497" s="3"/>
      <c r="G497" s="9"/>
      <c r="O497" s="3"/>
    </row>
    <row r="498" spans="4:15" x14ac:dyDescent="0.25">
      <c r="D498" s="8"/>
      <c r="E498" s="8"/>
      <c r="F498" s="3"/>
      <c r="G498" s="9"/>
      <c r="O498" s="3"/>
    </row>
    <row r="499" spans="4:15" x14ac:dyDescent="0.25">
      <c r="D499" s="8"/>
      <c r="E499" s="8"/>
      <c r="F499" s="3"/>
      <c r="G499" s="9"/>
      <c r="O499" s="3"/>
    </row>
    <row r="500" spans="4:15" x14ac:dyDescent="0.25">
      <c r="D500" s="8"/>
      <c r="E500" s="8"/>
      <c r="F500" s="3"/>
      <c r="G500" s="9"/>
      <c r="O500" s="3"/>
    </row>
    <row r="501" spans="4:15" x14ac:dyDescent="0.25">
      <c r="D501" s="8"/>
      <c r="E501" s="8"/>
      <c r="F501" s="3"/>
      <c r="G501" s="9"/>
      <c r="O501" s="3"/>
    </row>
    <row r="502" spans="4:15" x14ac:dyDescent="0.25">
      <c r="D502" s="8"/>
      <c r="E502" s="8"/>
      <c r="F502" s="3"/>
      <c r="O502" s="3"/>
    </row>
    <row r="503" spans="4:15" x14ac:dyDescent="0.25">
      <c r="D503" s="8"/>
      <c r="E503" s="8"/>
      <c r="F503" s="3"/>
      <c r="G503" s="9"/>
      <c r="O503" s="3"/>
    </row>
    <row r="504" spans="4:15" x14ac:dyDescent="0.25">
      <c r="D504" s="8"/>
      <c r="E504" s="8"/>
      <c r="F504" s="3"/>
      <c r="G504" s="9"/>
      <c r="O504" s="3"/>
    </row>
    <row r="505" spans="4:15" x14ac:dyDescent="0.25">
      <c r="D505" s="8"/>
      <c r="E505" s="8"/>
      <c r="F505" s="3"/>
      <c r="G505" s="9"/>
      <c r="O505" s="3"/>
    </row>
    <row r="506" spans="4:15" x14ac:dyDescent="0.25">
      <c r="D506" s="8"/>
      <c r="E506" s="8"/>
      <c r="F506" s="3"/>
      <c r="G506" s="9"/>
      <c r="O506" s="3"/>
    </row>
    <row r="507" spans="4:15" x14ac:dyDescent="0.25">
      <c r="D507" s="8"/>
      <c r="E507" s="8"/>
      <c r="F507" s="3"/>
      <c r="G507" s="9"/>
      <c r="O507" s="3"/>
    </row>
    <row r="508" spans="4:15" x14ac:dyDescent="0.25">
      <c r="D508" s="8"/>
      <c r="E508" s="8"/>
      <c r="F508" s="3"/>
      <c r="G508" s="9"/>
      <c r="O508" s="3"/>
    </row>
    <row r="509" spans="4:15" x14ac:dyDescent="0.25">
      <c r="D509" s="8"/>
      <c r="E509" s="8"/>
      <c r="F509" s="3"/>
      <c r="G509" s="9"/>
      <c r="O509" s="3"/>
    </row>
    <row r="510" spans="4:15" x14ac:dyDescent="0.25">
      <c r="D510" s="8"/>
      <c r="E510" s="8"/>
      <c r="F510" s="3"/>
      <c r="G510" s="9"/>
      <c r="O510" s="3"/>
    </row>
    <row r="511" spans="4:15" x14ac:dyDescent="0.25">
      <c r="D511" s="8"/>
      <c r="E511" s="8"/>
      <c r="F511" s="3"/>
      <c r="G511" s="9"/>
      <c r="O511" s="3"/>
    </row>
    <row r="512" spans="4:15" x14ac:dyDescent="0.25">
      <c r="D512" s="8"/>
      <c r="E512" s="8"/>
      <c r="F512" s="3"/>
      <c r="G512" s="9"/>
      <c r="O512" s="3"/>
    </row>
    <row r="513" spans="4:15" x14ac:dyDescent="0.25">
      <c r="D513" s="8"/>
      <c r="E513" s="8"/>
      <c r="F513" s="3"/>
      <c r="G513" s="9"/>
      <c r="O513" s="3"/>
    </row>
    <row r="514" spans="4:15" x14ac:dyDescent="0.25">
      <c r="D514" s="8"/>
      <c r="E514" s="8"/>
      <c r="F514" s="3"/>
      <c r="G514" s="9"/>
      <c r="O514" s="3"/>
    </row>
    <row r="515" spans="4:15" x14ac:dyDescent="0.25">
      <c r="D515" s="8"/>
      <c r="E515" s="8"/>
      <c r="F515" s="3"/>
      <c r="G515" s="9"/>
      <c r="O515" s="3"/>
    </row>
    <row r="516" spans="4:15" x14ac:dyDescent="0.25">
      <c r="D516" s="8"/>
      <c r="E516" s="8"/>
      <c r="F516" s="3"/>
      <c r="G516" s="9"/>
      <c r="O516" s="3"/>
    </row>
    <row r="517" spans="4:15" x14ac:dyDescent="0.25">
      <c r="D517" s="8"/>
      <c r="E517" s="8"/>
      <c r="F517" s="3"/>
      <c r="G517" s="9"/>
      <c r="O517" s="3"/>
    </row>
    <row r="518" spans="4:15" x14ac:dyDescent="0.25">
      <c r="D518" s="8"/>
      <c r="E518" s="8"/>
      <c r="F518" s="3"/>
      <c r="G518" s="9"/>
      <c r="O518" s="3"/>
    </row>
    <row r="519" spans="4:15" x14ac:dyDescent="0.25">
      <c r="D519" s="8"/>
      <c r="E519" s="8"/>
      <c r="F519" s="3"/>
      <c r="G519" s="9"/>
      <c r="O519" s="3"/>
    </row>
    <row r="520" spans="4:15" x14ac:dyDescent="0.25">
      <c r="D520" s="8"/>
      <c r="E520" s="8"/>
      <c r="F520" s="3"/>
      <c r="G520" s="9"/>
      <c r="O520" s="3"/>
    </row>
    <row r="521" spans="4:15" x14ac:dyDescent="0.25">
      <c r="D521" s="8"/>
      <c r="E521" s="8"/>
      <c r="F521" s="3"/>
      <c r="G521" s="9"/>
      <c r="O521" s="3"/>
    </row>
    <row r="522" spans="4:15" x14ac:dyDescent="0.25">
      <c r="D522" s="8"/>
      <c r="E522" s="8"/>
      <c r="F522" s="3"/>
      <c r="G522" s="9"/>
      <c r="O522" s="3"/>
    </row>
    <row r="523" spans="4:15" x14ac:dyDescent="0.25">
      <c r="D523" s="8"/>
      <c r="E523" s="8"/>
      <c r="F523" s="3"/>
      <c r="G523" s="9"/>
      <c r="O523" s="3"/>
    </row>
    <row r="524" spans="4:15" x14ac:dyDescent="0.25">
      <c r="D524" s="8"/>
      <c r="E524" s="8"/>
      <c r="F524" s="3"/>
      <c r="G524" s="9"/>
      <c r="O524" s="3"/>
    </row>
    <row r="525" spans="4:15" x14ac:dyDescent="0.25">
      <c r="D525" s="8"/>
      <c r="E525" s="8"/>
      <c r="F525" s="3"/>
      <c r="G525" s="9"/>
      <c r="O525" s="3"/>
    </row>
    <row r="526" spans="4:15" x14ac:dyDescent="0.25">
      <c r="D526" s="8"/>
      <c r="E526" s="8"/>
      <c r="F526" s="3"/>
      <c r="G526" s="9"/>
      <c r="O526" s="3"/>
    </row>
    <row r="527" spans="4:15" x14ac:dyDescent="0.25">
      <c r="D527" s="8"/>
      <c r="E527" s="8"/>
      <c r="F527" s="3"/>
      <c r="O527" s="3"/>
    </row>
    <row r="528" spans="4:15" x14ac:dyDescent="0.25">
      <c r="D528" s="8"/>
      <c r="E528" s="8"/>
      <c r="F528" s="3"/>
      <c r="G528" s="9"/>
      <c r="O528" s="3"/>
    </row>
    <row r="529" spans="4:15" x14ac:dyDescent="0.25">
      <c r="D529" s="8"/>
      <c r="E529" s="8"/>
      <c r="F529" s="3"/>
      <c r="G529" s="9"/>
      <c r="O529" s="3"/>
    </row>
    <row r="530" spans="4:15" x14ac:dyDescent="0.25">
      <c r="D530" s="8"/>
      <c r="E530" s="8"/>
      <c r="F530" s="3"/>
      <c r="G530" s="9"/>
      <c r="O530" s="3"/>
    </row>
    <row r="531" spans="4:15" x14ac:dyDescent="0.25">
      <c r="D531" s="8"/>
      <c r="E531" s="8"/>
      <c r="F531" s="3"/>
      <c r="G531" s="9"/>
      <c r="O531" s="3"/>
    </row>
    <row r="532" spans="4:15" x14ac:dyDescent="0.25">
      <c r="D532" s="8"/>
      <c r="E532" s="8"/>
      <c r="F532" s="3"/>
      <c r="G532" s="9"/>
      <c r="O532" s="3"/>
    </row>
    <row r="533" spans="4:15" x14ac:dyDescent="0.25">
      <c r="D533" s="8"/>
      <c r="E533" s="8"/>
      <c r="F533" s="3"/>
      <c r="G533" s="9"/>
      <c r="O533" s="3"/>
    </row>
    <row r="534" spans="4:15" x14ac:dyDescent="0.25">
      <c r="D534" s="8"/>
      <c r="E534" s="8"/>
      <c r="F534" s="3"/>
      <c r="G534" s="9"/>
      <c r="O534" s="3"/>
    </row>
    <row r="535" spans="4:15" x14ac:dyDescent="0.25">
      <c r="D535" s="8"/>
      <c r="E535" s="8"/>
      <c r="F535" s="3"/>
      <c r="G535" s="9"/>
      <c r="O535" s="3"/>
    </row>
    <row r="536" spans="4:15" x14ac:dyDescent="0.25">
      <c r="D536" s="8"/>
      <c r="E536" s="8"/>
      <c r="F536" s="3"/>
      <c r="G536" s="9"/>
      <c r="O536" s="3"/>
    </row>
    <row r="537" spans="4:15" x14ac:dyDescent="0.25">
      <c r="D537" s="8"/>
      <c r="E537" s="8"/>
      <c r="F537" s="3"/>
      <c r="G537" s="9"/>
      <c r="O537" s="3"/>
    </row>
    <row r="538" spans="4:15" x14ac:dyDescent="0.25">
      <c r="D538" s="8"/>
      <c r="E538" s="8"/>
      <c r="F538" s="3"/>
      <c r="G538" s="9"/>
      <c r="O538" s="3"/>
    </row>
    <row r="539" spans="4:15" x14ac:dyDescent="0.25">
      <c r="D539" s="8"/>
      <c r="E539" s="8"/>
      <c r="F539" s="3"/>
      <c r="G539" s="9"/>
      <c r="O539" s="3"/>
    </row>
    <row r="540" spans="4:15" x14ac:dyDescent="0.25">
      <c r="D540" s="8"/>
      <c r="E540" s="8"/>
      <c r="F540" s="3"/>
      <c r="G540" s="9"/>
      <c r="O540" s="3"/>
    </row>
    <row r="541" spans="4:15" x14ac:dyDescent="0.25">
      <c r="D541" s="8"/>
      <c r="E541" s="8"/>
      <c r="F541" s="3"/>
      <c r="G541" s="9"/>
      <c r="O541" s="3"/>
    </row>
    <row r="542" spans="4:15" x14ac:dyDescent="0.25">
      <c r="D542" s="8"/>
      <c r="E542" s="8"/>
      <c r="F542" s="3"/>
      <c r="G542" s="9"/>
      <c r="O542" s="3"/>
    </row>
    <row r="543" spans="4:15" x14ac:dyDescent="0.25">
      <c r="D543" s="8"/>
      <c r="E543" s="8"/>
      <c r="F543" s="3"/>
      <c r="G543" s="9"/>
      <c r="O543" s="3"/>
    </row>
    <row r="544" spans="4:15" x14ac:dyDescent="0.25">
      <c r="D544" s="8"/>
      <c r="E544" s="8"/>
      <c r="F544" s="3"/>
      <c r="G544" s="9"/>
      <c r="O544" s="3"/>
    </row>
    <row r="545" spans="4:15" x14ac:dyDescent="0.25">
      <c r="D545" s="8"/>
      <c r="E545" s="8"/>
      <c r="F545" s="3"/>
      <c r="G545" s="9"/>
      <c r="O545" s="3"/>
    </row>
    <row r="546" spans="4:15" x14ac:dyDescent="0.25">
      <c r="D546" s="8"/>
      <c r="E546" s="8"/>
      <c r="F546" s="3"/>
      <c r="G546" s="9"/>
      <c r="O546" s="3"/>
    </row>
    <row r="547" spans="4:15" x14ac:dyDescent="0.25">
      <c r="D547" s="8"/>
      <c r="E547" s="8"/>
      <c r="F547" s="3"/>
      <c r="G547" s="9"/>
      <c r="O547" s="3"/>
    </row>
    <row r="548" spans="4:15" x14ac:dyDescent="0.25">
      <c r="D548" s="8"/>
      <c r="E548" s="8"/>
      <c r="F548" s="3"/>
      <c r="G548" s="9"/>
      <c r="O548" s="3"/>
    </row>
    <row r="549" spans="4:15" x14ac:dyDescent="0.25">
      <c r="D549" s="8"/>
      <c r="E549" s="8"/>
      <c r="F549" s="3"/>
      <c r="G549" s="9"/>
      <c r="O549" s="3"/>
    </row>
    <row r="550" spans="4:15" x14ac:dyDescent="0.25">
      <c r="D550" s="8"/>
      <c r="E550" s="8"/>
      <c r="F550" s="3"/>
      <c r="G550" s="9"/>
      <c r="O550" s="3"/>
    </row>
    <row r="551" spans="4:15" x14ac:dyDescent="0.25">
      <c r="D551" s="8"/>
      <c r="E551" s="8"/>
      <c r="F551" s="3"/>
      <c r="G551" s="9"/>
      <c r="O551" s="3"/>
    </row>
    <row r="552" spans="4:15" x14ac:dyDescent="0.25">
      <c r="D552" s="8"/>
      <c r="E552" s="8"/>
      <c r="F552" s="3"/>
      <c r="O552" s="3"/>
    </row>
    <row r="553" spans="4:15" x14ac:dyDescent="0.25">
      <c r="D553" s="8"/>
      <c r="E553" s="8"/>
      <c r="F553" s="3"/>
      <c r="G553" s="9"/>
      <c r="O553" s="3"/>
    </row>
    <row r="554" spans="4:15" x14ac:dyDescent="0.25">
      <c r="D554" s="8"/>
      <c r="E554" s="8"/>
      <c r="F554" s="3"/>
      <c r="G554" s="9"/>
      <c r="O554" s="3"/>
    </row>
    <row r="555" spans="4:15" x14ac:dyDescent="0.25">
      <c r="D555" s="8"/>
      <c r="E555" s="8"/>
      <c r="F555" s="3"/>
      <c r="G555" s="9"/>
      <c r="O555" s="3"/>
    </row>
    <row r="556" spans="4:15" x14ac:dyDescent="0.25">
      <c r="D556" s="8"/>
      <c r="E556" s="8"/>
      <c r="F556" s="3"/>
      <c r="G556" s="9"/>
      <c r="O556" s="3"/>
    </row>
    <row r="557" spans="4:15" x14ac:dyDescent="0.25">
      <c r="D557" s="8"/>
      <c r="E557" s="8"/>
      <c r="F557" s="3"/>
      <c r="G557" s="9"/>
      <c r="O557" s="3"/>
    </row>
    <row r="558" spans="4:15" x14ac:dyDescent="0.25">
      <c r="D558" s="8"/>
      <c r="E558" s="8"/>
      <c r="F558" s="3"/>
      <c r="G558" s="9"/>
      <c r="O558" s="3"/>
    </row>
    <row r="559" spans="4:15" x14ac:dyDescent="0.25">
      <c r="D559" s="8"/>
      <c r="E559" s="8"/>
      <c r="F559" s="3"/>
      <c r="G559" s="9"/>
      <c r="O559" s="3"/>
    </row>
    <row r="560" spans="4:15" x14ac:dyDescent="0.25">
      <c r="D560" s="8"/>
      <c r="E560" s="8"/>
      <c r="F560" s="3"/>
      <c r="G560" s="9"/>
      <c r="O560" s="3"/>
    </row>
    <row r="561" spans="4:15" x14ac:dyDescent="0.25">
      <c r="D561" s="8"/>
      <c r="E561" s="8"/>
      <c r="F561" s="3"/>
      <c r="G561" s="9"/>
      <c r="O561" s="3"/>
    </row>
    <row r="562" spans="4:15" x14ac:dyDescent="0.25">
      <c r="D562" s="8"/>
      <c r="E562" s="8"/>
      <c r="F562" s="3"/>
      <c r="G562" s="9"/>
      <c r="O562" s="3"/>
    </row>
    <row r="563" spans="4:15" x14ac:dyDescent="0.25">
      <c r="D563" s="8"/>
      <c r="E563" s="8"/>
      <c r="F563" s="3"/>
      <c r="G563" s="9"/>
      <c r="O563" s="3"/>
    </row>
    <row r="564" spans="4:15" x14ac:dyDescent="0.25">
      <c r="D564" s="8"/>
      <c r="E564" s="8"/>
      <c r="F564" s="3"/>
      <c r="G564" s="9"/>
      <c r="O564" s="3"/>
    </row>
    <row r="565" spans="4:15" x14ac:dyDescent="0.25">
      <c r="D565" s="8"/>
      <c r="E565" s="8"/>
      <c r="F565" s="3"/>
      <c r="G565" s="9"/>
      <c r="O565" s="3"/>
    </row>
    <row r="566" spans="4:15" x14ac:dyDescent="0.25">
      <c r="D566" s="8"/>
      <c r="E566" s="8"/>
      <c r="F566" s="3"/>
      <c r="G566" s="9"/>
      <c r="O566" s="3"/>
    </row>
    <row r="567" spans="4:15" x14ac:dyDescent="0.25">
      <c r="D567" s="8"/>
      <c r="E567" s="8"/>
      <c r="F567" s="3"/>
      <c r="G567" s="9"/>
      <c r="O567" s="3"/>
    </row>
    <row r="568" spans="4:15" x14ac:dyDescent="0.25">
      <c r="D568" s="8"/>
      <c r="E568" s="8"/>
      <c r="F568" s="3"/>
      <c r="G568" s="9"/>
      <c r="O568" s="3"/>
    </row>
    <row r="569" spans="4:15" x14ac:dyDescent="0.25">
      <c r="D569" s="8"/>
      <c r="E569" s="8"/>
      <c r="F569" s="3"/>
      <c r="G569" s="9"/>
      <c r="O569" s="3"/>
    </row>
    <row r="570" spans="4:15" x14ac:dyDescent="0.25">
      <c r="D570" s="8"/>
      <c r="E570" s="8"/>
      <c r="F570" s="3"/>
      <c r="G570" s="9"/>
      <c r="O570" s="3"/>
    </row>
    <row r="571" spans="4:15" x14ac:dyDescent="0.25">
      <c r="D571" s="8"/>
      <c r="E571" s="8"/>
      <c r="F571" s="3"/>
      <c r="G571" s="9"/>
      <c r="O571" s="3"/>
    </row>
    <row r="572" spans="4:15" x14ac:dyDescent="0.25">
      <c r="D572" s="8"/>
      <c r="E572" s="8"/>
      <c r="F572" s="3"/>
      <c r="G572" s="9"/>
      <c r="O572" s="3"/>
    </row>
    <row r="573" spans="4:15" x14ac:dyDescent="0.25">
      <c r="D573" s="8"/>
      <c r="E573" s="8"/>
      <c r="F573" s="3"/>
      <c r="G573" s="9"/>
      <c r="O573" s="3"/>
    </row>
    <row r="574" spans="4:15" x14ac:dyDescent="0.25">
      <c r="D574" s="8"/>
      <c r="E574" s="8"/>
      <c r="F574" s="3"/>
      <c r="G574" s="9"/>
      <c r="O574" s="3"/>
    </row>
    <row r="575" spans="4:15" x14ac:dyDescent="0.25">
      <c r="D575" s="8"/>
      <c r="E575" s="8"/>
      <c r="F575" s="3"/>
      <c r="G575" s="9"/>
      <c r="O575" s="3"/>
    </row>
    <row r="576" spans="4:15" x14ac:dyDescent="0.25">
      <c r="D576" s="8"/>
      <c r="E576" s="8"/>
      <c r="F576" s="3"/>
      <c r="G576" s="9"/>
      <c r="O576" s="3"/>
    </row>
    <row r="577" spans="4:15" x14ac:dyDescent="0.25">
      <c r="D577" s="8"/>
      <c r="E577" s="8"/>
      <c r="F577" s="3"/>
      <c r="O577" s="3"/>
    </row>
    <row r="578" spans="4:15" x14ac:dyDescent="0.25">
      <c r="D578" s="8"/>
      <c r="E578" s="8"/>
      <c r="F578" s="3"/>
      <c r="G578" s="9"/>
      <c r="O578" s="3"/>
    </row>
    <row r="579" spans="4:15" x14ac:dyDescent="0.25">
      <c r="D579" s="8"/>
      <c r="E579" s="8"/>
      <c r="F579" s="3"/>
      <c r="G579" s="9"/>
      <c r="O579" s="3"/>
    </row>
    <row r="580" spans="4:15" x14ac:dyDescent="0.25">
      <c r="D580" s="8"/>
      <c r="E580" s="8"/>
      <c r="F580" s="3"/>
      <c r="G580" s="9"/>
      <c r="O580" s="3"/>
    </row>
    <row r="581" spans="4:15" x14ac:dyDescent="0.25">
      <c r="D581" s="8"/>
      <c r="E581" s="8"/>
      <c r="F581" s="3"/>
      <c r="G581" s="9"/>
      <c r="O581" s="3"/>
    </row>
    <row r="582" spans="4:15" x14ac:dyDescent="0.25">
      <c r="D582" s="8"/>
      <c r="E582" s="8"/>
      <c r="F582" s="3"/>
      <c r="G582" s="9"/>
      <c r="O582" s="3"/>
    </row>
    <row r="583" spans="4:15" x14ac:dyDescent="0.25">
      <c r="D583" s="8"/>
      <c r="E583" s="8"/>
      <c r="F583" s="3"/>
      <c r="G583" s="9"/>
      <c r="O583" s="3"/>
    </row>
    <row r="584" spans="4:15" x14ac:dyDescent="0.25">
      <c r="D584" s="8"/>
      <c r="E584" s="8"/>
      <c r="F584" s="3"/>
      <c r="G584" s="9"/>
      <c r="O584" s="3"/>
    </row>
    <row r="585" spans="4:15" x14ac:dyDescent="0.25">
      <c r="D585" s="8"/>
      <c r="E585" s="8"/>
      <c r="F585" s="3"/>
      <c r="G585" s="9"/>
      <c r="O585" s="3"/>
    </row>
    <row r="586" spans="4:15" x14ac:dyDescent="0.25">
      <c r="D586" s="8"/>
      <c r="E586" s="8"/>
      <c r="F586" s="3"/>
      <c r="G586" s="9"/>
      <c r="O586" s="3"/>
    </row>
    <row r="587" spans="4:15" x14ac:dyDescent="0.25">
      <c r="D587" s="8"/>
      <c r="E587" s="8"/>
      <c r="F587" s="3"/>
      <c r="G587" s="9"/>
      <c r="O587" s="3"/>
    </row>
    <row r="588" spans="4:15" x14ac:dyDescent="0.25">
      <c r="D588" s="8"/>
      <c r="E588" s="8"/>
      <c r="F588" s="3"/>
      <c r="G588" s="9"/>
      <c r="O588" s="3"/>
    </row>
    <row r="589" spans="4:15" x14ac:dyDescent="0.25">
      <c r="D589" s="8"/>
      <c r="E589" s="8"/>
      <c r="F589" s="3"/>
      <c r="G589" s="9"/>
      <c r="O589" s="3"/>
    </row>
    <row r="590" spans="4:15" x14ac:dyDescent="0.25">
      <c r="D590" s="8"/>
      <c r="E590" s="8"/>
      <c r="F590" s="3"/>
      <c r="G590" s="9"/>
      <c r="O590" s="3"/>
    </row>
    <row r="591" spans="4:15" x14ac:dyDescent="0.25">
      <c r="D591" s="8"/>
      <c r="E591" s="8"/>
      <c r="F591" s="3"/>
      <c r="G591" s="9"/>
      <c r="O591" s="3"/>
    </row>
    <row r="592" spans="4:15" x14ac:dyDescent="0.25">
      <c r="D592" s="8"/>
      <c r="E592" s="8"/>
      <c r="F592" s="3"/>
      <c r="G592" s="9"/>
      <c r="O592" s="3"/>
    </row>
    <row r="593" spans="4:15" x14ac:dyDescent="0.25">
      <c r="D593" s="8"/>
      <c r="E593" s="8"/>
      <c r="F593" s="3"/>
      <c r="G593" s="9"/>
      <c r="O593" s="3"/>
    </row>
    <row r="594" spans="4:15" x14ac:dyDescent="0.25">
      <c r="D594" s="8"/>
      <c r="E594" s="8"/>
      <c r="F594" s="3"/>
      <c r="G594" s="9"/>
      <c r="O594" s="3"/>
    </row>
    <row r="595" spans="4:15" x14ac:dyDescent="0.25">
      <c r="D595" s="8"/>
      <c r="E595" s="8"/>
      <c r="F595" s="3"/>
      <c r="G595" s="9"/>
      <c r="O595" s="3"/>
    </row>
    <row r="596" spans="4:15" x14ac:dyDescent="0.25">
      <c r="D596" s="8"/>
      <c r="E596" s="8"/>
      <c r="F596" s="3"/>
      <c r="G596" s="9"/>
      <c r="O596" s="3"/>
    </row>
    <row r="597" spans="4:15" x14ac:dyDescent="0.25">
      <c r="D597" s="8"/>
      <c r="E597" s="8"/>
      <c r="F597" s="3"/>
      <c r="G597" s="9"/>
      <c r="O597" s="3"/>
    </row>
    <row r="598" spans="4:15" x14ac:dyDescent="0.25">
      <c r="D598" s="8"/>
      <c r="E598" s="8"/>
      <c r="F598" s="3"/>
      <c r="G598" s="9"/>
      <c r="O598" s="3"/>
    </row>
    <row r="599" spans="4:15" x14ac:dyDescent="0.25">
      <c r="D599" s="8"/>
      <c r="E599" s="8"/>
      <c r="F599" s="3"/>
      <c r="G599" s="9"/>
      <c r="O599" s="3"/>
    </row>
    <row r="600" spans="4:15" x14ac:dyDescent="0.25">
      <c r="D600" s="8"/>
      <c r="E600" s="8"/>
      <c r="F600" s="3"/>
      <c r="G600" s="9"/>
      <c r="O600" s="3"/>
    </row>
    <row r="601" spans="4:15" x14ac:dyDescent="0.25">
      <c r="D601" s="8"/>
      <c r="E601" s="8"/>
      <c r="F601" s="3"/>
      <c r="G601" s="9"/>
      <c r="O601" s="3"/>
    </row>
    <row r="602" spans="4:15" x14ac:dyDescent="0.25">
      <c r="D602" s="8"/>
      <c r="E602" s="8"/>
      <c r="F602" s="3"/>
      <c r="O602" s="3"/>
    </row>
    <row r="603" spans="4:15" x14ac:dyDescent="0.25">
      <c r="D603" s="8"/>
      <c r="E603" s="8"/>
      <c r="F603" s="3"/>
      <c r="G603" s="9"/>
      <c r="O603" s="3"/>
    </row>
    <row r="604" spans="4:15" x14ac:dyDescent="0.25">
      <c r="D604" s="8"/>
      <c r="E604" s="8"/>
      <c r="F604" s="3"/>
      <c r="G604" s="9"/>
      <c r="O604" s="3"/>
    </row>
    <row r="605" spans="4:15" x14ac:dyDescent="0.25">
      <c r="D605" s="8"/>
      <c r="E605" s="8"/>
      <c r="F605" s="3"/>
      <c r="G605" s="9"/>
      <c r="O605" s="3"/>
    </row>
    <row r="606" spans="4:15" x14ac:dyDescent="0.25">
      <c r="D606" s="8"/>
      <c r="E606" s="8"/>
      <c r="F606" s="3"/>
      <c r="G606" s="9"/>
      <c r="O606" s="3"/>
    </row>
    <row r="607" spans="4:15" x14ac:dyDescent="0.25">
      <c r="D607" s="8"/>
      <c r="E607" s="8"/>
      <c r="F607" s="3"/>
      <c r="G607" s="9"/>
      <c r="O607" s="3"/>
    </row>
    <row r="608" spans="4:15" x14ac:dyDescent="0.25">
      <c r="D608" s="8"/>
      <c r="E608" s="8"/>
      <c r="F608" s="3"/>
      <c r="G608" s="9"/>
      <c r="O608" s="3"/>
    </row>
    <row r="609" spans="4:15" x14ac:dyDescent="0.25">
      <c r="D609" s="8"/>
      <c r="E609" s="8"/>
      <c r="F609" s="3"/>
      <c r="G609" s="9"/>
      <c r="O609" s="3"/>
    </row>
    <row r="610" spans="4:15" x14ac:dyDescent="0.25">
      <c r="D610" s="8"/>
      <c r="E610" s="8"/>
      <c r="F610" s="3"/>
      <c r="G610" s="9"/>
      <c r="O610" s="3"/>
    </row>
    <row r="611" spans="4:15" x14ac:dyDescent="0.25">
      <c r="D611" s="8"/>
      <c r="E611" s="8"/>
      <c r="F611" s="3"/>
      <c r="G611" s="9"/>
      <c r="O611" s="3"/>
    </row>
    <row r="612" spans="4:15" x14ac:dyDescent="0.25">
      <c r="D612" s="8"/>
      <c r="E612" s="8"/>
      <c r="F612" s="3"/>
      <c r="G612" s="9"/>
      <c r="O612" s="3"/>
    </row>
    <row r="613" spans="4:15" x14ac:dyDescent="0.25">
      <c r="D613" s="8"/>
      <c r="E613" s="8"/>
      <c r="F613" s="3"/>
      <c r="G613" s="9"/>
      <c r="O613" s="3"/>
    </row>
    <row r="614" spans="4:15" x14ac:dyDescent="0.25">
      <c r="D614" s="8"/>
      <c r="E614" s="8"/>
      <c r="F614" s="3"/>
      <c r="G614" s="9"/>
      <c r="O614" s="3"/>
    </row>
    <row r="615" spans="4:15" x14ac:dyDescent="0.25">
      <c r="D615" s="8"/>
      <c r="E615" s="8"/>
      <c r="F615" s="3"/>
      <c r="G615" s="9"/>
      <c r="O615" s="3"/>
    </row>
    <row r="616" spans="4:15" x14ac:dyDescent="0.25">
      <c r="D616" s="8"/>
      <c r="E616" s="8"/>
      <c r="F616" s="3"/>
      <c r="G616" s="9"/>
      <c r="O616" s="3"/>
    </row>
    <row r="617" spans="4:15" x14ac:dyDescent="0.25">
      <c r="D617" s="8"/>
      <c r="E617" s="8"/>
      <c r="F617" s="3"/>
      <c r="G617" s="9"/>
      <c r="O617" s="3"/>
    </row>
    <row r="618" spans="4:15" x14ac:dyDescent="0.25">
      <c r="D618" s="8"/>
      <c r="E618" s="8"/>
      <c r="F618" s="3"/>
      <c r="G618" s="9"/>
      <c r="O618" s="3"/>
    </row>
    <row r="619" spans="4:15" x14ac:dyDescent="0.25">
      <c r="D619" s="8"/>
      <c r="E619" s="8"/>
      <c r="F619" s="3"/>
      <c r="G619" s="9"/>
      <c r="O619" s="3"/>
    </row>
    <row r="620" spans="4:15" x14ac:dyDescent="0.25">
      <c r="D620" s="8"/>
      <c r="E620" s="8"/>
      <c r="F620" s="3"/>
      <c r="G620" s="9"/>
      <c r="O620" s="3"/>
    </row>
    <row r="621" spans="4:15" x14ac:dyDescent="0.25">
      <c r="D621" s="8"/>
      <c r="E621" s="8"/>
      <c r="F621" s="3"/>
      <c r="G621" s="9"/>
      <c r="O621" s="3"/>
    </row>
    <row r="622" spans="4:15" x14ac:dyDescent="0.25">
      <c r="D622" s="8"/>
      <c r="E622" s="8"/>
      <c r="F622" s="3"/>
      <c r="G622" s="9"/>
      <c r="O622" s="3"/>
    </row>
    <row r="623" spans="4:15" x14ac:dyDescent="0.25">
      <c r="D623" s="8"/>
      <c r="E623" s="8"/>
      <c r="F623" s="3"/>
      <c r="G623" s="9"/>
      <c r="O623" s="3"/>
    </row>
    <row r="624" spans="4:15" x14ac:dyDescent="0.25">
      <c r="D624" s="8"/>
      <c r="E624" s="8"/>
      <c r="F624" s="3"/>
      <c r="G624" s="9"/>
      <c r="O624" s="3"/>
    </row>
    <row r="625" spans="4:15" x14ac:dyDescent="0.25">
      <c r="D625" s="8"/>
      <c r="E625" s="8"/>
      <c r="F625" s="3"/>
      <c r="G625" s="9"/>
      <c r="O625" s="3"/>
    </row>
    <row r="626" spans="4:15" x14ac:dyDescent="0.25">
      <c r="D626" s="8"/>
      <c r="E626" s="8"/>
      <c r="F626" s="3"/>
      <c r="G626" s="9"/>
      <c r="O626" s="3"/>
    </row>
    <row r="627" spans="4:15" x14ac:dyDescent="0.25">
      <c r="D627" s="8"/>
      <c r="E627" s="8"/>
      <c r="F627" s="3"/>
      <c r="O627" s="3"/>
    </row>
    <row r="628" spans="4:15" x14ac:dyDescent="0.25">
      <c r="D628" s="8"/>
      <c r="E628" s="8"/>
      <c r="F628" s="3"/>
      <c r="G628" s="9"/>
      <c r="O628" s="3"/>
    </row>
    <row r="629" spans="4:15" x14ac:dyDescent="0.25">
      <c r="D629" s="8"/>
      <c r="E629" s="8"/>
      <c r="F629" s="3"/>
      <c r="G629" s="9"/>
      <c r="O629" s="3"/>
    </row>
    <row r="630" spans="4:15" x14ac:dyDescent="0.25">
      <c r="D630" s="8"/>
      <c r="E630" s="8"/>
      <c r="F630" s="3"/>
      <c r="G630" s="9"/>
      <c r="O630" s="3"/>
    </row>
    <row r="631" spans="4:15" x14ac:dyDescent="0.25">
      <c r="D631" s="8"/>
      <c r="E631" s="8"/>
      <c r="F631" s="3"/>
      <c r="G631" s="9"/>
      <c r="O631" s="3"/>
    </row>
    <row r="632" spans="4:15" x14ac:dyDescent="0.25">
      <c r="D632" s="8"/>
      <c r="E632" s="8"/>
      <c r="F632" s="3"/>
      <c r="G632" s="9"/>
      <c r="O632" s="3"/>
    </row>
    <row r="633" spans="4:15" x14ac:dyDescent="0.25">
      <c r="D633" s="8"/>
      <c r="E633" s="8"/>
      <c r="F633" s="3"/>
      <c r="G633" s="9"/>
      <c r="O633" s="3"/>
    </row>
    <row r="634" spans="4:15" x14ac:dyDescent="0.25">
      <c r="D634" s="8"/>
      <c r="E634" s="8"/>
      <c r="F634" s="3"/>
      <c r="G634" s="9"/>
      <c r="O634" s="3"/>
    </row>
    <row r="635" spans="4:15" x14ac:dyDescent="0.25">
      <c r="D635" s="8"/>
      <c r="E635" s="8"/>
      <c r="F635" s="3"/>
      <c r="G635" s="9"/>
      <c r="O635" s="3"/>
    </row>
    <row r="636" spans="4:15" x14ac:dyDescent="0.25">
      <c r="D636" s="8"/>
      <c r="E636" s="8"/>
      <c r="F636" s="3"/>
      <c r="G636" s="9"/>
      <c r="O636" s="3"/>
    </row>
    <row r="637" spans="4:15" x14ac:dyDescent="0.25">
      <c r="D637" s="8"/>
      <c r="E637" s="8"/>
      <c r="F637" s="3"/>
      <c r="G637" s="9"/>
      <c r="O637" s="3"/>
    </row>
    <row r="638" spans="4:15" x14ac:dyDescent="0.25">
      <c r="D638" s="8"/>
      <c r="E638" s="8"/>
      <c r="F638" s="3"/>
      <c r="G638" s="9"/>
      <c r="O638" s="3"/>
    </row>
    <row r="639" spans="4:15" x14ac:dyDescent="0.25">
      <c r="D639" s="8"/>
      <c r="E639" s="8"/>
      <c r="F639" s="3"/>
      <c r="G639" s="9"/>
      <c r="O639" s="3"/>
    </row>
    <row r="640" spans="4:15" x14ac:dyDescent="0.25">
      <c r="D640" s="8"/>
      <c r="E640" s="8"/>
      <c r="F640" s="3"/>
      <c r="G640" s="9"/>
      <c r="O640" s="3"/>
    </row>
    <row r="641" spans="4:15" x14ac:dyDescent="0.25">
      <c r="D641" s="8"/>
      <c r="E641" s="8"/>
      <c r="F641" s="3"/>
      <c r="G641" s="9"/>
      <c r="O641" s="3"/>
    </row>
    <row r="642" spans="4:15" x14ac:dyDescent="0.25">
      <c r="D642" s="8"/>
      <c r="E642" s="8"/>
      <c r="F642" s="3"/>
      <c r="G642" s="9"/>
      <c r="O642" s="3"/>
    </row>
    <row r="643" spans="4:15" x14ac:dyDescent="0.25">
      <c r="D643" s="8"/>
      <c r="E643" s="8"/>
      <c r="F643" s="3"/>
      <c r="G643" s="9"/>
      <c r="O643" s="3"/>
    </row>
    <row r="644" spans="4:15" x14ac:dyDescent="0.25">
      <c r="D644" s="8"/>
      <c r="E644" s="8"/>
      <c r="F644" s="3"/>
      <c r="G644" s="9"/>
      <c r="O644" s="3"/>
    </row>
    <row r="645" spans="4:15" x14ac:dyDescent="0.25">
      <c r="D645" s="8"/>
      <c r="E645" s="8"/>
      <c r="F645" s="3"/>
      <c r="G645" s="9"/>
      <c r="O645" s="3"/>
    </row>
    <row r="646" spans="4:15" x14ac:dyDescent="0.25">
      <c r="D646" s="8"/>
      <c r="E646" s="8"/>
      <c r="F646" s="3"/>
      <c r="G646" s="9"/>
      <c r="O646" s="3"/>
    </row>
    <row r="647" spans="4:15" x14ac:dyDescent="0.25">
      <c r="D647" s="8"/>
      <c r="E647" s="8"/>
      <c r="F647" s="3"/>
      <c r="G647" s="9"/>
      <c r="O647" s="3"/>
    </row>
    <row r="648" spans="4:15" x14ac:dyDescent="0.25">
      <c r="D648" s="8"/>
      <c r="E648" s="8"/>
      <c r="F648" s="3"/>
      <c r="G648" s="9"/>
      <c r="O648" s="3"/>
    </row>
    <row r="649" spans="4:15" x14ac:dyDescent="0.25">
      <c r="D649" s="8"/>
      <c r="E649" s="8"/>
      <c r="F649" s="3"/>
      <c r="G649" s="9"/>
      <c r="O649" s="3"/>
    </row>
    <row r="650" spans="4:15" x14ac:dyDescent="0.25">
      <c r="D650" s="8"/>
      <c r="E650" s="8"/>
      <c r="F650" s="3"/>
      <c r="G650" s="9"/>
      <c r="O650" s="3"/>
    </row>
    <row r="651" spans="4:15" x14ac:dyDescent="0.25">
      <c r="D651" s="8"/>
      <c r="E651" s="8"/>
      <c r="F651" s="3"/>
      <c r="G651" s="9"/>
      <c r="O651" s="3"/>
    </row>
    <row r="652" spans="4:15" x14ac:dyDescent="0.25">
      <c r="D652" s="8"/>
      <c r="E652" s="8"/>
      <c r="F652" s="3"/>
      <c r="O652" s="3"/>
    </row>
    <row r="653" spans="4:15" x14ac:dyDescent="0.25">
      <c r="D653" s="8"/>
      <c r="E653" s="8"/>
      <c r="F653" s="3"/>
      <c r="G653" s="9"/>
      <c r="O653" s="3"/>
    </row>
    <row r="654" spans="4:15" x14ac:dyDescent="0.25">
      <c r="D654" s="8"/>
      <c r="E654" s="8"/>
      <c r="F654" s="3"/>
      <c r="G654" s="9"/>
      <c r="O654" s="3"/>
    </row>
    <row r="655" spans="4:15" x14ac:dyDescent="0.25">
      <c r="D655" s="8"/>
      <c r="E655" s="8"/>
      <c r="F655" s="3"/>
      <c r="G655" s="9"/>
      <c r="O655" s="3"/>
    </row>
    <row r="656" spans="4:15" x14ac:dyDescent="0.25">
      <c r="D656" s="8"/>
      <c r="E656" s="8"/>
      <c r="F656" s="3"/>
      <c r="G656" s="9"/>
      <c r="O656" s="3"/>
    </row>
    <row r="657" spans="4:15" x14ac:dyDescent="0.25">
      <c r="D657" s="8"/>
      <c r="E657" s="8"/>
      <c r="F657" s="3"/>
      <c r="G657" s="9"/>
      <c r="O657" s="3"/>
    </row>
    <row r="658" spans="4:15" x14ac:dyDescent="0.25">
      <c r="D658" s="8"/>
      <c r="E658" s="8"/>
      <c r="F658" s="3"/>
      <c r="G658" s="9"/>
      <c r="O658" s="3"/>
    </row>
    <row r="659" spans="4:15" x14ac:dyDescent="0.25">
      <c r="D659" s="8"/>
      <c r="E659" s="8"/>
      <c r="F659" s="3"/>
      <c r="G659" s="9"/>
      <c r="O659" s="3"/>
    </row>
    <row r="660" spans="4:15" x14ac:dyDescent="0.25">
      <c r="D660" s="8"/>
      <c r="E660" s="8"/>
      <c r="F660" s="3"/>
      <c r="G660" s="9"/>
      <c r="O660" s="3"/>
    </row>
    <row r="661" spans="4:15" x14ac:dyDescent="0.25">
      <c r="D661" s="8"/>
      <c r="E661" s="8"/>
      <c r="F661" s="3"/>
      <c r="G661" s="9"/>
      <c r="O661" s="3"/>
    </row>
    <row r="662" spans="4:15" x14ac:dyDescent="0.25">
      <c r="D662" s="8"/>
      <c r="E662" s="8"/>
      <c r="F662" s="3"/>
      <c r="G662" s="9"/>
      <c r="O662" s="3"/>
    </row>
    <row r="663" spans="4:15" x14ac:dyDescent="0.25">
      <c r="D663" s="8"/>
      <c r="E663" s="8"/>
      <c r="F663" s="3"/>
      <c r="G663" s="9"/>
      <c r="O663" s="3"/>
    </row>
    <row r="664" spans="4:15" x14ac:dyDescent="0.25">
      <c r="D664" s="8"/>
      <c r="E664" s="8"/>
      <c r="F664" s="3"/>
      <c r="G664" s="9"/>
      <c r="O664" s="3"/>
    </row>
    <row r="665" spans="4:15" x14ac:dyDescent="0.25">
      <c r="D665" s="8"/>
      <c r="E665" s="8"/>
      <c r="F665" s="3"/>
      <c r="G665" s="9"/>
      <c r="O665" s="3"/>
    </row>
    <row r="666" spans="4:15" x14ac:dyDescent="0.25">
      <c r="D666" s="8"/>
      <c r="E666" s="8"/>
      <c r="F666" s="3"/>
      <c r="G666" s="9"/>
      <c r="O666" s="3"/>
    </row>
    <row r="667" spans="4:15" x14ac:dyDescent="0.25">
      <c r="D667" s="8"/>
      <c r="E667" s="8"/>
      <c r="F667" s="3"/>
      <c r="G667" s="9"/>
      <c r="O667" s="3"/>
    </row>
    <row r="668" spans="4:15" x14ac:dyDescent="0.25">
      <c r="D668" s="8"/>
      <c r="E668" s="8"/>
      <c r="F668" s="3"/>
      <c r="G668" s="9"/>
      <c r="O668" s="3"/>
    </row>
    <row r="669" spans="4:15" x14ac:dyDescent="0.25">
      <c r="D669" s="8"/>
      <c r="E669" s="8"/>
      <c r="F669" s="3"/>
      <c r="G669" s="9"/>
      <c r="O669" s="3"/>
    </row>
    <row r="670" spans="4:15" x14ac:dyDescent="0.25">
      <c r="D670" s="8"/>
      <c r="E670" s="8"/>
      <c r="F670" s="3"/>
      <c r="G670" s="9"/>
      <c r="O670" s="3"/>
    </row>
    <row r="671" spans="4:15" x14ac:dyDescent="0.25">
      <c r="D671" s="8"/>
      <c r="E671" s="8"/>
      <c r="F671" s="3"/>
      <c r="G671" s="9"/>
      <c r="O671" s="3"/>
    </row>
    <row r="672" spans="4:15" x14ac:dyDescent="0.25">
      <c r="D672" s="8"/>
      <c r="E672" s="8"/>
      <c r="F672" s="3"/>
      <c r="G672" s="9"/>
      <c r="O672" s="3"/>
    </row>
    <row r="673" spans="4:15" x14ac:dyDescent="0.25">
      <c r="D673" s="8"/>
      <c r="E673" s="8"/>
      <c r="F673" s="3"/>
      <c r="G673" s="9"/>
      <c r="O673" s="3"/>
    </row>
    <row r="674" spans="4:15" x14ac:dyDescent="0.25">
      <c r="D674" s="8"/>
      <c r="E674" s="8"/>
      <c r="F674" s="3"/>
      <c r="G674" s="9"/>
      <c r="O674" s="3"/>
    </row>
    <row r="675" spans="4:15" x14ac:dyDescent="0.25">
      <c r="D675" s="8"/>
      <c r="E675" s="8"/>
      <c r="F675" s="3"/>
      <c r="G675" s="9"/>
      <c r="O675" s="3"/>
    </row>
    <row r="676" spans="4:15" x14ac:dyDescent="0.25">
      <c r="D676" s="8"/>
      <c r="E676" s="8"/>
      <c r="F676" s="3"/>
      <c r="G676" s="9"/>
      <c r="O676" s="3"/>
    </row>
    <row r="677" spans="4:15" x14ac:dyDescent="0.25">
      <c r="D677" s="8"/>
      <c r="E677" s="8"/>
      <c r="F677" s="3"/>
      <c r="O677" s="3"/>
    </row>
    <row r="678" spans="4:15" x14ac:dyDescent="0.25">
      <c r="D678" s="8"/>
      <c r="E678" s="8"/>
      <c r="F678" s="3"/>
      <c r="G678" s="9"/>
      <c r="O678" s="3"/>
    </row>
    <row r="679" spans="4:15" x14ac:dyDescent="0.25">
      <c r="D679" s="8"/>
      <c r="E679" s="8"/>
      <c r="F679" s="3"/>
      <c r="G679" s="9"/>
      <c r="O679" s="3"/>
    </row>
    <row r="680" spans="4:15" x14ac:dyDescent="0.25">
      <c r="D680" s="8"/>
      <c r="E680" s="8"/>
      <c r="F680" s="3"/>
      <c r="G680" s="9"/>
      <c r="O680" s="3"/>
    </row>
    <row r="681" spans="4:15" x14ac:dyDescent="0.25">
      <c r="D681" s="8"/>
      <c r="E681" s="8"/>
      <c r="F681" s="3"/>
      <c r="G681" s="9"/>
      <c r="O681" s="3"/>
    </row>
    <row r="682" spans="4:15" x14ac:dyDescent="0.25">
      <c r="D682" s="8"/>
      <c r="E682" s="8"/>
      <c r="F682" s="3"/>
      <c r="G682" s="9"/>
      <c r="O682" s="3"/>
    </row>
    <row r="683" spans="4:15" x14ac:dyDescent="0.25">
      <c r="D683" s="8"/>
      <c r="E683" s="8"/>
      <c r="F683" s="3"/>
      <c r="G683" s="9"/>
      <c r="O683" s="3"/>
    </row>
    <row r="684" spans="4:15" x14ac:dyDescent="0.25">
      <c r="D684" s="8"/>
      <c r="E684" s="8"/>
      <c r="F684" s="3"/>
      <c r="G684" s="9"/>
      <c r="O684" s="3"/>
    </row>
    <row r="685" spans="4:15" x14ac:dyDescent="0.25">
      <c r="D685" s="8"/>
      <c r="E685" s="8"/>
      <c r="F685" s="3"/>
      <c r="G685" s="9"/>
      <c r="O685" s="3"/>
    </row>
    <row r="686" spans="4:15" x14ac:dyDescent="0.25">
      <c r="D686" s="8"/>
      <c r="E686" s="8"/>
      <c r="F686" s="3"/>
      <c r="G686" s="9"/>
      <c r="O686" s="3"/>
    </row>
    <row r="687" spans="4:15" x14ac:dyDescent="0.25">
      <c r="D687" s="8"/>
      <c r="E687" s="8"/>
      <c r="F687" s="3"/>
      <c r="G687" s="9"/>
      <c r="O687" s="3"/>
    </row>
    <row r="688" spans="4:15" x14ac:dyDescent="0.25">
      <c r="D688" s="8"/>
      <c r="E688" s="8"/>
      <c r="F688" s="3"/>
      <c r="G688" s="9"/>
      <c r="O688" s="3"/>
    </row>
    <row r="689" spans="4:15" x14ac:dyDescent="0.25">
      <c r="D689" s="8"/>
      <c r="E689" s="8"/>
      <c r="F689" s="3"/>
      <c r="G689" s="9"/>
      <c r="O689" s="3"/>
    </row>
    <row r="690" spans="4:15" x14ac:dyDescent="0.25">
      <c r="D690" s="8"/>
      <c r="E690" s="8"/>
      <c r="F690" s="3"/>
      <c r="G690" s="9"/>
      <c r="O690" s="3"/>
    </row>
    <row r="691" spans="4:15" x14ac:dyDescent="0.25">
      <c r="D691" s="8"/>
      <c r="E691" s="8"/>
      <c r="F691" s="3"/>
      <c r="G691" s="9"/>
      <c r="O691" s="3"/>
    </row>
    <row r="692" spans="4:15" x14ac:dyDescent="0.25">
      <c r="D692" s="8"/>
      <c r="E692" s="8"/>
      <c r="F692" s="3"/>
      <c r="G692" s="9"/>
      <c r="O692" s="3"/>
    </row>
    <row r="693" spans="4:15" x14ac:dyDescent="0.25">
      <c r="D693" s="8"/>
      <c r="E693" s="8"/>
      <c r="F693" s="3"/>
      <c r="G693" s="9"/>
      <c r="O693" s="3"/>
    </row>
    <row r="694" spans="4:15" x14ac:dyDescent="0.25">
      <c r="D694" s="8"/>
      <c r="E694" s="8"/>
      <c r="F694" s="3"/>
      <c r="G694" s="9"/>
      <c r="O694" s="3"/>
    </row>
    <row r="695" spans="4:15" x14ac:dyDescent="0.25">
      <c r="D695" s="8"/>
      <c r="E695" s="8"/>
      <c r="F695" s="3"/>
      <c r="G695" s="9"/>
      <c r="O695" s="3"/>
    </row>
    <row r="696" spans="4:15" x14ac:dyDescent="0.25">
      <c r="D696" s="8"/>
      <c r="E696" s="8"/>
      <c r="F696" s="3"/>
      <c r="G696" s="9"/>
      <c r="O696" s="3"/>
    </row>
    <row r="697" spans="4:15" x14ac:dyDescent="0.25">
      <c r="D697" s="8"/>
      <c r="E697" s="8"/>
      <c r="F697" s="3"/>
      <c r="G697" s="9"/>
      <c r="O697" s="3"/>
    </row>
    <row r="698" spans="4:15" x14ac:dyDescent="0.25">
      <c r="D698" s="8"/>
      <c r="E698" s="8"/>
      <c r="F698" s="3"/>
      <c r="G698" s="9"/>
      <c r="O698" s="3"/>
    </row>
    <row r="699" spans="4:15" x14ac:dyDescent="0.25">
      <c r="D699" s="8"/>
      <c r="E699" s="8"/>
      <c r="F699" s="3"/>
      <c r="G699" s="9"/>
      <c r="O699" s="3"/>
    </row>
    <row r="700" spans="4:15" x14ac:dyDescent="0.25">
      <c r="D700" s="8"/>
      <c r="E700" s="8"/>
      <c r="F700" s="3"/>
      <c r="G700" s="9"/>
      <c r="O700" s="3"/>
    </row>
    <row r="701" spans="4:15" x14ac:dyDescent="0.25">
      <c r="D701" s="8"/>
      <c r="E701" s="8"/>
      <c r="F701" s="3"/>
      <c r="G701" s="9"/>
      <c r="O701" s="3"/>
    </row>
    <row r="702" spans="4:15" x14ac:dyDescent="0.25">
      <c r="D702" s="8"/>
      <c r="E702" s="8"/>
      <c r="F702" s="3"/>
      <c r="O702" s="3"/>
    </row>
    <row r="703" spans="4:15" x14ac:dyDescent="0.25">
      <c r="D703" s="8"/>
      <c r="E703" s="8"/>
      <c r="F703" s="3"/>
      <c r="G703" s="9"/>
      <c r="O703" s="3"/>
    </row>
    <row r="704" spans="4:15" x14ac:dyDescent="0.25">
      <c r="D704" s="8"/>
      <c r="E704" s="8"/>
      <c r="F704" s="3"/>
      <c r="G704" s="9"/>
      <c r="O704" s="3"/>
    </row>
    <row r="705" spans="4:15" x14ac:dyDescent="0.25">
      <c r="D705" s="8"/>
      <c r="E705" s="8"/>
      <c r="F705" s="3"/>
      <c r="G705" s="9"/>
      <c r="O705" s="3"/>
    </row>
    <row r="706" spans="4:15" x14ac:dyDescent="0.25">
      <c r="D706" s="8"/>
      <c r="E706" s="8"/>
      <c r="F706" s="3"/>
      <c r="G706" s="9"/>
      <c r="O706" s="3"/>
    </row>
    <row r="707" spans="4:15" x14ac:dyDescent="0.25">
      <c r="D707" s="8"/>
      <c r="E707" s="8"/>
      <c r="F707" s="3"/>
      <c r="G707" s="9"/>
      <c r="O707" s="3"/>
    </row>
    <row r="708" spans="4:15" x14ac:dyDescent="0.25">
      <c r="D708" s="8"/>
      <c r="E708" s="8"/>
      <c r="F708" s="3"/>
      <c r="G708" s="9"/>
      <c r="O708" s="3"/>
    </row>
    <row r="709" spans="4:15" x14ac:dyDescent="0.25">
      <c r="D709" s="8"/>
      <c r="E709" s="8"/>
      <c r="F709" s="3"/>
      <c r="G709" s="9"/>
      <c r="O709" s="3"/>
    </row>
    <row r="710" spans="4:15" x14ac:dyDescent="0.25">
      <c r="D710" s="8"/>
      <c r="E710" s="8"/>
      <c r="F710" s="3"/>
      <c r="G710" s="9"/>
      <c r="O710" s="3"/>
    </row>
    <row r="711" spans="4:15" x14ac:dyDescent="0.25">
      <c r="D711" s="8"/>
      <c r="E711" s="8"/>
      <c r="F711" s="3"/>
      <c r="G711" s="9"/>
      <c r="O711" s="3"/>
    </row>
    <row r="712" spans="4:15" x14ac:dyDescent="0.25">
      <c r="D712" s="8"/>
      <c r="E712" s="8"/>
      <c r="F712" s="3"/>
      <c r="G712" s="9"/>
      <c r="O712" s="3"/>
    </row>
    <row r="713" spans="4:15" x14ac:dyDescent="0.25">
      <c r="D713" s="8"/>
      <c r="E713" s="8"/>
      <c r="F713" s="3"/>
      <c r="G713" s="9"/>
      <c r="O713" s="3"/>
    </row>
    <row r="714" spans="4:15" x14ac:dyDescent="0.25">
      <c r="D714" s="8"/>
      <c r="E714" s="8"/>
      <c r="F714" s="3"/>
      <c r="G714" s="9"/>
      <c r="O714" s="3"/>
    </row>
    <row r="715" spans="4:15" x14ac:dyDescent="0.25">
      <c r="D715" s="8"/>
      <c r="E715" s="8"/>
      <c r="F715" s="3"/>
      <c r="G715" s="9"/>
      <c r="O715" s="3"/>
    </row>
    <row r="716" spans="4:15" x14ac:dyDescent="0.25">
      <c r="D716" s="8"/>
      <c r="E716" s="8"/>
      <c r="F716" s="3"/>
      <c r="G716" s="9"/>
      <c r="O716" s="3"/>
    </row>
    <row r="717" spans="4:15" x14ac:dyDescent="0.25">
      <c r="D717" s="8"/>
      <c r="E717" s="8"/>
      <c r="F717" s="3"/>
      <c r="G717" s="9"/>
      <c r="O717" s="3"/>
    </row>
    <row r="718" spans="4:15" x14ac:dyDescent="0.25">
      <c r="D718" s="3"/>
      <c r="F718" s="3"/>
      <c r="G718" s="9"/>
      <c r="O718" s="3"/>
    </row>
    <row r="719" spans="4:15" x14ac:dyDescent="0.25">
      <c r="F719" s="3"/>
      <c r="G719" s="9"/>
      <c r="O719" s="3"/>
    </row>
    <row r="720" spans="4:15" x14ac:dyDescent="0.25">
      <c r="F720" s="3"/>
      <c r="G720" s="9"/>
      <c r="O720" s="3"/>
    </row>
    <row r="721" spans="6:15" x14ac:dyDescent="0.25">
      <c r="F721" s="3"/>
      <c r="G721" s="9"/>
      <c r="O721" s="3"/>
    </row>
    <row r="722" spans="6:15" x14ac:dyDescent="0.25">
      <c r="F722" s="3"/>
      <c r="G722" s="9"/>
      <c r="O722" s="3"/>
    </row>
    <row r="723" spans="6:15" x14ac:dyDescent="0.25">
      <c r="F723" s="3"/>
      <c r="G723" s="9"/>
      <c r="O723" s="3"/>
    </row>
    <row r="724" spans="6:15" x14ac:dyDescent="0.25">
      <c r="F724" s="3"/>
      <c r="G724" s="9"/>
      <c r="O724" s="3"/>
    </row>
    <row r="725" spans="6:15" x14ac:dyDescent="0.25">
      <c r="F725" s="3"/>
      <c r="G725" s="9"/>
      <c r="O725" s="3"/>
    </row>
    <row r="726" spans="6:15" x14ac:dyDescent="0.25">
      <c r="F726" s="3"/>
      <c r="G726" s="9"/>
      <c r="O726" s="3"/>
    </row>
    <row r="727" spans="6:15" x14ac:dyDescent="0.25">
      <c r="F727" s="3"/>
      <c r="O727" s="3"/>
    </row>
    <row r="728" spans="6:15" x14ac:dyDescent="0.25">
      <c r="F728" s="3"/>
      <c r="G728" s="9"/>
      <c r="O728" s="3"/>
    </row>
    <row r="729" spans="6:15" x14ac:dyDescent="0.25">
      <c r="F729" s="3"/>
      <c r="G729" s="9"/>
      <c r="O729" s="3"/>
    </row>
    <row r="730" spans="6:15" x14ac:dyDescent="0.25">
      <c r="F730" s="3"/>
      <c r="G730" s="9"/>
      <c r="O730" s="3"/>
    </row>
    <row r="731" spans="6:15" x14ac:dyDescent="0.25">
      <c r="F731" s="3"/>
      <c r="G731" s="9"/>
      <c r="O731" s="3"/>
    </row>
    <row r="732" spans="6:15" x14ac:dyDescent="0.25">
      <c r="F732" s="3"/>
      <c r="G732" s="9"/>
      <c r="O732" s="3"/>
    </row>
    <row r="733" spans="6:15" x14ac:dyDescent="0.25">
      <c r="F733" s="3"/>
      <c r="G733" s="9"/>
      <c r="O733" s="3"/>
    </row>
    <row r="734" spans="6:15" x14ac:dyDescent="0.25">
      <c r="F734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4"/>
  <sheetViews>
    <sheetView zoomScale="80" zoomScaleNormal="80" workbookViewId="0">
      <selection activeCell="B1" sqref="B1:C1048576"/>
    </sheetView>
  </sheetViews>
  <sheetFormatPr defaultRowHeight="15" x14ac:dyDescent="0.25"/>
  <cols>
    <col min="1" max="1" width="7.42578125" customWidth="1"/>
    <col min="11" max="11" width="11.85546875" bestFit="1" customWidth="1"/>
    <col min="12" max="12" width="12.42578125" bestFit="1" customWidth="1"/>
    <col min="14" max="14" width="12.28515625" bestFit="1" customWidth="1"/>
    <col min="15" max="15" width="9.5703125" customWidth="1"/>
  </cols>
  <sheetData>
    <row r="1" spans="1:15" x14ac:dyDescent="0.25">
      <c r="B1" s="2">
        <v>45115.76470588235</v>
      </c>
      <c r="C1" s="2">
        <v>45195.199999999997</v>
      </c>
      <c r="I1" s="5"/>
      <c r="K1" t="s">
        <v>17</v>
      </c>
      <c r="L1" s="9">
        <f>C1-B1</f>
        <v>79.435294117647572</v>
      </c>
      <c r="M1" s="9"/>
    </row>
    <row r="2" spans="1:15" x14ac:dyDescent="0.25">
      <c r="A2" t="s">
        <v>0</v>
      </c>
      <c r="B2" t="s">
        <v>1</v>
      </c>
      <c r="C2" t="s">
        <v>1</v>
      </c>
      <c r="D2" s="6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6" t="s">
        <v>10</v>
      </c>
      <c r="J2" s="6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15</v>
      </c>
    </row>
    <row r="3" spans="1:15" x14ac:dyDescent="0.25">
      <c r="A3">
        <v>2</v>
      </c>
      <c r="B3" s="3">
        <v>4.3575555555555558</v>
      </c>
      <c r="C3" s="3">
        <v>7.852806666666666</v>
      </c>
      <c r="D3">
        <f>C3-B3</f>
        <v>3.4952511111111102</v>
      </c>
      <c r="E3">
        <f>(D3+D4)/2</f>
        <v>3.5615311111111105</v>
      </c>
      <c r="F3">
        <v>70</v>
      </c>
      <c r="G3">
        <v>7381</v>
      </c>
      <c r="H3">
        <f>E3*F3</f>
        <v>249.30717777777772</v>
      </c>
      <c r="I3">
        <f t="shared" ref="I3:I22" si="0">I4+H3</f>
        <v>1036.5414816666669</v>
      </c>
      <c r="J3">
        <f t="shared" ref="J3:J23" si="1">(I3/G3)*1000</f>
        <v>140.43374633066884</v>
      </c>
    </row>
    <row r="4" spans="1:15" x14ac:dyDescent="0.25">
      <c r="A4">
        <v>10</v>
      </c>
      <c r="B4" s="3">
        <v>4.1834555555555557</v>
      </c>
      <c r="C4" s="3">
        <v>7.8112666666666666</v>
      </c>
      <c r="D4">
        <f t="shared" ref="D4:D38" si="2">C4-B4</f>
        <v>3.6278111111111109</v>
      </c>
      <c r="E4">
        <f t="shared" ref="E4:E38" si="3">(D4+D5)/2</f>
        <v>3.473771666666666</v>
      </c>
      <c r="F4">
        <v>70</v>
      </c>
      <c r="G4">
        <v>7338</v>
      </c>
      <c r="H4">
        <f t="shared" ref="H4:H38" si="4">E4*F4</f>
        <v>243.16401666666661</v>
      </c>
      <c r="I4">
        <f t="shared" si="0"/>
        <v>787.23430388888914</v>
      </c>
      <c r="J4">
        <f t="shared" si="1"/>
        <v>107.28186207262048</v>
      </c>
      <c r="K4">
        <f>(B5-B3)/(A5-A3)</f>
        <v>-1.6629320987654288E-2</v>
      </c>
      <c r="L4">
        <f>(C5-C3)/(A5-A3)</f>
        <v>-2.6380370370370346E-2</v>
      </c>
      <c r="M4">
        <f>(K4+L4)/2</f>
        <v>-2.1504845679012317E-2</v>
      </c>
      <c r="N4">
        <f>-J4/(M4*86400*$L$1)</f>
        <v>7.2688000446985348E-4</v>
      </c>
      <c r="O4" s="3">
        <f>N4*10000</f>
        <v>7.2688000446985344</v>
      </c>
    </row>
    <row r="5" spans="1:15" x14ac:dyDescent="0.25">
      <c r="A5">
        <v>20</v>
      </c>
      <c r="B5" s="3">
        <v>4.0582277777777787</v>
      </c>
      <c r="C5" s="3">
        <v>7.3779599999999999</v>
      </c>
      <c r="D5">
        <f t="shared" si="2"/>
        <v>3.3197322222222212</v>
      </c>
      <c r="E5">
        <f t="shared" si="3"/>
        <v>2.9057761111111104</v>
      </c>
      <c r="F5">
        <v>70</v>
      </c>
      <c r="G5">
        <v>7252</v>
      </c>
      <c r="H5">
        <f t="shared" si="4"/>
        <v>203.40432777777772</v>
      </c>
      <c r="I5">
        <f t="shared" si="0"/>
        <v>544.07028722222253</v>
      </c>
      <c r="J5">
        <f t="shared" si="1"/>
        <v>75.023481415088611</v>
      </c>
      <c r="K5">
        <f t="shared" ref="K5:K38" si="5">(B6-B4)/(A6-A4)</f>
        <v>-1.0897777777777761E-2</v>
      </c>
      <c r="L5">
        <f t="shared" ref="L5:L38" si="6">(C6-C4)/(A6-A4)</f>
        <v>-6.7697333333333318E-2</v>
      </c>
      <c r="M5">
        <f t="shared" ref="M5:M38" si="7">(K5+L5)/2</f>
        <v>-3.9297555555555537E-2</v>
      </c>
      <c r="N5">
        <f t="shared" ref="N5:N38" si="8">-J5/(M5*86400*$L$1)</f>
        <v>2.7816624403953163E-4</v>
      </c>
      <c r="O5" s="3">
        <f t="shared" ref="O5:O38" si="9">N5*10000</f>
        <v>2.7816624403953165</v>
      </c>
    </row>
    <row r="6" spans="1:15" x14ac:dyDescent="0.25">
      <c r="A6">
        <v>30</v>
      </c>
      <c r="B6" s="3">
        <v>3.9655000000000005</v>
      </c>
      <c r="C6" s="3">
        <v>6.4573200000000002</v>
      </c>
      <c r="D6">
        <f t="shared" si="2"/>
        <v>2.4918199999999997</v>
      </c>
      <c r="E6">
        <f t="shared" si="3"/>
        <v>1.947583888888889</v>
      </c>
      <c r="F6">
        <v>70</v>
      </c>
      <c r="G6">
        <v>7218</v>
      </c>
      <c r="H6">
        <f t="shared" si="4"/>
        <v>136.33087222222224</v>
      </c>
      <c r="I6">
        <f t="shared" si="0"/>
        <v>340.66595944444487</v>
      </c>
      <c r="J6">
        <f t="shared" si="1"/>
        <v>47.196724777562324</v>
      </c>
      <c r="K6">
        <f t="shared" si="5"/>
        <v>-7.2077777777778355E-3</v>
      </c>
      <c r="L6">
        <f t="shared" si="6"/>
        <v>-0.10302699999999998</v>
      </c>
      <c r="M6">
        <f t="shared" si="7"/>
        <v>-5.511738888888891E-2</v>
      </c>
      <c r="N6">
        <f t="shared" si="8"/>
        <v>1.2476592079041686E-4</v>
      </c>
      <c r="O6" s="3">
        <f t="shared" si="9"/>
        <v>1.2476592079041686</v>
      </c>
    </row>
    <row r="7" spans="1:15" x14ac:dyDescent="0.25">
      <c r="A7">
        <v>40</v>
      </c>
      <c r="B7" s="3">
        <v>3.914072222222222</v>
      </c>
      <c r="C7" s="3">
        <v>5.3174200000000003</v>
      </c>
      <c r="D7">
        <f t="shared" si="2"/>
        <v>1.4033477777777783</v>
      </c>
      <c r="E7">
        <f t="shared" si="3"/>
        <v>1.0585772222222229</v>
      </c>
      <c r="F7">
        <v>70</v>
      </c>
      <c r="G7">
        <v>7128.25</v>
      </c>
      <c r="H7">
        <f t="shared" si="4"/>
        <v>74.100405555555611</v>
      </c>
      <c r="I7">
        <f t="shared" si="0"/>
        <v>204.33508722222263</v>
      </c>
      <c r="J7">
        <f t="shared" si="1"/>
        <v>28.665533226559482</v>
      </c>
      <c r="K7">
        <f t="shared" si="5"/>
        <v>-3.3383333333333988E-3</v>
      </c>
      <c r="L7">
        <f t="shared" si="6"/>
        <v>-9.2239000000000002E-2</v>
      </c>
      <c r="M7">
        <f t="shared" si="7"/>
        <v>-4.7788666666666701E-2</v>
      </c>
      <c r="N7">
        <f t="shared" si="8"/>
        <v>8.7399281185269399E-5</v>
      </c>
      <c r="O7" s="3">
        <f t="shared" si="9"/>
        <v>0.87399281185269395</v>
      </c>
    </row>
    <row r="8" spans="1:15" x14ac:dyDescent="0.25">
      <c r="A8">
        <v>50</v>
      </c>
      <c r="B8" s="3">
        <v>3.8987333333333325</v>
      </c>
      <c r="C8" s="3">
        <v>4.6125400000000001</v>
      </c>
      <c r="D8">
        <f t="shared" si="2"/>
        <v>0.71380666666666759</v>
      </c>
      <c r="E8">
        <f t="shared" si="3"/>
        <v>0.56380611111111079</v>
      </c>
      <c r="F8">
        <v>65</v>
      </c>
      <c r="G8">
        <v>6875.5</v>
      </c>
      <c r="H8">
        <f t="shared" si="4"/>
        <v>36.647397222222203</v>
      </c>
      <c r="I8">
        <f t="shared" si="0"/>
        <v>130.234681666667</v>
      </c>
      <c r="J8">
        <f t="shared" si="1"/>
        <v>18.941848835236271</v>
      </c>
      <c r="K8">
        <f t="shared" si="5"/>
        <v>-1.7155555555555368E-3</v>
      </c>
      <c r="L8">
        <f t="shared" si="6"/>
        <v>-5.1192666666666754E-2</v>
      </c>
      <c r="M8">
        <f t="shared" si="7"/>
        <v>-2.6454111111111147E-2</v>
      </c>
      <c r="N8">
        <f t="shared" si="8"/>
        <v>1.0432825483468235E-4</v>
      </c>
      <c r="O8" s="3">
        <f t="shared" si="9"/>
        <v>1.0432825483468235</v>
      </c>
    </row>
    <row r="9" spans="1:15" x14ac:dyDescent="0.25">
      <c r="A9">
        <v>60</v>
      </c>
      <c r="B9" s="3">
        <v>3.8797611111111112</v>
      </c>
      <c r="C9" s="3">
        <v>4.2935666666666652</v>
      </c>
      <c r="D9">
        <f t="shared" si="2"/>
        <v>0.41380555555555398</v>
      </c>
      <c r="E9">
        <f t="shared" si="3"/>
        <v>0.33073611111110979</v>
      </c>
      <c r="F9">
        <v>65</v>
      </c>
      <c r="G9">
        <v>6622.75</v>
      </c>
      <c r="H9">
        <f t="shared" si="4"/>
        <v>21.497847222222138</v>
      </c>
      <c r="I9">
        <f>I10+H9</f>
        <v>93.587284444444791</v>
      </c>
      <c r="J9">
        <f>(I9/G9)*1000</f>
        <v>14.131181826951764</v>
      </c>
      <c r="K9">
        <f t="shared" si="5"/>
        <v>-1.8716666666665827E-3</v>
      </c>
      <c r="L9">
        <f t="shared" si="6"/>
        <v>-2.5178666666666683E-2</v>
      </c>
      <c r="M9">
        <f t="shared" si="7"/>
        <v>-1.3525166666666633E-2</v>
      </c>
      <c r="N9">
        <f t="shared" si="8"/>
        <v>1.5223293084218613E-4</v>
      </c>
      <c r="O9" s="3">
        <f>N9*10000</f>
        <v>1.5223293084218612</v>
      </c>
    </row>
    <row r="10" spans="1:15" x14ac:dyDescent="0.25">
      <c r="A10">
        <v>70</v>
      </c>
      <c r="B10" s="3">
        <v>3.8613000000000008</v>
      </c>
      <c r="C10" s="3">
        <v>4.1089666666666664</v>
      </c>
      <c r="D10">
        <f t="shared" si="2"/>
        <v>0.24766666666666559</v>
      </c>
      <c r="E10">
        <f t="shared" si="3"/>
        <v>0.18571444444444407</v>
      </c>
      <c r="F10">
        <v>65</v>
      </c>
      <c r="G10">
        <v>6370</v>
      </c>
      <c r="H10">
        <f>E10*F10</f>
        <v>12.071438888888865</v>
      </c>
      <c r="I10">
        <f t="shared" si="0"/>
        <v>72.089437222222656</v>
      </c>
      <c r="J10">
        <f t="shared" si="1"/>
        <v>11.317023111808895</v>
      </c>
      <c r="K10">
        <f t="shared" si="5"/>
        <v>-1.5691666666666881E-3</v>
      </c>
      <c r="L10">
        <f t="shared" si="6"/>
        <v>-1.607133333333326E-2</v>
      </c>
      <c r="M10">
        <f t="shared" si="7"/>
        <v>-8.8202499999999739E-3</v>
      </c>
      <c r="N10">
        <f t="shared" si="8"/>
        <v>1.8694939220029714E-4</v>
      </c>
      <c r="O10" s="3">
        <f t="shared" si="9"/>
        <v>1.8694939220029714</v>
      </c>
    </row>
    <row r="11" spans="1:15" x14ac:dyDescent="0.25">
      <c r="A11">
        <v>80</v>
      </c>
      <c r="B11" s="3">
        <v>3.8483777777777775</v>
      </c>
      <c r="C11" s="3">
        <v>3.97214</v>
      </c>
      <c r="D11">
        <f t="shared" si="2"/>
        <v>0.12376222222222255</v>
      </c>
      <c r="E11">
        <f>(D11+D12)/2</f>
        <v>0.10649722222222224</v>
      </c>
      <c r="F11">
        <v>65</v>
      </c>
      <c r="G11">
        <v>6223</v>
      </c>
      <c r="H11">
        <f t="shared" si="4"/>
        <v>6.9223194444444456</v>
      </c>
      <c r="I11">
        <f t="shared" si="0"/>
        <v>60.017998333333793</v>
      </c>
      <c r="J11">
        <f t="shared" si="1"/>
        <v>9.644544164122415</v>
      </c>
      <c r="K11">
        <f t="shared" si="5"/>
        <v>-1.5386111111111544E-3</v>
      </c>
      <c r="L11">
        <f t="shared" si="6"/>
        <v>-9.460333333333338E-3</v>
      </c>
      <c r="M11">
        <f t="shared" si="7"/>
        <v>-5.4994722222222459E-3</v>
      </c>
      <c r="N11">
        <f t="shared" si="8"/>
        <v>2.5552502708313857E-4</v>
      </c>
      <c r="O11" s="3">
        <f t="shared" si="9"/>
        <v>2.5552502708313858</v>
      </c>
    </row>
    <row r="12" spans="1:15" x14ac:dyDescent="0.25">
      <c r="A12">
        <v>90</v>
      </c>
      <c r="B12" s="3">
        <v>3.8305277777777778</v>
      </c>
      <c r="C12" s="3">
        <v>3.9197599999999997</v>
      </c>
      <c r="D12">
        <f t="shared" si="2"/>
        <v>8.9232222222221935E-2</v>
      </c>
      <c r="E12">
        <f t="shared" si="3"/>
        <v>7.8699999999999992E-2</v>
      </c>
      <c r="F12">
        <v>65</v>
      </c>
      <c r="G12">
        <v>6076</v>
      </c>
      <c r="H12">
        <f t="shared" si="4"/>
        <v>5.115499999999999</v>
      </c>
      <c r="I12">
        <f t="shared" si="0"/>
        <v>53.095678888889346</v>
      </c>
      <c r="J12">
        <f t="shared" si="1"/>
        <v>8.7385909955380754</v>
      </c>
      <c r="K12">
        <f t="shared" si="5"/>
        <v>-1.8152777777777685E-3</v>
      </c>
      <c r="L12">
        <f t="shared" si="6"/>
        <v>-4.5949999999999932E-3</v>
      </c>
      <c r="M12">
        <f t="shared" si="7"/>
        <v>-3.2051388888888806E-3</v>
      </c>
      <c r="N12">
        <f t="shared" si="8"/>
        <v>3.972531127827691E-4</v>
      </c>
      <c r="O12" s="3">
        <f t="shared" si="9"/>
        <v>3.9725311278276911</v>
      </c>
    </row>
    <row r="13" spans="1:15" x14ac:dyDescent="0.25">
      <c r="A13">
        <v>100</v>
      </c>
      <c r="B13" s="3">
        <v>3.8120722222222221</v>
      </c>
      <c r="C13" s="3">
        <v>3.8802400000000001</v>
      </c>
      <c r="D13">
        <f t="shared" si="2"/>
        <v>6.8167777777778049E-2</v>
      </c>
      <c r="E13">
        <f t="shared" si="3"/>
        <v>4.8208333333333186E-2</v>
      </c>
      <c r="F13">
        <v>315</v>
      </c>
      <c r="G13">
        <v>5919</v>
      </c>
      <c r="H13">
        <f t="shared" si="4"/>
        <v>15.185624999999954</v>
      </c>
      <c r="I13">
        <f t="shared" si="0"/>
        <v>47.980178888889348</v>
      </c>
      <c r="J13">
        <f t="shared" si="1"/>
        <v>8.1061292260330031</v>
      </c>
      <c r="K13">
        <f t="shared" si="5"/>
        <v>-1.6919444444444412E-3</v>
      </c>
      <c r="L13">
        <f t="shared" si="6"/>
        <v>-2.7083333333333347E-3</v>
      </c>
      <c r="M13">
        <f t="shared" si="7"/>
        <v>-2.2001388888888878E-3</v>
      </c>
      <c r="N13">
        <f t="shared" si="8"/>
        <v>5.3682925485544486E-4</v>
      </c>
      <c r="O13" s="3">
        <f t="shared" si="9"/>
        <v>5.3682925485544484</v>
      </c>
    </row>
    <row r="14" spans="1:15" x14ac:dyDescent="0.25">
      <c r="A14">
        <v>150</v>
      </c>
      <c r="B14" s="3">
        <v>3.7290111111111113</v>
      </c>
      <c r="C14" s="3">
        <v>3.7572599999999996</v>
      </c>
      <c r="D14">
        <f t="shared" si="2"/>
        <v>2.8248888888888324E-2</v>
      </c>
      <c r="E14">
        <f t="shared" si="3"/>
        <v>3.1352777777777563E-2</v>
      </c>
      <c r="F14">
        <v>311</v>
      </c>
      <c r="G14">
        <v>5762</v>
      </c>
      <c r="H14">
        <f t="shared" si="4"/>
        <v>9.7507138888888214</v>
      </c>
      <c r="I14">
        <f t="shared" si="0"/>
        <v>32.794553888889396</v>
      </c>
      <c r="J14">
        <f t="shared" si="1"/>
        <v>5.6915227158780626</v>
      </c>
      <c r="K14">
        <f t="shared" si="5"/>
        <v>-1.805888888888889E-3</v>
      </c>
      <c r="L14">
        <f t="shared" si="6"/>
        <v>-2.1430000000000017E-3</v>
      </c>
      <c r="M14">
        <f t="shared" si="7"/>
        <v>-1.9744444444444453E-3</v>
      </c>
      <c r="N14">
        <f t="shared" si="8"/>
        <v>4.2000678357127254E-4</v>
      </c>
      <c r="O14" s="3">
        <f t="shared" si="9"/>
        <v>4.2000678357127255</v>
      </c>
    </row>
    <row r="15" spans="1:15" x14ac:dyDescent="0.25">
      <c r="A15">
        <v>200</v>
      </c>
      <c r="B15" s="3">
        <v>3.6314833333333332</v>
      </c>
      <c r="C15" s="3">
        <v>3.66594</v>
      </c>
      <c r="D15">
        <f t="shared" si="2"/>
        <v>3.4456666666666802E-2</v>
      </c>
      <c r="E15">
        <f t="shared" si="3"/>
        <v>2.6062777777778656E-2</v>
      </c>
      <c r="F15">
        <v>305</v>
      </c>
      <c r="G15">
        <v>5461</v>
      </c>
      <c r="H15">
        <f t="shared" si="4"/>
        <v>7.9491472222224902</v>
      </c>
      <c r="I15">
        <f t="shared" si="0"/>
        <v>23.043840000000575</v>
      </c>
      <c r="J15">
        <f t="shared" si="1"/>
        <v>4.2197106757005267</v>
      </c>
      <c r="K15">
        <f t="shared" si="5"/>
        <v>-1.409333333333338E-3</v>
      </c>
      <c r="L15">
        <f t="shared" si="6"/>
        <v>-1.5151333333333161E-3</v>
      </c>
      <c r="M15">
        <f t="shared" si="7"/>
        <v>-1.4622333333333269E-3</v>
      </c>
      <c r="N15">
        <f t="shared" si="8"/>
        <v>4.2047361070077016E-4</v>
      </c>
      <c r="O15" s="3">
        <f t="shared" si="9"/>
        <v>4.2047361070077018</v>
      </c>
    </row>
    <row r="16" spans="1:15" x14ac:dyDescent="0.25">
      <c r="A16">
        <v>250</v>
      </c>
      <c r="B16" s="3">
        <v>3.5880777777777775</v>
      </c>
      <c r="C16" s="3">
        <v>3.605746666666668</v>
      </c>
      <c r="D16">
        <f t="shared" si="2"/>
        <v>1.766888888889051E-2</v>
      </c>
      <c r="E16">
        <f t="shared" si="3"/>
        <v>1.2035000000000462E-2</v>
      </c>
      <c r="F16">
        <v>298</v>
      </c>
      <c r="G16">
        <v>5186</v>
      </c>
      <c r="H16">
        <f t="shared" si="4"/>
        <v>3.5864300000001377</v>
      </c>
      <c r="I16">
        <f t="shared" si="0"/>
        <v>15.094692777778086</v>
      </c>
      <c r="J16">
        <f t="shared" si="1"/>
        <v>2.9106619316965068</v>
      </c>
      <c r="K16">
        <f t="shared" si="5"/>
        <v>-7.6211111111110783E-4</v>
      </c>
      <c r="L16">
        <f t="shared" si="6"/>
        <v>-1.0426666666666718E-3</v>
      </c>
      <c r="M16">
        <f t="shared" si="7"/>
        <v>-9.0238888888888986E-4</v>
      </c>
      <c r="N16">
        <f t="shared" si="8"/>
        <v>4.6997069268997954E-4</v>
      </c>
      <c r="O16" s="3">
        <f t="shared" si="9"/>
        <v>4.6997069268997951</v>
      </c>
    </row>
    <row r="17" spans="1:15" x14ac:dyDescent="0.25">
      <c r="A17">
        <v>300</v>
      </c>
      <c r="B17" s="3">
        <v>3.5552722222222224</v>
      </c>
      <c r="C17" s="3">
        <v>3.5616733333333328</v>
      </c>
      <c r="D17">
        <f t="shared" si="2"/>
        <v>6.4011111111104135E-3</v>
      </c>
      <c r="E17">
        <f t="shared" si="3"/>
        <v>6.5844444444445038E-3</v>
      </c>
      <c r="F17">
        <v>289</v>
      </c>
      <c r="G17">
        <v>4893</v>
      </c>
      <c r="H17">
        <f t="shared" si="4"/>
        <v>1.9029044444444616</v>
      </c>
      <c r="I17">
        <f t="shared" si="0"/>
        <v>11.508262777777949</v>
      </c>
      <c r="J17">
        <f t="shared" si="1"/>
        <v>2.3519850353112504</v>
      </c>
      <c r="K17">
        <f t="shared" si="5"/>
        <v>-6.8672222222222246E-4</v>
      </c>
      <c r="L17">
        <f t="shared" si="6"/>
        <v>-7.9573333333334158E-4</v>
      </c>
      <c r="M17">
        <f t="shared" si="7"/>
        <v>-7.4122777777778197E-4</v>
      </c>
      <c r="N17">
        <f t="shared" si="8"/>
        <v>4.6233377102877077E-4</v>
      </c>
      <c r="O17" s="3">
        <f t="shared" si="9"/>
        <v>4.623337710287708</v>
      </c>
    </row>
    <row r="18" spans="1:15" x14ac:dyDescent="0.25">
      <c r="A18">
        <v>350</v>
      </c>
      <c r="B18" s="3">
        <v>3.5194055555555552</v>
      </c>
      <c r="C18" s="3">
        <v>3.5261733333333338</v>
      </c>
      <c r="D18">
        <f t="shared" si="2"/>
        <v>6.7677777777785941E-3</v>
      </c>
      <c r="E18">
        <f t="shared" si="3"/>
        <v>7.0766666666675082E-3</v>
      </c>
      <c r="F18">
        <v>284</v>
      </c>
      <c r="G18">
        <v>4615</v>
      </c>
      <c r="H18">
        <f t="shared" si="4"/>
        <v>2.0097733333335723</v>
      </c>
      <c r="I18">
        <f t="shared" si="0"/>
        <v>9.6053583333334878</v>
      </c>
      <c r="J18">
        <f t="shared" si="1"/>
        <v>2.0813344167569854</v>
      </c>
      <c r="K18">
        <f t="shared" si="5"/>
        <v>-6.6477777777778084E-4</v>
      </c>
      <c r="L18">
        <f t="shared" si="6"/>
        <v>-6.549333333333207E-4</v>
      </c>
      <c r="M18">
        <f t="shared" si="7"/>
        <v>-6.5985555555555077E-4</v>
      </c>
      <c r="N18">
        <f t="shared" si="8"/>
        <v>4.5958488586821068E-4</v>
      </c>
      <c r="O18" s="3">
        <f t="shared" si="9"/>
        <v>4.5958488586821069</v>
      </c>
    </row>
    <row r="19" spans="1:15" x14ac:dyDescent="0.25">
      <c r="A19">
        <v>400</v>
      </c>
      <c r="B19" s="3">
        <v>3.4887944444444443</v>
      </c>
      <c r="C19" s="3">
        <v>3.4961800000000007</v>
      </c>
      <c r="D19">
        <f t="shared" si="2"/>
        <v>7.3855555555564223E-3</v>
      </c>
      <c r="E19">
        <f t="shared" si="3"/>
        <v>7.1711111111116832E-3</v>
      </c>
      <c r="F19">
        <v>279</v>
      </c>
      <c r="G19">
        <v>4306</v>
      </c>
      <c r="H19">
        <f t="shared" si="4"/>
        <v>2.0007400000001594</v>
      </c>
      <c r="I19">
        <f t="shared" si="0"/>
        <v>7.5955849999999154</v>
      </c>
      <c r="J19">
        <f t="shared" si="1"/>
        <v>1.7639537854156793</v>
      </c>
      <c r="K19">
        <f t="shared" si="5"/>
        <v>-5.702222222222186E-4</v>
      </c>
      <c r="L19">
        <f t="shared" si="6"/>
        <v>-5.6833333333333519E-4</v>
      </c>
      <c r="M19">
        <f t="shared" si="7"/>
        <v>-5.6927777777777684E-4</v>
      </c>
      <c r="N19">
        <f t="shared" si="8"/>
        <v>4.5147709421969068E-4</v>
      </c>
      <c r="O19" s="3">
        <f t="shared" si="9"/>
        <v>4.5147709421969067</v>
      </c>
    </row>
    <row r="20" spans="1:15" x14ac:dyDescent="0.25">
      <c r="A20">
        <v>450</v>
      </c>
      <c r="B20" s="3">
        <v>3.4623833333333334</v>
      </c>
      <c r="C20" s="3">
        <v>3.4693400000000003</v>
      </c>
      <c r="D20">
        <f t="shared" si="2"/>
        <v>6.9566666666669441E-3</v>
      </c>
      <c r="E20">
        <f t="shared" si="3"/>
        <v>5.8833333333332405E-3</v>
      </c>
      <c r="F20">
        <v>271</v>
      </c>
      <c r="G20">
        <v>3966</v>
      </c>
      <c r="H20">
        <f t="shared" si="4"/>
        <v>1.5943833333333082</v>
      </c>
      <c r="I20">
        <f t="shared" si="0"/>
        <v>5.594844999999756</v>
      </c>
      <c r="J20">
        <f t="shared" si="1"/>
        <v>1.4107022188602512</v>
      </c>
      <c r="K20">
        <f t="shared" si="5"/>
        <v>-4.3311111111110634E-4</v>
      </c>
      <c r="L20">
        <f t="shared" si="6"/>
        <v>-4.588666666666752E-4</v>
      </c>
      <c r="M20">
        <f t="shared" si="7"/>
        <v>-4.459888888888908E-4</v>
      </c>
      <c r="N20">
        <f t="shared" si="8"/>
        <v>4.6087596501243663E-4</v>
      </c>
      <c r="O20" s="3">
        <f t="shared" si="9"/>
        <v>4.6087596501243659</v>
      </c>
    </row>
    <row r="21" spans="1:15" x14ac:dyDescent="0.25">
      <c r="A21">
        <v>500</v>
      </c>
      <c r="B21" s="3">
        <v>3.4454833333333337</v>
      </c>
      <c r="C21" s="3">
        <v>3.4502933333333332</v>
      </c>
      <c r="D21">
        <f t="shared" si="2"/>
        <v>4.8099999999995369E-3</v>
      </c>
      <c r="E21">
        <f t="shared" si="3"/>
        <v>4.6477777777780283E-3</v>
      </c>
      <c r="F21">
        <v>262</v>
      </c>
      <c r="G21">
        <v>3571</v>
      </c>
      <c r="H21">
        <f t="shared" si="4"/>
        <v>1.2177177777778434</v>
      </c>
      <c r="I21">
        <f t="shared" si="0"/>
        <v>4.0004616666664479</v>
      </c>
      <c r="J21">
        <f t="shared" si="1"/>
        <v>1.1202636983104026</v>
      </c>
      <c r="K21">
        <f t="shared" si="5"/>
        <v>-3.3855555555555749E-4</v>
      </c>
      <c r="L21">
        <f t="shared" si="6"/>
        <v>-3.6326666666666176E-4</v>
      </c>
      <c r="M21">
        <f t="shared" si="7"/>
        <v>-3.5091111111110965E-4</v>
      </c>
      <c r="N21">
        <f t="shared" si="8"/>
        <v>4.6515307137430078E-4</v>
      </c>
      <c r="O21" s="3">
        <f t="shared" si="9"/>
        <v>4.651530713743008</v>
      </c>
    </row>
    <row r="22" spans="1:15" x14ac:dyDescent="0.25">
      <c r="A22">
        <v>550</v>
      </c>
      <c r="B22" s="3">
        <v>3.4285277777777776</v>
      </c>
      <c r="C22" s="3">
        <v>3.4330133333333341</v>
      </c>
      <c r="D22">
        <f t="shared" si="2"/>
        <v>4.4855555555565196E-3</v>
      </c>
      <c r="E22">
        <f t="shared" si="3"/>
        <v>4.3961111111112672E-3</v>
      </c>
      <c r="F22">
        <v>251</v>
      </c>
      <c r="G22">
        <v>3239</v>
      </c>
      <c r="H22">
        <f t="shared" si="4"/>
        <v>1.1034238888889281</v>
      </c>
      <c r="I22">
        <f t="shared" si="0"/>
        <v>2.7827438888886049</v>
      </c>
      <c r="J22">
        <f t="shared" si="1"/>
        <v>0.85913673630398413</v>
      </c>
      <c r="K22">
        <f t="shared" si="5"/>
        <v>-2.9616666666666626E-4</v>
      </c>
      <c r="L22">
        <f t="shared" si="6"/>
        <v>-3.0120000000000147E-4</v>
      </c>
      <c r="M22">
        <f t="shared" si="7"/>
        <v>-2.9868333333333386E-4</v>
      </c>
      <c r="N22">
        <f t="shared" si="8"/>
        <v>4.1910616552144956E-4</v>
      </c>
      <c r="O22" s="3">
        <f t="shared" si="9"/>
        <v>4.1910616552144955</v>
      </c>
    </row>
    <row r="23" spans="1:15" x14ac:dyDescent="0.25">
      <c r="A23">
        <v>600</v>
      </c>
      <c r="B23" s="3">
        <v>3.4158666666666671</v>
      </c>
      <c r="C23" s="3">
        <v>3.4201733333333331</v>
      </c>
      <c r="D23">
        <f t="shared" si="2"/>
        <v>4.3066666666660147E-3</v>
      </c>
      <c r="E23">
        <f t="shared" si="3"/>
        <v>3.9311111111104413E-3</v>
      </c>
      <c r="F23">
        <v>240</v>
      </c>
      <c r="G23">
        <v>2767</v>
      </c>
      <c r="H23">
        <f t="shared" si="4"/>
        <v>0.94346666666650592</v>
      </c>
      <c r="I23">
        <f>I24+H23</f>
        <v>1.6793199999996768</v>
      </c>
      <c r="J23">
        <f t="shared" si="1"/>
        <v>0.6069100108419504</v>
      </c>
      <c r="K23">
        <f t="shared" si="5"/>
        <v>-2.2016666666666129E-4</v>
      </c>
      <c r="L23">
        <f t="shared" si="6"/>
        <v>-2.2946666666667781E-4</v>
      </c>
      <c r="M23">
        <f t="shared" si="7"/>
        <v>-2.2481666666666954E-4</v>
      </c>
      <c r="N23">
        <f t="shared" si="8"/>
        <v>3.9334039218772186E-4</v>
      </c>
      <c r="O23" s="3">
        <f t="shared" si="9"/>
        <v>3.9334039218772188</v>
      </c>
    </row>
    <row r="24" spans="1:15" x14ac:dyDescent="0.25">
      <c r="A24">
        <v>650</v>
      </c>
      <c r="B24" s="3">
        <v>3.4065111111111115</v>
      </c>
      <c r="C24" s="3">
        <v>3.4100666666666664</v>
      </c>
      <c r="D24">
        <f t="shared" si="2"/>
        <v>3.5555555555548679E-3</v>
      </c>
      <c r="E24">
        <f t="shared" si="3"/>
        <v>3.2133333333326242E-3</v>
      </c>
      <c r="F24">
        <v>229</v>
      </c>
      <c r="G24">
        <v>2129</v>
      </c>
      <c r="H24">
        <f t="shared" si="4"/>
        <v>0.73585333333317093</v>
      </c>
      <c r="I24">
        <f>H24</f>
        <v>0.73585333333317093</v>
      </c>
      <c r="J24">
        <f>(I24/G24)*1000</f>
        <v>0.34563331767645417</v>
      </c>
      <c r="K24">
        <f t="shared" si="5"/>
        <v>-1.7511111111111254E-4</v>
      </c>
      <c r="L24">
        <f t="shared" si="6"/>
        <v>-1.894666666666689E-4</v>
      </c>
      <c r="M24">
        <f t="shared" si="7"/>
        <v>-1.8228888888889073E-4</v>
      </c>
      <c r="N24">
        <f t="shared" si="8"/>
        <v>2.7626645308395404E-4</v>
      </c>
      <c r="O24" s="3">
        <f t="shared" si="9"/>
        <v>2.7626645308395403</v>
      </c>
    </row>
    <row r="25" spans="1:15" x14ac:dyDescent="0.25">
      <c r="A25">
        <v>700</v>
      </c>
      <c r="B25" s="3">
        <v>3.3983555555555558</v>
      </c>
      <c r="C25" s="3">
        <v>3.4012266666666662</v>
      </c>
      <c r="D25">
        <f t="shared" si="2"/>
        <v>2.8711111111103804E-3</v>
      </c>
      <c r="E25">
        <f t="shared" si="3"/>
        <v>3.4927777777771229E-3</v>
      </c>
      <c r="F25" s="3">
        <v>216</v>
      </c>
      <c r="G25">
        <v>2130</v>
      </c>
      <c r="H25">
        <f t="shared" si="4"/>
        <v>0.75443999999985856</v>
      </c>
      <c r="I25">
        <f t="shared" ref="I25:I38" si="10">H25</f>
        <v>0.75443999999985856</v>
      </c>
      <c r="J25">
        <f t="shared" ref="J25:J38" si="11">(I25/G25)*1000</f>
        <v>0.35419718309852516</v>
      </c>
      <c r="K25">
        <f t="shared" si="5"/>
        <v>-1.4638888888888425E-4</v>
      </c>
      <c r="L25">
        <f t="shared" si="6"/>
        <v>-1.4079999999999426E-4</v>
      </c>
      <c r="M25">
        <f t="shared" si="7"/>
        <v>-1.4359444444443924E-4</v>
      </c>
      <c r="N25">
        <f t="shared" si="8"/>
        <v>3.5940177268300284E-4</v>
      </c>
      <c r="O25" s="3">
        <f t="shared" si="9"/>
        <v>3.5940177268300282</v>
      </c>
    </row>
    <row r="26" spans="1:15" x14ac:dyDescent="0.25">
      <c r="A26">
        <v>750</v>
      </c>
      <c r="B26" s="3">
        <v>3.3918722222222231</v>
      </c>
      <c r="C26" s="3">
        <v>3.3959866666666669</v>
      </c>
      <c r="D26">
        <f t="shared" si="2"/>
        <v>4.1144444444438655E-3</v>
      </c>
      <c r="E26">
        <f t="shared" si="3"/>
        <v>4.2838888888887539E-3</v>
      </c>
      <c r="F26" s="3">
        <v>205</v>
      </c>
      <c r="G26">
        <v>2131</v>
      </c>
      <c r="H26">
        <f t="shared" si="4"/>
        <v>0.87819722222219454</v>
      </c>
      <c r="I26">
        <f t="shared" si="10"/>
        <v>0.87819722222219454</v>
      </c>
      <c r="J26">
        <f t="shared" si="11"/>
        <v>0.4121056885134653</v>
      </c>
      <c r="K26">
        <f t="shared" si="5"/>
        <v>-1.1788888888889293E-4</v>
      </c>
      <c r="L26">
        <f t="shared" si="6"/>
        <v>-1.0206666666666031E-4</v>
      </c>
      <c r="M26">
        <f t="shared" si="7"/>
        <v>-1.0997777777777663E-4</v>
      </c>
      <c r="N26">
        <f t="shared" si="8"/>
        <v>5.4597960368442584E-4</v>
      </c>
      <c r="O26" s="3">
        <f t="shared" si="9"/>
        <v>5.4597960368442582</v>
      </c>
    </row>
    <row r="27" spans="1:15" x14ac:dyDescent="0.25">
      <c r="A27">
        <v>800</v>
      </c>
      <c r="B27" s="3">
        <v>3.3865666666666665</v>
      </c>
      <c r="C27" s="3">
        <v>3.3910200000000001</v>
      </c>
      <c r="D27">
        <f t="shared" si="2"/>
        <v>4.4533333333336422E-3</v>
      </c>
      <c r="E27">
        <f t="shared" si="3"/>
        <v>4.0391101055810008E-3</v>
      </c>
      <c r="F27" s="3">
        <v>192</v>
      </c>
      <c r="G27">
        <v>2132</v>
      </c>
      <c r="H27">
        <f t="shared" si="4"/>
        <v>0.77550914027155216</v>
      </c>
      <c r="I27">
        <f t="shared" si="10"/>
        <v>0.77550914027155216</v>
      </c>
      <c r="J27">
        <f t="shared" si="11"/>
        <v>0.36374725153449916</v>
      </c>
      <c r="K27">
        <f t="shared" si="5"/>
        <v>-8.8663398692818697E-5</v>
      </c>
      <c r="L27">
        <f t="shared" si="6"/>
        <v>-9.3558974358973754E-5</v>
      </c>
      <c r="M27">
        <f t="shared" si="7"/>
        <v>-9.1111186525896226E-5</v>
      </c>
      <c r="N27">
        <f t="shared" si="8"/>
        <v>5.8170228221445582E-4</v>
      </c>
      <c r="O27" s="3">
        <f t="shared" si="9"/>
        <v>5.8170228221445583</v>
      </c>
    </row>
    <row r="28" spans="1:15" x14ac:dyDescent="0.25">
      <c r="A28">
        <v>850</v>
      </c>
      <c r="B28" s="3">
        <v>3.3830058823529412</v>
      </c>
      <c r="C28" s="3">
        <v>3.3866307692307696</v>
      </c>
      <c r="D28">
        <f t="shared" si="2"/>
        <v>3.6248868778283594E-3</v>
      </c>
      <c r="E28">
        <f t="shared" si="3"/>
        <v>3.3992222850680598E-3</v>
      </c>
      <c r="F28" s="3">
        <v>181</v>
      </c>
      <c r="G28">
        <v>2133</v>
      </c>
      <c r="H28">
        <f t="shared" si="4"/>
        <v>0.61525923359731882</v>
      </c>
      <c r="I28">
        <f t="shared" si="10"/>
        <v>0.61525923359731882</v>
      </c>
      <c r="J28">
        <f t="shared" si="11"/>
        <v>0.28844783572307492</v>
      </c>
      <c r="K28">
        <f t="shared" si="5"/>
        <v>-8.3479166666662328E-5</v>
      </c>
      <c r="L28">
        <f t="shared" si="6"/>
        <v>-9.6276923076921145E-5</v>
      </c>
      <c r="M28">
        <f t="shared" si="7"/>
        <v>-8.9878044871791743E-5</v>
      </c>
      <c r="N28">
        <f t="shared" si="8"/>
        <v>4.6761282919748705E-4</v>
      </c>
      <c r="O28" s="3">
        <f t="shared" si="9"/>
        <v>4.6761282919748703</v>
      </c>
    </row>
    <row r="29" spans="1:15" x14ac:dyDescent="0.25">
      <c r="A29">
        <v>900</v>
      </c>
      <c r="B29" s="3">
        <v>3.3782187500000003</v>
      </c>
      <c r="C29" s="3">
        <v>3.381392307692308</v>
      </c>
      <c r="D29">
        <f t="shared" si="2"/>
        <v>3.1735576923077602E-3</v>
      </c>
      <c r="E29">
        <f t="shared" si="3"/>
        <v>3.382692307692281E-3</v>
      </c>
      <c r="F29" s="3">
        <v>177</v>
      </c>
      <c r="G29">
        <v>2134</v>
      </c>
      <c r="H29">
        <f t="shared" si="4"/>
        <v>0.59873653846153374</v>
      </c>
      <c r="I29">
        <f t="shared" si="10"/>
        <v>0.59873653846153374</v>
      </c>
      <c r="J29">
        <f t="shared" si="11"/>
        <v>0.28057007425563907</v>
      </c>
      <c r="K29">
        <f t="shared" si="5"/>
        <v>-9.8746323529410598E-5</v>
      </c>
      <c r="L29">
        <f t="shared" si="6"/>
        <v>-9.9076923076926173E-5</v>
      </c>
      <c r="M29">
        <f t="shared" si="7"/>
        <v>-9.8911623303168386E-5</v>
      </c>
      <c r="N29">
        <f t="shared" si="8"/>
        <v>4.1330129618057039E-4</v>
      </c>
      <c r="O29" s="3">
        <f t="shared" si="9"/>
        <v>4.1330129618057043</v>
      </c>
    </row>
    <row r="30" spans="1:15" x14ac:dyDescent="0.25">
      <c r="A30">
        <v>950</v>
      </c>
      <c r="B30" s="3">
        <v>3.3731312500000001</v>
      </c>
      <c r="C30" s="3">
        <v>3.3767230769230769</v>
      </c>
      <c r="D30">
        <f t="shared" si="2"/>
        <v>3.5918269230768018E-3</v>
      </c>
      <c r="E30">
        <f t="shared" si="3"/>
        <v>3.2661515567762311E-3</v>
      </c>
      <c r="F30" s="3">
        <v>172</v>
      </c>
      <c r="G30">
        <v>2135</v>
      </c>
      <c r="H30">
        <f t="shared" si="4"/>
        <v>0.56177806776551176</v>
      </c>
      <c r="I30">
        <f t="shared" si="10"/>
        <v>0.56177806776551176</v>
      </c>
      <c r="J30">
        <f t="shared" si="11"/>
        <v>0.26312790059274554</v>
      </c>
      <c r="K30">
        <f t="shared" si="5"/>
        <v>-8.3758928571429079E-5</v>
      </c>
      <c r="L30">
        <f t="shared" si="6"/>
        <v>-8.6089743589750072E-5</v>
      </c>
      <c r="M30">
        <f t="shared" si="7"/>
        <v>-8.4924336080589575E-5</v>
      </c>
      <c r="N30">
        <f t="shared" si="8"/>
        <v>4.5144774696316022E-4</v>
      </c>
      <c r="O30" s="3">
        <f t="shared" si="9"/>
        <v>4.5144774696316023</v>
      </c>
    </row>
    <row r="31" spans="1:15" x14ac:dyDescent="0.25">
      <c r="A31">
        <v>1000</v>
      </c>
      <c r="B31" s="3">
        <v>3.3698428571428574</v>
      </c>
      <c r="C31" s="3">
        <v>3.372783333333333</v>
      </c>
      <c r="D31">
        <f t="shared" si="2"/>
        <v>2.9404761904756604E-3</v>
      </c>
      <c r="E31">
        <f t="shared" si="3"/>
        <v>2.7618464868461867E-3</v>
      </c>
      <c r="F31" s="3">
        <v>167</v>
      </c>
      <c r="G31">
        <v>2136</v>
      </c>
      <c r="H31">
        <f t="shared" si="4"/>
        <v>0.46122836330331318</v>
      </c>
      <c r="I31">
        <f t="shared" si="10"/>
        <v>0.46122836330331318</v>
      </c>
      <c r="J31">
        <f t="shared" si="11"/>
        <v>0.21593088169630767</v>
      </c>
      <c r="K31">
        <f t="shared" si="5"/>
        <v>-6.8235576923076911E-5</v>
      </c>
      <c r="L31">
        <f t="shared" si="6"/>
        <v>-7.8321678321677796E-5</v>
      </c>
      <c r="M31">
        <f t="shared" si="7"/>
        <v>-7.3278627622377354E-5</v>
      </c>
      <c r="N31">
        <f t="shared" si="8"/>
        <v>4.2934872794490647E-4</v>
      </c>
      <c r="O31" s="3">
        <f t="shared" si="9"/>
        <v>4.2934872794490646</v>
      </c>
    </row>
    <row r="32" spans="1:15" x14ac:dyDescent="0.25">
      <c r="A32">
        <v>1050</v>
      </c>
      <c r="B32" s="3">
        <v>3.3663076923076924</v>
      </c>
      <c r="C32" s="3">
        <v>3.3688909090909092</v>
      </c>
      <c r="D32">
        <f t="shared" si="2"/>
        <v>2.583216783216713E-3</v>
      </c>
      <c r="E32">
        <f t="shared" si="3"/>
        <v>2.8535742035740164E-3</v>
      </c>
      <c r="F32" s="3">
        <v>160</v>
      </c>
      <c r="G32">
        <v>2137</v>
      </c>
      <c r="H32">
        <f t="shared" si="4"/>
        <v>0.45657187257184262</v>
      </c>
      <c r="I32">
        <f t="shared" si="10"/>
        <v>0.45657187257184262</v>
      </c>
      <c r="J32">
        <f t="shared" si="11"/>
        <v>0.21365085286469004</v>
      </c>
      <c r="K32">
        <f t="shared" si="5"/>
        <v>-6.989010989010946E-5</v>
      </c>
      <c r="L32">
        <f t="shared" si="6"/>
        <v>-6.8055555555552867E-5</v>
      </c>
      <c r="M32">
        <f t="shared" si="7"/>
        <v>-6.8972832722831163E-5</v>
      </c>
      <c r="N32">
        <f t="shared" si="8"/>
        <v>4.5133531609618853E-4</v>
      </c>
      <c r="O32" s="3">
        <f t="shared" si="9"/>
        <v>4.5133531609618851</v>
      </c>
    </row>
    <row r="33" spans="1:15" x14ac:dyDescent="0.25">
      <c r="A33">
        <v>1100</v>
      </c>
      <c r="B33" s="3">
        <v>3.3628538461538464</v>
      </c>
      <c r="C33" s="3">
        <v>3.3659777777777777</v>
      </c>
      <c r="D33">
        <f t="shared" si="2"/>
        <v>3.1239316239313197E-3</v>
      </c>
      <c r="E33">
        <f t="shared" si="3"/>
        <v>2.9605769230764967E-3</v>
      </c>
      <c r="F33" s="3">
        <v>151</v>
      </c>
      <c r="G33">
        <v>2138</v>
      </c>
      <c r="H33">
        <f t="shared" si="4"/>
        <v>0.447047115384551</v>
      </c>
      <c r="I33">
        <f t="shared" si="10"/>
        <v>0.447047115384551</v>
      </c>
      <c r="J33">
        <f t="shared" si="11"/>
        <v>0.20909593797219411</v>
      </c>
      <c r="K33">
        <f t="shared" si="5"/>
        <v>-5.9826923076924386E-5</v>
      </c>
      <c r="L33">
        <f t="shared" si="6"/>
        <v>-5.7686868686874783E-5</v>
      </c>
      <c r="M33">
        <f t="shared" si="7"/>
        <v>-5.8756895881899581E-5</v>
      </c>
      <c r="N33">
        <f t="shared" si="8"/>
        <v>5.1851282362324756E-4</v>
      </c>
      <c r="O33" s="3">
        <f t="shared" si="9"/>
        <v>5.185128236232476</v>
      </c>
    </row>
    <row r="34" spans="1:15" x14ac:dyDescent="0.25">
      <c r="A34">
        <v>1150</v>
      </c>
      <c r="B34" s="3">
        <v>3.360325</v>
      </c>
      <c r="C34" s="3">
        <v>3.3631222222222217</v>
      </c>
      <c r="D34">
        <f t="shared" si="2"/>
        <v>2.7972222222216736E-3</v>
      </c>
      <c r="E34">
        <f t="shared" si="3"/>
        <v>1.856388888888727E-3</v>
      </c>
      <c r="F34" s="3">
        <v>145</v>
      </c>
      <c r="G34">
        <v>2139</v>
      </c>
      <c r="H34">
        <f t="shared" si="4"/>
        <v>0.26917638888886541</v>
      </c>
      <c r="I34">
        <f t="shared" si="10"/>
        <v>0.26917638888886541</v>
      </c>
      <c r="J34">
        <f t="shared" si="11"/>
        <v>0.12584216404341533</v>
      </c>
      <c r="K34">
        <f t="shared" si="5"/>
        <v>-3.0138461538466999E-5</v>
      </c>
      <c r="L34">
        <f t="shared" si="6"/>
        <v>-5.222222222222239E-5</v>
      </c>
      <c r="M34">
        <f t="shared" si="7"/>
        <v>-4.1180341880344695E-5</v>
      </c>
      <c r="N34">
        <f t="shared" si="8"/>
        <v>4.4525517914435086E-4</v>
      </c>
      <c r="O34" s="3">
        <f t="shared" si="9"/>
        <v>4.4525517914435087</v>
      </c>
    </row>
    <row r="35" spans="1:15" x14ac:dyDescent="0.25">
      <c r="A35">
        <v>1200</v>
      </c>
      <c r="B35" s="3">
        <v>3.3598399999999997</v>
      </c>
      <c r="C35" s="3">
        <v>3.3607555555555555</v>
      </c>
      <c r="D35">
        <f t="shared" si="2"/>
        <v>9.1555555555578039E-4</v>
      </c>
      <c r="E35">
        <f t="shared" si="3"/>
        <v>7.015277777777662E-4</v>
      </c>
      <c r="F35" s="3">
        <v>137</v>
      </c>
      <c r="G35">
        <v>2140</v>
      </c>
      <c r="H35">
        <f t="shared" si="4"/>
        <v>9.610930555555397E-2</v>
      </c>
      <c r="I35">
        <f t="shared" si="10"/>
        <v>9.610930555555397E-2</v>
      </c>
      <c r="J35">
        <f t="shared" si="11"/>
        <v>4.4910890446520552E-2</v>
      </c>
      <c r="K35">
        <f t="shared" si="5"/>
        <v>-2.174999999999816E-5</v>
      </c>
      <c r="L35">
        <f t="shared" si="6"/>
        <v>-4.4847222222217373E-5</v>
      </c>
      <c r="M35">
        <f t="shared" si="7"/>
        <v>-3.3298611111107768E-5</v>
      </c>
      <c r="N35">
        <f t="shared" si="8"/>
        <v>1.9651617213919419E-4</v>
      </c>
      <c r="O35" s="3">
        <f t="shared" si="9"/>
        <v>1.9651617213919419</v>
      </c>
    </row>
    <row r="36" spans="1:15" x14ac:dyDescent="0.25">
      <c r="A36">
        <v>1250</v>
      </c>
      <c r="B36" s="3">
        <v>3.3581500000000002</v>
      </c>
      <c r="C36" s="3">
        <v>3.3586374999999999</v>
      </c>
      <c r="D36">
        <f t="shared" si="2"/>
        <v>4.8749999999975202E-4</v>
      </c>
      <c r="E36">
        <f t="shared" si="3"/>
        <v>1.0312499999993729E-3</v>
      </c>
      <c r="F36" s="3">
        <v>124</v>
      </c>
      <c r="G36">
        <v>2141</v>
      </c>
      <c r="H36">
        <f t="shared" si="4"/>
        <v>0.12787499999992225</v>
      </c>
      <c r="I36">
        <f t="shared" si="10"/>
        <v>0.12787499999992225</v>
      </c>
      <c r="J36">
        <f t="shared" si="11"/>
        <v>5.9726763194732489E-2</v>
      </c>
      <c r="K36">
        <f t="shared" si="5"/>
        <v>-3.0649999999994294E-5</v>
      </c>
      <c r="L36">
        <f t="shared" si="6"/>
        <v>-2.4055555555562158E-5</v>
      </c>
      <c r="M36">
        <f t="shared" si="7"/>
        <v>-2.7352777777778226E-5</v>
      </c>
      <c r="N36">
        <f t="shared" si="8"/>
        <v>3.1815612748673292E-4</v>
      </c>
      <c r="O36" s="3">
        <f t="shared" si="9"/>
        <v>3.1815612748673292</v>
      </c>
    </row>
    <row r="37" spans="1:15" x14ac:dyDescent="0.25">
      <c r="A37">
        <v>1300</v>
      </c>
      <c r="B37" s="3">
        <v>3.3567750000000003</v>
      </c>
      <c r="C37" s="3">
        <v>3.3583499999999993</v>
      </c>
      <c r="D37">
        <f t="shared" si="2"/>
        <v>1.5749999999989939E-3</v>
      </c>
      <c r="E37">
        <f t="shared" si="3"/>
        <v>2.2410714285709954E-3</v>
      </c>
      <c r="F37" s="3">
        <v>101</v>
      </c>
      <c r="G37">
        <v>2142</v>
      </c>
      <c r="H37">
        <f t="shared" si="4"/>
        <v>0.22634821428567053</v>
      </c>
      <c r="I37">
        <f t="shared" si="10"/>
        <v>0.22634821428567053</v>
      </c>
      <c r="J37">
        <f t="shared" si="11"/>
        <v>0.10567143524074255</v>
      </c>
      <c r="K37">
        <f t="shared" si="5"/>
        <v>-2.9000000000003466E-5</v>
      </c>
      <c r="L37">
        <f t="shared" si="6"/>
        <v>-4.8035714285710181E-6</v>
      </c>
      <c r="M37">
        <f t="shared" si="7"/>
        <v>-1.6901785714287242E-5</v>
      </c>
      <c r="N37">
        <f t="shared" si="8"/>
        <v>9.1095676300441463E-4</v>
      </c>
      <c r="O37" s="3">
        <f t="shared" si="9"/>
        <v>9.1095676300441468</v>
      </c>
    </row>
    <row r="38" spans="1:15" x14ac:dyDescent="0.25">
      <c r="A38">
        <v>1350</v>
      </c>
      <c r="B38" s="3">
        <v>3.3552499999999998</v>
      </c>
      <c r="C38" s="3">
        <v>3.3581571428571428</v>
      </c>
      <c r="D38">
        <f t="shared" si="2"/>
        <v>2.9071428571429969E-3</v>
      </c>
      <c r="E38">
        <f t="shared" si="3"/>
        <v>1.4535714285714985E-3</v>
      </c>
      <c r="F38" s="3">
        <v>67</v>
      </c>
      <c r="G38">
        <v>2143</v>
      </c>
      <c r="H38">
        <f t="shared" si="4"/>
        <v>9.7389285714290397E-2</v>
      </c>
      <c r="I38">
        <f t="shared" si="10"/>
        <v>9.7389285714290397E-2</v>
      </c>
      <c r="J38">
        <f t="shared" si="11"/>
        <v>4.5445303646425753E-2</v>
      </c>
      <c r="K38">
        <f t="shared" si="5"/>
        <v>-1.775000000000304E-5</v>
      </c>
      <c r="L38">
        <f t="shared" si="6"/>
        <v>-4.4999999999939531E-6</v>
      </c>
      <c r="M38">
        <f t="shared" si="7"/>
        <v>-1.1124999999998497E-5</v>
      </c>
      <c r="N38">
        <f t="shared" si="8"/>
        <v>5.9519837865993903E-4</v>
      </c>
      <c r="O38" s="3">
        <f t="shared" si="9"/>
        <v>5.9519837865993903</v>
      </c>
    </row>
    <row r="39" spans="1:15" x14ac:dyDescent="0.25">
      <c r="A39">
        <v>1400</v>
      </c>
      <c r="B39" s="3">
        <v>3.355</v>
      </c>
      <c r="C39" s="3">
        <v>3.3578999999999999</v>
      </c>
      <c r="F39" s="3">
        <v>25.9</v>
      </c>
      <c r="O39" s="3"/>
    </row>
    <row r="40" spans="1:15" x14ac:dyDescent="0.25">
      <c r="B40" s="3"/>
      <c r="C40" s="3"/>
      <c r="D40" s="8"/>
      <c r="E40" s="8"/>
      <c r="F40" s="3"/>
      <c r="G40" s="9"/>
      <c r="O40" s="3"/>
    </row>
    <row r="41" spans="1:15" x14ac:dyDescent="0.25">
      <c r="B41" s="3"/>
      <c r="C41" s="3"/>
      <c r="D41" s="8"/>
      <c r="E41" s="8"/>
      <c r="F41" s="3"/>
      <c r="G41" s="9"/>
      <c r="O41" s="3"/>
    </row>
    <row r="42" spans="1:15" x14ac:dyDescent="0.25">
      <c r="B42" s="3"/>
      <c r="C42" s="3"/>
      <c r="D42" s="8"/>
      <c r="E42" s="8"/>
      <c r="F42" s="3"/>
      <c r="G42" s="9"/>
      <c r="O42" s="3"/>
    </row>
    <row r="43" spans="1:15" x14ac:dyDescent="0.25">
      <c r="B43" s="3"/>
      <c r="C43" s="3"/>
      <c r="D43" s="8"/>
      <c r="E43" s="8"/>
      <c r="F43" s="3"/>
      <c r="G43" s="9"/>
      <c r="O43" s="3"/>
    </row>
    <row r="44" spans="1:15" x14ac:dyDescent="0.25">
      <c r="B44" s="3"/>
      <c r="C44" s="3"/>
      <c r="D44" s="8"/>
      <c r="E44" s="8"/>
      <c r="F44" s="3"/>
      <c r="G44" s="9"/>
      <c r="O44" s="3"/>
    </row>
    <row r="45" spans="1:15" x14ac:dyDescent="0.25">
      <c r="B45" s="3"/>
      <c r="C45" s="3"/>
      <c r="D45" s="8"/>
      <c r="E45" s="8"/>
      <c r="F45" s="3"/>
      <c r="G45" s="9"/>
      <c r="O45" s="3"/>
    </row>
    <row r="46" spans="1:15" x14ac:dyDescent="0.25">
      <c r="B46" s="3"/>
      <c r="C46" s="3"/>
      <c r="D46" s="8"/>
      <c r="E46" s="8"/>
      <c r="F46" s="3"/>
      <c r="G46" s="9"/>
      <c r="O46" s="3"/>
    </row>
    <row r="47" spans="1:15" x14ac:dyDescent="0.25">
      <c r="B47" s="3"/>
      <c r="C47" s="3"/>
      <c r="D47" s="8"/>
      <c r="E47" s="8"/>
      <c r="F47" s="3"/>
      <c r="G47" s="9"/>
      <c r="O47" s="3"/>
    </row>
    <row r="48" spans="1:15" x14ac:dyDescent="0.25">
      <c r="B48" s="3"/>
      <c r="C48" s="3"/>
      <c r="D48" s="8"/>
      <c r="E48" s="8"/>
      <c r="F48" s="3"/>
      <c r="G48" s="9"/>
      <c r="O48" s="3"/>
    </row>
    <row r="49" spans="2:15" x14ac:dyDescent="0.25">
      <c r="B49" s="3"/>
      <c r="C49" s="3"/>
      <c r="D49" s="8"/>
      <c r="E49" s="8"/>
      <c r="F49" s="3"/>
      <c r="G49" s="9"/>
      <c r="O49" s="3"/>
    </row>
    <row r="50" spans="2:15" x14ac:dyDescent="0.25">
      <c r="B50" s="3"/>
      <c r="C50" s="3"/>
      <c r="D50" s="8"/>
      <c r="E50" s="8"/>
      <c r="F50" s="3"/>
      <c r="G50" s="9"/>
      <c r="O50" s="3"/>
    </row>
    <row r="51" spans="2:15" x14ac:dyDescent="0.25">
      <c r="B51" s="3"/>
      <c r="C51" s="3"/>
      <c r="D51" s="8"/>
      <c r="E51" s="8"/>
      <c r="F51" s="3"/>
      <c r="G51" s="9"/>
      <c r="O51" s="3"/>
    </row>
    <row r="52" spans="2:15" x14ac:dyDescent="0.25">
      <c r="B52" s="3"/>
      <c r="C52" s="3"/>
      <c r="D52" s="8"/>
      <c r="E52" s="8"/>
      <c r="F52" s="3"/>
      <c r="O52" s="3"/>
    </row>
    <row r="53" spans="2:15" x14ac:dyDescent="0.25">
      <c r="B53" s="3"/>
      <c r="C53" s="3"/>
      <c r="D53" s="8"/>
      <c r="E53" s="8"/>
      <c r="F53" s="3"/>
      <c r="G53" s="9"/>
      <c r="O53" s="3"/>
    </row>
    <row r="54" spans="2:15" x14ac:dyDescent="0.25">
      <c r="B54" s="3"/>
      <c r="C54" s="3"/>
      <c r="D54" s="8"/>
      <c r="E54" s="8"/>
      <c r="F54" s="3"/>
      <c r="G54" s="9"/>
      <c r="O54" s="3"/>
    </row>
    <row r="55" spans="2:15" x14ac:dyDescent="0.25">
      <c r="B55" s="3"/>
      <c r="C55" s="3"/>
      <c r="D55" s="8"/>
      <c r="E55" s="8"/>
      <c r="F55" s="3"/>
      <c r="G55" s="9"/>
      <c r="O55" s="3"/>
    </row>
    <row r="56" spans="2:15" x14ac:dyDescent="0.25">
      <c r="B56" s="3"/>
      <c r="C56" s="3"/>
      <c r="D56" s="8"/>
      <c r="E56" s="8"/>
      <c r="F56" s="3"/>
      <c r="G56" s="9"/>
      <c r="O56" s="3"/>
    </row>
    <row r="57" spans="2:15" x14ac:dyDescent="0.25">
      <c r="B57" s="3"/>
      <c r="C57" s="3"/>
      <c r="D57" s="8"/>
      <c r="E57" s="8"/>
      <c r="F57" s="3"/>
      <c r="G57" s="9"/>
      <c r="O57" s="3"/>
    </row>
    <row r="58" spans="2:15" x14ac:dyDescent="0.25">
      <c r="B58" s="3"/>
      <c r="D58" s="8"/>
      <c r="E58" s="8"/>
      <c r="F58" s="3"/>
      <c r="G58" s="9"/>
      <c r="O58" s="3"/>
    </row>
    <row r="59" spans="2:15" x14ac:dyDescent="0.25">
      <c r="B59" s="3"/>
      <c r="D59" s="8"/>
      <c r="E59" s="8"/>
      <c r="F59" s="3"/>
      <c r="G59" s="9"/>
      <c r="O59" s="3"/>
    </row>
    <row r="60" spans="2:15" x14ac:dyDescent="0.25">
      <c r="B60" s="3"/>
      <c r="D60" s="8"/>
      <c r="E60" s="8"/>
      <c r="F60" s="3"/>
      <c r="G60" s="9"/>
      <c r="O60" s="3"/>
    </row>
    <row r="61" spans="2:15" x14ac:dyDescent="0.25">
      <c r="B61" s="3"/>
      <c r="D61" s="8"/>
      <c r="E61" s="8"/>
      <c r="F61" s="3"/>
      <c r="G61" s="9"/>
      <c r="O61" s="3"/>
    </row>
    <row r="62" spans="2:15" x14ac:dyDescent="0.25">
      <c r="B62" s="3"/>
      <c r="D62" s="8"/>
      <c r="E62" s="8"/>
      <c r="F62" s="3"/>
      <c r="G62" s="9"/>
      <c r="O62" s="3"/>
    </row>
    <row r="63" spans="2:15" x14ac:dyDescent="0.25">
      <c r="B63" s="3"/>
      <c r="D63" s="8"/>
      <c r="E63" s="8"/>
      <c r="F63" s="3"/>
      <c r="G63" s="9"/>
      <c r="O63" s="3"/>
    </row>
    <row r="64" spans="2:15" x14ac:dyDescent="0.25">
      <c r="B64" s="3"/>
      <c r="D64" s="8"/>
      <c r="E64" s="8"/>
      <c r="F64" s="3"/>
      <c r="G64" s="9"/>
      <c r="O64" s="3"/>
    </row>
    <row r="65" spans="2:15" x14ac:dyDescent="0.25">
      <c r="B65" s="3"/>
      <c r="D65" s="8"/>
      <c r="E65" s="8"/>
      <c r="F65" s="3"/>
      <c r="G65" s="9"/>
      <c r="O65" s="3"/>
    </row>
    <row r="66" spans="2:15" x14ac:dyDescent="0.25">
      <c r="B66" s="3"/>
      <c r="D66" s="8"/>
      <c r="E66" s="8"/>
      <c r="F66" s="3"/>
      <c r="G66" s="9"/>
      <c r="O66" s="3"/>
    </row>
    <row r="67" spans="2:15" x14ac:dyDescent="0.25">
      <c r="B67" s="3"/>
      <c r="D67" s="8"/>
      <c r="E67" s="8"/>
      <c r="F67" s="3"/>
      <c r="G67" s="9"/>
      <c r="O67" s="3"/>
    </row>
    <row r="68" spans="2:15" x14ac:dyDescent="0.25">
      <c r="B68" s="3"/>
      <c r="D68" s="8"/>
      <c r="E68" s="8"/>
      <c r="F68" s="3"/>
      <c r="G68" s="9"/>
      <c r="O68" s="3"/>
    </row>
    <row r="69" spans="2:15" x14ac:dyDescent="0.25">
      <c r="B69" s="3"/>
      <c r="D69" s="8"/>
      <c r="E69" s="8"/>
      <c r="F69" s="3"/>
      <c r="G69" s="9"/>
      <c r="O69" s="3"/>
    </row>
    <row r="70" spans="2:15" x14ac:dyDescent="0.25">
      <c r="B70" s="3"/>
      <c r="D70" s="8"/>
      <c r="E70" s="8"/>
      <c r="F70" s="3"/>
      <c r="G70" s="9"/>
      <c r="O70" s="3"/>
    </row>
    <row r="71" spans="2:15" x14ac:dyDescent="0.25">
      <c r="B71" s="3"/>
      <c r="D71" s="8"/>
      <c r="E71" s="8"/>
      <c r="F71" s="3"/>
      <c r="G71" s="9"/>
      <c r="O71" s="3"/>
    </row>
    <row r="72" spans="2:15" x14ac:dyDescent="0.25">
      <c r="B72" s="3"/>
      <c r="D72" s="8"/>
      <c r="E72" s="8"/>
      <c r="F72" s="3"/>
      <c r="G72" s="9"/>
      <c r="O72" s="3"/>
    </row>
    <row r="73" spans="2:15" x14ac:dyDescent="0.25">
      <c r="B73" s="3"/>
      <c r="D73" s="8"/>
      <c r="E73" s="8"/>
      <c r="F73" s="3"/>
      <c r="G73" s="9"/>
      <c r="O73" s="3"/>
    </row>
    <row r="74" spans="2:15" x14ac:dyDescent="0.25">
      <c r="B74" s="3"/>
      <c r="D74" s="8"/>
      <c r="E74" s="8"/>
      <c r="F74" s="3"/>
      <c r="G74" s="9"/>
      <c r="O74" s="3"/>
    </row>
    <row r="75" spans="2:15" x14ac:dyDescent="0.25">
      <c r="B75" s="3"/>
      <c r="D75" s="8"/>
      <c r="E75" s="8"/>
      <c r="F75" s="3"/>
      <c r="G75" s="9"/>
      <c r="O75" s="3"/>
    </row>
    <row r="76" spans="2:15" x14ac:dyDescent="0.25">
      <c r="B76" s="3"/>
      <c r="D76" s="8"/>
      <c r="E76" s="8"/>
      <c r="F76" s="3"/>
      <c r="G76" s="9"/>
      <c r="O76" s="3"/>
    </row>
    <row r="77" spans="2:15" x14ac:dyDescent="0.25">
      <c r="B77" s="3"/>
      <c r="D77" s="8"/>
      <c r="E77" s="8"/>
      <c r="F77" s="3"/>
      <c r="O77" s="3"/>
    </row>
    <row r="78" spans="2:15" x14ac:dyDescent="0.25">
      <c r="B78" s="3"/>
      <c r="D78" s="8"/>
      <c r="E78" s="8"/>
      <c r="F78" s="3"/>
      <c r="G78" s="9"/>
      <c r="O78" s="3"/>
    </row>
    <row r="79" spans="2:15" x14ac:dyDescent="0.25">
      <c r="B79" s="3"/>
      <c r="D79" s="8"/>
      <c r="E79" s="8"/>
      <c r="F79" s="3"/>
      <c r="G79" s="9"/>
      <c r="O79" s="3"/>
    </row>
    <row r="80" spans="2:15" x14ac:dyDescent="0.25">
      <c r="B80" s="3"/>
      <c r="D80" s="8"/>
      <c r="E80" s="8"/>
      <c r="F80" s="3"/>
      <c r="G80" s="9"/>
      <c r="O80" s="3"/>
    </row>
    <row r="81" spans="4:15" x14ac:dyDescent="0.25">
      <c r="D81" s="8"/>
      <c r="E81" s="8"/>
      <c r="F81" s="3"/>
      <c r="G81" s="9"/>
      <c r="O81" s="3"/>
    </row>
    <row r="82" spans="4:15" x14ac:dyDescent="0.25">
      <c r="D82" s="8"/>
      <c r="E82" s="8"/>
      <c r="F82" s="3"/>
      <c r="G82" s="9"/>
      <c r="O82" s="3"/>
    </row>
    <row r="83" spans="4:15" x14ac:dyDescent="0.25">
      <c r="D83" s="8"/>
      <c r="E83" s="8"/>
      <c r="F83" s="3"/>
      <c r="G83" s="9"/>
      <c r="O83" s="3"/>
    </row>
    <row r="84" spans="4:15" x14ac:dyDescent="0.25">
      <c r="D84" s="8"/>
      <c r="E84" s="8"/>
      <c r="F84" s="3"/>
      <c r="G84" s="9"/>
      <c r="O84" s="3"/>
    </row>
    <row r="85" spans="4:15" x14ac:dyDescent="0.25">
      <c r="D85" s="8"/>
      <c r="E85" s="8"/>
      <c r="F85" s="3"/>
      <c r="G85" s="9"/>
      <c r="O85" s="3"/>
    </row>
    <row r="86" spans="4:15" x14ac:dyDescent="0.25">
      <c r="D86" s="8"/>
      <c r="E86" s="8"/>
      <c r="F86" s="3"/>
      <c r="G86" s="9"/>
      <c r="O86" s="3"/>
    </row>
    <row r="87" spans="4:15" x14ac:dyDescent="0.25">
      <c r="D87" s="8"/>
      <c r="E87" s="8"/>
      <c r="F87" s="3"/>
      <c r="G87" s="9"/>
      <c r="O87" s="3"/>
    </row>
    <row r="88" spans="4:15" x14ac:dyDescent="0.25">
      <c r="D88" s="8"/>
      <c r="E88" s="8"/>
      <c r="F88" s="3"/>
      <c r="G88" s="9"/>
      <c r="O88" s="3"/>
    </row>
    <row r="89" spans="4:15" x14ac:dyDescent="0.25">
      <c r="D89" s="8"/>
      <c r="E89" s="8"/>
      <c r="F89" s="3"/>
      <c r="G89" s="9"/>
      <c r="O89" s="3"/>
    </row>
    <row r="90" spans="4:15" x14ac:dyDescent="0.25">
      <c r="D90" s="8"/>
      <c r="E90" s="8"/>
      <c r="F90" s="3"/>
      <c r="G90" s="9"/>
      <c r="O90" s="3"/>
    </row>
    <row r="91" spans="4:15" x14ac:dyDescent="0.25">
      <c r="D91" s="8"/>
      <c r="E91" s="8"/>
      <c r="F91" s="3"/>
      <c r="G91" s="9"/>
      <c r="O91" s="3"/>
    </row>
    <row r="92" spans="4:15" x14ac:dyDescent="0.25">
      <c r="D92" s="8"/>
      <c r="E92" s="8"/>
      <c r="F92" s="3"/>
      <c r="G92" s="9"/>
      <c r="O92" s="3"/>
    </row>
    <row r="93" spans="4:15" x14ac:dyDescent="0.25">
      <c r="D93" s="8"/>
      <c r="E93" s="8"/>
      <c r="F93" s="3"/>
      <c r="G93" s="9"/>
      <c r="O93" s="3"/>
    </row>
    <row r="94" spans="4:15" x14ac:dyDescent="0.25">
      <c r="D94" s="8"/>
      <c r="E94" s="8"/>
      <c r="F94" s="3"/>
      <c r="G94" s="9"/>
      <c r="O94" s="3"/>
    </row>
    <row r="95" spans="4:15" x14ac:dyDescent="0.25">
      <c r="D95" s="8"/>
      <c r="E95" s="8"/>
      <c r="F95" s="3"/>
      <c r="G95" s="9"/>
      <c r="O95" s="3"/>
    </row>
    <row r="96" spans="4:15" x14ac:dyDescent="0.25">
      <c r="D96" s="8"/>
      <c r="E96" s="8"/>
      <c r="F96" s="3"/>
      <c r="G96" s="9"/>
      <c r="O96" s="3"/>
    </row>
    <row r="97" spans="4:15" x14ac:dyDescent="0.25">
      <c r="D97" s="8"/>
      <c r="E97" s="8"/>
      <c r="F97" s="3"/>
      <c r="G97" s="9"/>
      <c r="O97" s="3"/>
    </row>
    <row r="98" spans="4:15" x14ac:dyDescent="0.25">
      <c r="D98" s="8"/>
      <c r="E98" s="8"/>
      <c r="F98" s="3"/>
      <c r="G98" s="9"/>
      <c r="O98" s="3"/>
    </row>
    <row r="99" spans="4:15" x14ac:dyDescent="0.25">
      <c r="D99" s="8"/>
      <c r="E99" s="8"/>
      <c r="F99" s="3"/>
      <c r="G99" s="9"/>
      <c r="O99" s="3"/>
    </row>
    <row r="100" spans="4:15" x14ac:dyDescent="0.25">
      <c r="D100" s="8"/>
      <c r="E100" s="8"/>
      <c r="F100" s="3"/>
      <c r="G100" s="9"/>
      <c r="O100" s="3"/>
    </row>
    <row r="101" spans="4:15" x14ac:dyDescent="0.25">
      <c r="D101" s="8"/>
      <c r="E101" s="8"/>
      <c r="F101" s="3"/>
      <c r="G101" s="9"/>
      <c r="O101" s="3"/>
    </row>
    <row r="102" spans="4:15" x14ac:dyDescent="0.25">
      <c r="D102" s="8"/>
      <c r="E102" s="8"/>
      <c r="F102" s="3"/>
      <c r="O102" s="3"/>
    </row>
    <row r="103" spans="4:15" x14ac:dyDescent="0.25">
      <c r="D103" s="8"/>
      <c r="E103" s="8"/>
      <c r="F103" s="3"/>
      <c r="G103" s="9"/>
      <c r="O103" s="3"/>
    </row>
    <row r="104" spans="4:15" x14ac:dyDescent="0.25">
      <c r="D104" s="8"/>
      <c r="E104" s="8"/>
      <c r="F104" s="3"/>
      <c r="G104" s="9"/>
      <c r="O104" s="3"/>
    </row>
    <row r="105" spans="4:15" x14ac:dyDescent="0.25">
      <c r="D105" s="8"/>
      <c r="E105" s="8"/>
      <c r="F105" s="3"/>
      <c r="G105" s="9"/>
      <c r="O105" s="3"/>
    </row>
    <row r="106" spans="4:15" x14ac:dyDescent="0.25">
      <c r="D106" s="8"/>
      <c r="E106" s="8"/>
      <c r="F106" s="3"/>
      <c r="G106" s="9"/>
      <c r="O106" s="3"/>
    </row>
    <row r="107" spans="4:15" x14ac:dyDescent="0.25">
      <c r="D107" s="8"/>
      <c r="E107" s="8"/>
      <c r="F107" s="3"/>
      <c r="G107" s="9"/>
      <c r="O107" s="3"/>
    </row>
    <row r="108" spans="4:15" x14ac:dyDescent="0.25">
      <c r="D108" s="8"/>
      <c r="E108" s="8"/>
      <c r="F108" s="3"/>
      <c r="G108" s="9"/>
      <c r="O108" s="3"/>
    </row>
    <row r="109" spans="4:15" x14ac:dyDescent="0.25">
      <c r="D109" s="8"/>
      <c r="E109" s="8"/>
      <c r="F109" s="3"/>
      <c r="G109" s="9"/>
      <c r="O109" s="3"/>
    </row>
    <row r="110" spans="4:15" x14ac:dyDescent="0.25">
      <c r="D110" s="8"/>
      <c r="E110" s="8"/>
      <c r="F110" s="3"/>
      <c r="G110" s="9"/>
      <c r="O110" s="3"/>
    </row>
    <row r="111" spans="4:15" x14ac:dyDescent="0.25">
      <c r="D111" s="8"/>
      <c r="E111" s="8"/>
      <c r="F111" s="3"/>
      <c r="G111" s="9"/>
      <c r="O111" s="3"/>
    </row>
    <row r="112" spans="4:15" x14ac:dyDescent="0.25">
      <c r="D112" s="8"/>
      <c r="E112" s="8"/>
      <c r="F112" s="3"/>
      <c r="G112" s="9"/>
      <c r="O112" s="3"/>
    </row>
    <row r="113" spans="4:15" x14ac:dyDescent="0.25">
      <c r="D113" s="8"/>
      <c r="E113" s="8"/>
      <c r="F113" s="3"/>
      <c r="G113" s="9"/>
      <c r="O113" s="3"/>
    </row>
    <row r="114" spans="4:15" x14ac:dyDescent="0.25">
      <c r="D114" s="8"/>
      <c r="E114" s="8"/>
      <c r="F114" s="3"/>
      <c r="G114" s="9"/>
      <c r="O114" s="3"/>
    </row>
    <row r="115" spans="4:15" x14ac:dyDescent="0.25">
      <c r="D115" s="8"/>
      <c r="E115" s="8"/>
      <c r="F115" s="3"/>
      <c r="G115" s="9"/>
      <c r="O115" s="3"/>
    </row>
    <row r="116" spans="4:15" x14ac:dyDescent="0.25">
      <c r="D116" s="8"/>
      <c r="E116" s="8"/>
      <c r="F116" s="3"/>
      <c r="G116" s="9"/>
      <c r="O116" s="3"/>
    </row>
    <row r="117" spans="4:15" x14ac:dyDescent="0.25">
      <c r="D117" s="8"/>
      <c r="E117" s="8"/>
      <c r="F117" s="3"/>
      <c r="G117" s="9"/>
      <c r="O117" s="3"/>
    </row>
    <row r="118" spans="4:15" x14ac:dyDescent="0.25">
      <c r="D118" s="8"/>
      <c r="E118" s="8"/>
      <c r="F118" s="3"/>
      <c r="G118" s="9"/>
      <c r="O118" s="3"/>
    </row>
    <row r="119" spans="4:15" x14ac:dyDescent="0.25">
      <c r="D119" s="8"/>
      <c r="E119" s="8"/>
      <c r="F119" s="3"/>
      <c r="G119" s="9"/>
      <c r="O119" s="3"/>
    </row>
    <row r="120" spans="4:15" x14ac:dyDescent="0.25">
      <c r="D120" s="8"/>
      <c r="E120" s="8"/>
      <c r="F120" s="3"/>
      <c r="G120" s="9"/>
      <c r="O120" s="3"/>
    </row>
    <row r="121" spans="4:15" x14ac:dyDescent="0.25">
      <c r="D121" s="8"/>
      <c r="E121" s="8"/>
      <c r="F121" s="3"/>
      <c r="G121" s="9"/>
      <c r="O121" s="3"/>
    </row>
    <row r="122" spans="4:15" x14ac:dyDescent="0.25">
      <c r="D122" s="8"/>
      <c r="E122" s="8"/>
      <c r="F122" s="3"/>
      <c r="G122" s="9"/>
      <c r="O122" s="3"/>
    </row>
    <row r="123" spans="4:15" x14ac:dyDescent="0.25">
      <c r="D123" s="8"/>
      <c r="E123" s="8"/>
      <c r="F123" s="3"/>
      <c r="G123" s="9"/>
      <c r="O123" s="3"/>
    </row>
    <row r="124" spans="4:15" x14ac:dyDescent="0.25">
      <c r="D124" s="8"/>
      <c r="E124" s="8"/>
      <c r="F124" s="3"/>
      <c r="G124" s="9"/>
      <c r="O124" s="3"/>
    </row>
    <row r="125" spans="4:15" x14ac:dyDescent="0.25">
      <c r="D125" s="8"/>
      <c r="E125" s="8"/>
      <c r="F125" s="3"/>
      <c r="G125" s="9"/>
      <c r="O125" s="3"/>
    </row>
    <row r="126" spans="4:15" x14ac:dyDescent="0.25">
      <c r="D126" s="8"/>
      <c r="E126" s="8"/>
      <c r="F126" s="3"/>
      <c r="G126" s="9"/>
      <c r="O126" s="3"/>
    </row>
    <row r="127" spans="4:15" x14ac:dyDescent="0.25">
      <c r="D127" s="8"/>
      <c r="E127" s="8"/>
      <c r="F127" s="3"/>
      <c r="O127" s="3"/>
    </row>
    <row r="128" spans="4:15" x14ac:dyDescent="0.25">
      <c r="D128" s="8"/>
      <c r="E128" s="8"/>
      <c r="F128" s="3"/>
      <c r="G128" s="9"/>
      <c r="O128" s="3"/>
    </row>
    <row r="129" spans="4:15" x14ac:dyDescent="0.25">
      <c r="D129" s="8"/>
      <c r="E129" s="8"/>
      <c r="F129" s="3"/>
      <c r="G129" s="9"/>
      <c r="O129" s="3"/>
    </row>
    <row r="130" spans="4:15" x14ac:dyDescent="0.25">
      <c r="D130" s="8"/>
      <c r="E130" s="8"/>
      <c r="F130" s="3"/>
      <c r="G130" s="9"/>
      <c r="O130" s="3"/>
    </row>
    <row r="131" spans="4:15" x14ac:dyDescent="0.25">
      <c r="D131" s="8"/>
      <c r="E131" s="8"/>
      <c r="F131" s="3"/>
      <c r="G131" s="9"/>
      <c r="O131" s="3"/>
    </row>
    <row r="132" spans="4:15" x14ac:dyDescent="0.25">
      <c r="D132" s="8"/>
      <c r="E132" s="8"/>
      <c r="F132" s="3"/>
      <c r="G132" s="9"/>
      <c r="O132" s="3"/>
    </row>
    <row r="133" spans="4:15" x14ac:dyDescent="0.25">
      <c r="D133" s="8"/>
      <c r="E133" s="8"/>
      <c r="F133" s="3"/>
      <c r="G133" s="9"/>
      <c r="O133" s="3"/>
    </row>
    <row r="134" spans="4:15" x14ac:dyDescent="0.25">
      <c r="D134" s="8"/>
      <c r="E134" s="8"/>
      <c r="F134" s="3"/>
      <c r="G134" s="9"/>
      <c r="O134" s="3"/>
    </row>
    <row r="135" spans="4:15" x14ac:dyDescent="0.25">
      <c r="D135" s="8"/>
      <c r="E135" s="8"/>
      <c r="F135" s="3"/>
      <c r="G135" s="9"/>
      <c r="O135" s="3"/>
    </row>
    <row r="136" spans="4:15" x14ac:dyDescent="0.25">
      <c r="D136" s="8"/>
      <c r="E136" s="8"/>
      <c r="F136" s="3"/>
      <c r="G136" s="9"/>
      <c r="O136" s="3"/>
    </row>
    <row r="137" spans="4:15" x14ac:dyDescent="0.25">
      <c r="D137" s="8"/>
      <c r="E137" s="8"/>
      <c r="F137" s="3"/>
      <c r="G137" s="9"/>
      <c r="O137" s="3"/>
    </row>
    <row r="138" spans="4:15" x14ac:dyDescent="0.25">
      <c r="D138" s="8"/>
      <c r="E138" s="8"/>
      <c r="F138" s="3"/>
      <c r="G138" s="9"/>
      <c r="O138" s="3"/>
    </row>
    <row r="139" spans="4:15" x14ac:dyDescent="0.25">
      <c r="D139" s="8"/>
      <c r="E139" s="8"/>
      <c r="F139" s="3"/>
      <c r="G139" s="9"/>
      <c r="O139" s="3"/>
    </row>
    <row r="140" spans="4:15" x14ac:dyDescent="0.25">
      <c r="D140" s="8"/>
      <c r="E140" s="8"/>
      <c r="F140" s="3"/>
      <c r="G140" s="9"/>
      <c r="O140" s="3"/>
    </row>
    <row r="141" spans="4:15" x14ac:dyDescent="0.25">
      <c r="D141" s="8"/>
      <c r="E141" s="8"/>
      <c r="F141" s="3"/>
      <c r="G141" s="9"/>
      <c r="O141" s="3"/>
    </row>
    <row r="142" spans="4:15" x14ac:dyDescent="0.25">
      <c r="D142" s="8"/>
      <c r="E142" s="8"/>
      <c r="F142" s="3"/>
      <c r="G142" s="9"/>
      <c r="O142" s="3"/>
    </row>
    <row r="143" spans="4:15" x14ac:dyDescent="0.25">
      <c r="D143" s="8"/>
      <c r="E143" s="8"/>
      <c r="F143" s="3"/>
      <c r="G143" s="9"/>
      <c r="O143" s="3"/>
    </row>
    <row r="144" spans="4:15" x14ac:dyDescent="0.25">
      <c r="D144" s="8"/>
      <c r="E144" s="8"/>
      <c r="F144" s="3"/>
      <c r="G144" s="9"/>
      <c r="O144" s="3"/>
    </row>
    <row r="145" spans="4:15" x14ac:dyDescent="0.25">
      <c r="D145" s="8"/>
      <c r="E145" s="8"/>
      <c r="F145" s="3"/>
      <c r="G145" s="9"/>
      <c r="O145" s="3"/>
    </row>
    <row r="146" spans="4:15" x14ac:dyDescent="0.25">
      <c r="D146" s="8"/>
      <c r="E146" s="8"/>
      <c r="F146" s="3"/>
      <c r="G146" s="9"/>
      <c r="O146" s="3"/>
    </row>
    <row r="147" spans="4:15" x14ac:dyDescent="0.25">
      <c r="D147" s="8"/>
      <c r="E147" s="8"/>
      <c r="F147" s="3"/>
      <c r="G147" s="9"/>
      <c r="O147" s="3"/>
    </row>
    <row r="148" spans="4:15" x14ac:dyDescent="0.25">
      <c r="D148" s="8"/>
      <c r="E148" s="8"/>
      <c r="F148" s="3"/>
      <c r="G148" s="9"/>
      <c r="O148" s="3"/>
    </row>
    <row r="149" spans="4:15" x14ac:dyDescent="0.25">
      <c r="D149" s="8"/>
      <c r="E149" s="8"/>
      <c r="F149" s="3"/>
      <c r="G149" s="9"/>
      <c r="O149" s="3"/>
    </row>
    <row r="150" spans="4:15" x14ac:dyDescent="0.25">
      <c r="D150" s="8"/>
      <c r="E150" s="8"/>
      <c r="F150" s="3"/>
      <c r="G150" s="9"/>
      <c r="O150" s="3"/>
    </row>
    <row r="151" spans="4:15" x14ac:dyDescent="0.25">
      <c r="D151" s="8"/>
      <c r="E151" s="8"/>
      <c r="F151" s="3"/>
      <c r="G151" s="9"/>
      <c r="O151" s="3"/>
    </row>
    <row r="152" spans="4:15" x14ac:dyDescent="0.25">
      <c r="D152" s="8"/>
      <c r="E152" s="8"/>
      <c r="F152" s="3"/>
      <c r="O152" s="3"/>
    </row>
    <row r="153" spans="4:15" x14ac:dyDescent="0.25">
      <c r="D153" s="8"/>
      <c r="E153" s="8"/>
      <c r="F153" s="3"/>
      <c r="G153" s="9"/>
      <c r="O153" s="3"/>
    </row>
    <row r="154" spans="4:15" x14ac:dyDescent="0.25">
      <c r="D154" s="8"/>
      <c r="E154" s="8"/>
      <c r="F154" s="3"/>
      <c r="G154" s="9"/>
      <c r="O154" s="3"/>
    </row>
    <row r="155" spans="4:15" x14ac:dyDescent="0.25">
      <c r="D155" s="8"/>
      <c r="E155" s="8"/>
      <c r="F155" s="3"/>
      <c r="G155" s="9"/>
      <c r="O155" s="3"/>
    </row>
    <row r="156" spans="4:15" x14ac:dyDescent="0.25">
      <c r="D156" s="8"/>
      <c r="E156" s="8"/>
      <c r="F156" s="3"/>
      <c r="G156" s="9"/>
      <c r="O156" s="3"/>
    </row>
    <row r="157" spans="4:15" x14ac:dyDescent="0.25">
      <c r="D157" s="8"/>
      <c r="E157" s="8"/>
      <c r="F157" s="3"/>
      <c r="G157" s="9"/>
      <c r="O157" s="3"/>
    </row>
    <row r="158" spans="4:15" x14ac:dyDescent="0.25">
      <c r="D158" s="8"/>
      <c r="E158" s="8"/>
      <c r="F158" s="3"/>
      <c r="G158" s="9"/>
      <c r="O158" s="3"/>
    </row>
    <row r="159" spans="4:15" x14ac:dyDescent="0.25">
      <c r="D159" s="8"/>
      <c r="E159" s="8"/>
      <c r="F159" s="3"/>
      <c r="G159" s="9"/>
      <c r="O159" s="3"/>
    </row>
    <row r="160" spans="4:15" x14ac:dyDescent="0.25">
      <c r="D160" s="8"/>
      <c r="E160" s="8"/>
      <c r="F160" s="3"/>
      <c r="G160" s="9"/>
      <c r="O160" s="3"/>
    </row>
    <row r="161" spans="4:15" x14ac:dyDescent="0.25">
      <c r="D161" s="8"/>
      <c r="E161" s="8"/>
      <c r="F161" s="3"/>
      <c r="G161" s="9"/>
      <c r="O161" s="3"/>
    </row>
    <row r="162" spans="4:15" x14ac:dyDescent="0.25">
      <c r="D162" s="8"/>
      <c r="E162" s="8"/>
      <c r="F162" s="3"/>
      <c r="G162" s="9"/>
      <c r="O162" s="3"/>
    </row>
    <row r="163" spans="4:15" x14ac:dyDescent="0.25">
      <c r="D163" s="8"/>
      <c r="E163" s="8"/>
      <c r="F163" s="3"/>
      <c r="G163" s="9"/>
      <c r="O163" s="3"/>
    </row>
    <row r="164" spans="4:15" x14ac:dyDescent="0.25">
      <c r="D164" s="8"/>
      <c r="E164" s="8"/>
      <c r="F164" s="3"/>
      <c r="G164" s="9"/>
      <c r="O164" s="3"/>
    </row>
    <row r="165" spans="4:15" x14ac:dyDescent="0.25">
      <c r="D165" s="8"/>
      <c r="E165" s="8"/>
      <c r="F165" s="3"/>
      <c r="G165" s="9"/>
      <c r="O165" s="3"/>
    </row>
    <row r="166" spans="4:15" x14ac:dyDescent="0.25">
      <c r="D166" s="8"/>
      <c r="E166" s="8"/>
      <c r="F166" s="3"/>
      <c r="G166" s="9"/>
      <c r="O166" s="3"/>
    </row>
    <row r="167" spans="4:15" x14ac:dyDescent="0.25">
      <c r="D167" s="8"/>
      <c r="E167" s="8"/>
      <c r="F167" s="3"/>
      <c r="G167" s="9"/>
      <c r="O167" s="3"/>
    </row>
    <row r="168" spans="4:15" x14ac:dyDescent="0.25">
      <c r="D168" s="8"/>
      <c r="E168" s="8"/>
      <c r="F168" s="3"/>
      <c r="G168" s="9"/>
      <c r="O168" s="3"/>
    </row>
    <row r="169" spans="4:15" x14ac:dyDescent="0.25">
      <c r="D169" s="8"/>
      <c r="E169" s="8"/>
      <c r="F169" s="3"/>
      <c r="G169" s="9"/>
      <c r="O169" s="3"/>
    </row>
    <row r="170" spans="4:15" x14ac:dyDescent="0.25">
      <c r="D170" s="8"/>
      <c r="E170" s="8"/>
      <c r="F170" s="3"/>
      <c r="G170" s="9"/>
      <c r="O170" s="3"/>
    </row>
    <row r="171" spans="4:15" x14ac:dyDescent="0.25">
      <c r="D171" s="8"/>
      <c r="E171" s="8"/>
      <c r="F171" s="3"/>
      <c r="G171" s="9"/>
      <c r="O171" s="3"/>
    </row>
    <row r="172" spans="4:15" x14ac:dyDescent="0.25">
      <c r="D172" s="8"/>
      <c r="E172" s="8"/>
      <c r="F172" s="3"/>
      <c r="G172" s="9"/>
      <c r="O172" s="3"/>
    </row>
    <row r="173" spans="4:15" x14ac:dyDescent="0.25">
      <c r="D173" s="8"/>
      <c r="E173" s="8"/>
      <c r="F173" s="3"/>
      <c r="G173" s="9"/>
      <c r="O173" s="3"/>
    </row>
    <row r="174" spans="4:15" x14ac:dyDescent="0.25">
      <c r="D174" s="8"/>
      <c r="E174" s="8"/>
      <c r="F174" s="3"/>
      <c r="G174" s="9"/>
      <c r="O174" s="3"/>
    </row>
    <row r="175" spans="4:15" x14ac:dyDescent="0.25">
      <c r="D175" s="8"/>
      <c r="E175" s="8"/>
      <c r="F175" s="3"/>
      <c r="G175" s="9"/>
      <c r="O175" s="3"/>
    </row>
    <row r="176" spans="4:15" x14ac:dyDescent="0.25">
      <c r="D176" s="8"/>
      <c r="E176" s="8"/>
      <c r="F176" s="3"/>
      <c r="G176" s="9"/>
      <c r="O176" s="3"/>
    </row>
    <row r="177" spans="4:15" x14ac:dyDescent="0.25">
      <c r="D177" s="8"/>
      <c r="E177" s="8"/>
      <c r="F177" s="3"/>
      <c r="O177" s="3"/>
    </row>
    <row r="178" spans="4:15" x14ac:dyDescent="0.25">
      <c r="D178" s="8"/>
      <c r="E178" s="8"/>
      <c r="F178" s="3"/>
      <c r="G178" s="9"/>
      <c r="O178" s="3"/>
    </row>
    <row r="179" spans="4:15" x14ac:dyDescent="0.25">
      <c r="D179" s="8"/>
      <c r="E179" s="8"/>
      <c r="F179" s="3"/>
      <c r="G179" s="9"/>
      <c r="O179" s="3"/>
    </row>
    <row r="180" spans="4:15" x14ac:dyDescent="0.25">
      <c r="D180" s="8"/>
      <c r="E180" s="8"/>
      <c r="F180" s="3"/>
      <c r="G180" s="9"/>
      <c r="O180" s="3"/>
    </row>
    <row r="181" spans="4:15" x14ac:dyDescent="0.25">
      <c r="D181" s="8"/>
      <c r="E181" s="8"/>
      <c r="F181" s="3"/>
      <c r="G181" s="9"/>
      <c r="O181" s="3"/>
    </row>
    <row r="182" spans="4:15" x14ac:dyDescent="0.25">
      <c r="D182" s="8"/>
      <c r="E182" s="8"/>
      <c r="F182" s="3"/>
      <c r="G182" s="9"/>
      <c r="O182" s="3"/>
    </row>
    <row r="183" spans="4:15" x14ac:dyDescent="0.25">
      <c r="D183" s="8"/>
      <c r="E183" s="8"/>
      <c r="F183" s="3"/>
      <c r="G183" s="9"/>
      <c r="O183" s="3"/>
    </row>
    <row r="184" spans="4:15" x14ac:dyDescent="0.25">
      <c r="D184" s="8"/>
      <c r="E184" s="8"/>
      <c r="F184" s="3"/>
      <c r="G184" s="9"/>
      <c r="O184" s="3"/>
    </row>
    <row r="185" spans="4:15" x14ac:dyDescent="0.25">
      <c r="D185" s="8"/>
      <c r="E185" s="8"/>
      <c r="F185" s="3"/>
      <c r="G185" s="9"/>
      <c r="O185" s="3"/>
    </row>
    <row r="186" spans="4:15" x14ac:dyDescent="0.25">
      <c r="D186" s="8"/>
      <c r="E186" s="8"/>
      <c r="F186" s="3"/>
      <c r="G186" s="9"/>
      <c r="O186" s="3"/>
    </row>
    <row r="187" spans="4:15" x14ac:dyDescent="0.25">
      <c r="D187" s="8"/>
      <c r="E187" s="8"/>
      <c r="F187" s="3"/>
      <c r="G187" s="9"/>
      <c r="O187" s="3"/>
    </row>
    <row r="188" spans="4:15" x14ac:dyDescent="0.25">
      <c r="D188" s="8"/>
      <c r="E188" s="8"/>
      <c r="F188" s="3"/>
      <c r="G188" s="9"/>
      <c r="O188" s="3"/>
    </row>
    <row r="189" spans="4:15" x14ac:dyDescent="0.25">
      <c r="D189" s="8"/>
      <c r="E189" s="8"/>
      <c r="F189" s="3"/>
      <c r="G189" s="9"/>
      <c r="O189" s="3"/>
    </row>
    <row r="190" spans="4:15" x14ac:dyDescent="0.25">
      <c r="D190" s="8"/>
      <c r="E190" s="8"/>
      <c r="F190" s="3"/>
      <c r="G190" s="9"/>
      <c r="O190" s="3"/>
    </row>
    <row r="191" spans="4:15" x14ac:dyDescent="0.25">
      <c r="D191" s="8"/>
      <c r="E191" s="8"/>
      <c r="F191" s="3"/>
      <c r="G191" s="9"/>
      <c r="O191" s="3"/>
    </row>
    <row r="192" spans="4:15" x14ac:dyDescent="0.25">
      <c r="D192" s="8"/>
      <c r="E192" s="8"/>
      <c r="F192" s="3"/>
      <c r="G192" s="9"/>
      <c r="O192" s="3"/>
    </row>
    <row r="193" spans="4:15" x14ac:dyDescent="0.25">
      <c r="D193" s="8"/>
      <c r="E193" s="8"/>
      <c r="F193" s="3"/>
      <c r="G193" s="9"/>
      <c r="O193" s="3"/>
    </row>
    <row r="194" spans="4:15" x14ac:dyDescent="0.25">
      <c r="D194" s="8"/>
      <c r="E194" s="8"/>
      <c r="F194" s="3"/>
      <c r="G194" s="9"/>
      <c r="O194" s="3"/>
    </row>
    <row r="195" spans="4:15" x14ac:dyDescent="0.25">
      <c r="D195" s="8"/>
      <c r="E195" s="8"/>
      <c r="F195" s="3"/>
      <c r="G195" s="9"/>
      <c r="O195" s="3"/>
    </row>
    <row r="196" spans="4:15" x14ac:dyDescent="0.25">
      <c r="D196" s="8"/>
      <c r="E196" s="8"/>
      <c r="F196" s="3"/>
      <c r="G196" s="9"/>
      <c r="O196" s="3"/>
    </row>
    <row r="197" spans="4:15" x14ac:dyDescent="0.25">
      <c r="D197" s="8"/>
      <c r="E197" s="8"/>
      <c r="F197" s="3"/>
      <c r="G197" s="9"/>
      <c r="O197" s="3"/>
    </row>
    <row r="198" spans="4:15" x14ac:dyDescent="0.25">
      <c r="D198" s="8"/>
      <c r="E198" s="8"/>
      <c r="F198" s="3"/>
      <c r="G198" s="9"/>
      <c r="O198" s="3"/>
    </row>
    <row r="199" spans="4:15" x14ac:dyDescent="0.25">
      <c r="D199" s="8"/>
      <c r="E199" s="8"/>
      <c r="F199" s="3"/>
      <c r="G199" s="9"/>
      <c r="O199" s="3"/>
    </row>
    <row r="200" spans="4:15" x14ac:dyDescent="0.25">
      <c r="D200" s="8"/>
      <c r="E200" s="8"/>
      <c r="F200" s="3"/>
      <c r="G200" s="9"/>
      <c r="O200" s="3"/>
    </row>
    <row r="201" spans="4:15" x14ac:dyDescent="0.25">
      <c r="D201" s="8"/>
      <c r="E201" s="8"/>
      <c r="F201" s="3"/>
      <c r="G201" s="9"/>
      <c r="O201" s="3"/>
    </row>
    <row r="202" spans="4:15" x14ac:dyDescent="0.25">
      <c r="D202" s="8"/>
      <c r="E202" s="8"/>
      <c r="F202" s="3"/>
      <c r="O202" s="3"/>
    </row>
    <row r="203" spans="4:15" x14ac:dyDescent="0.25">
      <c r="D203" s="8"/>
      <c r="E203" s="8"/>
      <c r="F203" s="3"/>
      <c r="G203" s="9"/>
      <c r="O203" s="3"/>
    </row>
    <row r="204" spans="4:15" x14ac:dyDescent="0.25">
      <c r="D204" s="8"/>
      <c r="E204" s="8"/>
      <c r="F204" s="3"/>
      <c r="G204" s="9"/>
      <c r="O204" s="3"/>
    </row>
    <row r="205" spans="4:15" x14ac:dyDescent="0.25">
      <c r="D205" s="8"/>
      <c r="E205" s="8"/>
      <c r="F205" s="3"/>
      <c r="G205" s="9"/>
      <c r="O205" s="3"/>
    </row>
    <row r="206" spans="4:15" x14ac:dyDescent="0.25">
      <c r="D206" s="8"/>
      <c r="E206" s="8"/>
      <c r="F206" s="3"/>
      <c r="G206" s="9"/>
      <c r="O206" s="3"/>
    </row>
    <row r="207" spans="4:15" x14ac:dyDescent="0.25">
      <c r="D207" s="8"/>
      <c r="E207" s="8"/>
      <c r="F207" s="3"/>
      <c r="G207" s="9"/>
      <c r="O207" s="3"/>
    </row>
    <row r="208" spans="4:15" x14ac:dyDescent="0.25">
      <c r="D208" s="8"/>
      <c r="E208" s="8"/>
      <c r="F208" s="3"/>
      <c r="G208" s="9"/>
      <c r="O208" s="3"/>
    </row>
    <row r="209" spans="4:15" x14ac:dyDescent="0.25">
      <c r="D209" s="8"/>
      <c r="E209" s="8"/>
      <c r="F209" s="3"/>
      <c r="G209" s="9"/>
      <c r="O209" s="3"/>
    </row>
    <row r="210" spans="4:15" x14ac:dyDescent="0.25">
      <c r="D210" s="8"/>
      <c r="E210" s="8"/>
      <c r="F210" s="3"/>
      <c r="G210" s="9"/>
      <c r="O210" s="3"/>
    </row>
    <row r="211" spans="4:15" x14ac:dyDescent="0.25">
      <c r="D211" s="8"/>
      <c r="E211" s="8"/>
      <c r="F211" s="3"/>
      <c r="G211" s="9"/>
      <c r="O211" s="3"/>
    </row>
    <row r="212" spans="4:15" x14ac:dyDescent="0.25">
      <c r="D212" s="8"/>
      <c r="E212" s="8"/>
      <c r="F212" s="3"/>
      <c r="G212" s="9"/>
      <c r="O212" s="3"/>
    </row>
    <row r="213" spans="4:15" x14ac:dyDescent="0.25">
      <c r="D213" s="8"/>
      <c r="E213" s="8"/>
      <c r="F213" s="3"/>
      <c r="G213" s="9"/>
      <c r="O213" s="3"/>
    </row>
    <row r="214" spans="4:15" x14ac:dyDescent="0.25">
      <c r="D214" s="8"/>
      <c r="E214" s="8"/>
      <c r="F214" s="3"/>
      <c r="G214" s="9"/>
      <c r="O214" s="3"/>
    </row>
    <row r="215" spans="4:15" x14ac:dyDescent="0.25">
      <c r="D215" s="8"/>
      <c r="E215" s="8"/>
      <c r="F215" s="3"/>
      <c r="G215" s="9"/>
      <c r="O215" s="3"/>
    </row>
    <row r="216" spans="4:15" x14ac:dyDescent="0.25">
      <c r="D216" s="8"/>
      <c r="E216" s="8"/>
      <c r="F216" s="3"/>
      <c r="G216" s="9"/>
      <c r="O216" s="3"/>
    </row>
    <row r="217" spans="4:15" x14ac:dyDescent="0.25">
      <c r="D217" s="8"/>
      <c r="E217" s="8"/>
      <c r="F217" s="3"/>
      <c r="G217" s="9"/>
      <c r="O217" s="3"/>
    </row>
    <row r="218" spans="4:15" x14ac:dyDescent="0.25">
      <c r="D218" s="8"/>
      <c r="E218" s="8"/>
      <c r="F218" s="3"/>
      <c r="G218" s="9"/>
      <c r="O218" s="3"/>
    </row>
    <row r="219" spans="4:15" x14ac:dyDescent="0.25">
      <c r="D219" s="8"/>
      <c r="E219" s="8"/>
      <c r="F219" s="3"/>
      <c r="G219" s="9"/>
      <c r="O219" s="3"/>
    </row>
    <row r="220" spans="4:15" x14ac:dyDescent="0.25">
      <c r="D220" s="8"/>
      <c r="E220" s="8"/>
      <c r="F220" s="3"/>
      <c r="G220" s="9"/>
      <c r="O220" s="3"/>
    </row>
    <row r="221" spans="4:15" x14ac:dyDescent="0.25">
      <c r="D221" s="8"/>
      <c r="E221" s="8"/>
      <c r="F221" s="3"/>
      <c r="G221" s="9"/>
      <c r="O221" s="3"/>
    </row>
    <row r="222" spans="4:15" x14ac:dyDescent="0.25">
      <c r="D222" s="8"/>
      <c r="E222" s="8"/>
      <c r="F222" s="3"/>
      <c r="G222" s="9"/>
      <c r="O222" s="3"/>
    </row>
    <row r="223" spans="4:15" x14ac:dyDescent="0.25">
      <c r="D223" s="8"/>
      <c r="E223" s="8"/>
      <c r="F223" s="3"/>
      <c r="G223" s="9"/>
      <c r="O223" s="3"/>
    </row>
    <row r="224" spans="4:15" x14ac:dyDescent="0.25">
      <c r="D224" s="8"/>
      <c r="E224" s="8"/>
      <c r="F224" s="3"/>
      <c r="G224" s="9"/>
      <c r="O224" s="3"/>
    </row>
    <row r="225" spans="4:15" x14ac:dyDescent="0.25">
      <c r="D225" s="8"/>
      <c r="E225" s="8"/>
      <c r="F225" s="3"/>
      <c r="G225" s="9"/>
      <c r="O225" s="3"/>
    </row>
    <row r="226" spans="4:15" x14ac:dyDescent="0.25">
      <c r="D226" s="8"/>
      <c r="E226" s="8"/>
      <c r="F226" s="3"/>
      <c r="G226" s="9"/>
      <c r="O226" s="3"/>
    </row>
    <row r="227" spans="4:15" x14ac:dyDescent="0.25">
      <c r="D227" s="8"/>
      <c r="E227" s="8"/>
      <c r="F227" s="3"/>
      <c r="O227" s="3"/>
    </row>
    <row r="228" spans="4:15" x14ac:dyDescent="0.25">
      <c r="D228" s="8"/>
      <c r="E228" s="8"/>
      <c r="F228" s="3"/>
      <c r="G228" s="9"/>
      <c r="O228" s="3"/>
    </row>
    <row r="229" spans="4:15" x14ac:dyDescent="0.25">
      <c r="D229" s="8"/>
      <c r="E229" s="8"/>
      <c r="F229" s="3"/>
      <c r="G229" s="9"/>
      <c r="O229" s="3"/>
    </row>
    <row r="230" spans="4:15" x14ac:dyDescent="0.25">
      <c r="D230" s="8"/>
      <c r="E230" s="8"/>
      <c r="F230" s="3"/>
      <c r="G230" s="9"/>
      <c r="O230" s="3"/>
    </row>
    <row r="231" spans="4:15" x14ac:dyDescent="0.25">
      <c r="D231" s="8"/>
      <c r="E231" s="8"/>
      <c r="F231" s="3"/>
      <c r="G231" s="9"/>
      <c r="O231" s="3"/>
    </row>
    <row r="232" spans="4:15" x14ac:dyDescent="0.25">
      <c r="D232" s="8"/>
      <c r="E232" s="8"/>
      <c r="F232" s="3"/>
      <c r="G232" s="9"/>
      <c r="O232" s="3"/>
    </row>
    <row r="233" spans="4:15" x14ac:dyDescent="0.25">
      <c r="D233" s="8"/>
      <c r="E233" s="8"/>
      <c r="F233" s="3"/>
      <c r="G233" s="9"/>
      <c r="O233" s="3"/>
    </row>
    <row r="234" spans="4:15" x14ac:dyDescent="0.25">
      <c r="D234" s="8"/>
      <c r="E234" s="8"/>
      <c r="F234" s="3"/>
      <c r="G234" s="9"/>
      <c r="O234" s="3"/>
    </row>
    <row r="235" spans="4:15" x14ac:dyDescent="0.25">
      <c r="D235" s="8"/>
      <c r="E235" s="8"/>
      <c r="F235" s="3"/>
      <c r="G235" s="9"/>
      <c r="O235" s="3"/>
    </row>
    <row r="236" spans="4:15" x14ac:dyDescent="0.25">
      <c r="D236" s="8"/>
      <c r="E236" s="8"/>
      <c r="F236" s="3"/>
      <c r="G236" s="9"/>
      <c r="O236" s="3"/>
    </row>
    <row r="237" spans="4:15" x14ac:dyDescent="0.25">
      <c r="D237" s="8"/>
      <c r="E237" s="8"/>
      <c r="F237" s="3"/>
      <c r="G237" s="9"/>
      <c r="O237" s="3"/>
    </row>
    <row r="238" spans="4:15" x14ac:dyDescent="0.25">
      <c r="D238" s="8"/>
      <c r="E238" s="8"/>
      <c r="F238" s="3"/>
      <c r="G238" s="9"/>
      <c r="O238" s="3"/>
    </row>
    <row r="239" spans="4:15" x14ac:dyDescent="0.25">
      <c r="D239" s="8"/>
      <c r="E239" s="8"/>
      <c r="F239" s="3"/>
      <c r="G239" s="9"/>
      <c r="O239" s="3"/>
    </row>
    <row r="240" spans="4:15" x14ac:dyDescent="0.25">
      <c r="D240" s="8"/>
      <c r="E240" s="8"/>
      <c r="F240" s="3"/>
      <c r="G240" s="9"/>
      <c r="O240" s="3"/>
    </row>
    <row r="241" spans="4:15" x14ac:dyDescent="0.25">
      <c r="D241" s="8"/>
      <c r="E241" s="8"/>
      <c r="F241" s="3"/>
      <c r="G241" s="9"/>
      <c r="O241" s="3"/>
    </row>
    <row r="242" spans="4:15" x14ac:dyDescent="0.25">
      <c r="D242" s="8"/>
      <c r="E242" s="8"/>
      <c r="F242" s="3"/>
      <c r="G242" s="9"/>
      <c r="O242" s="3"/>
    </row>
    <row r="243" spans="4:15" x14ac:dyDescent="0.25">
      <c r="D243" s="8"/>
      <c r="E243" s="8"/>
      <c r="F243" s="3"/>
      <c r="G243" s="9"/>
      <c r="O243" s="3"/>
    </row>
    <row r="244" spans="4:15" x14ac:dyDescent="0.25">
      <c r="D244" s="8"/>
      <c r="E244" s="8"/>
      <c r="F244" s="3"/>
      <c r="G244" s="9"/>
      <c r="O244" s="3"/>
    </row>
    <row r="245" spans="4:15" x14ac:dyDescent="0.25">
      <c r="D245" s="8"/>
      <c r="E245" s="8"/>
      <c r="F245" s="3"/>
      <c r="G245" s="9"/>
      <c r="O245" s="3"/>
    </row>
    <row r="246" spans="4:15" x14ac:dyDescent="0.25">
      <c r="D246" s="8"/>
      <c r="E246" s="8"/>
      <c r="F246" s="3"/>
      <c r="G246" s="9"/>
      <c r="O246" s="3"/>
    </row>
    <row r="247" spans="4:15" x14ac:dyDescent="0.25">
      <c r="D247" s="8"/>
      <c r="E247" s="8"/>
      <c r="F247" s="3"/>
      <c r="G247" s="9"/>
      <c r="O247" s="3"/>
    </row>
    <row r="248" spans="4:15" x14ac:dyDescent="0.25">
      <c r="D248" s="8"/>
      <c r="E248" s="8"/>
      <c r="F248" s="3"/>
      <c r="G248" s="9"/>
      <c r="O248" s="3"/>
    </row>
    <row r="249" spans="4:15" x14ac:dyDescent="0.25">
      <c r="D249" s="8"/>
      <c r="E249" s="8"/>
      <c r="F249" s="3"/>
      <c r="G249" s="9"/>
      <c r="O249" s="3"/>
    </row>
    <row r="250" spans="4:15" x14ac:dyDescent="0.25">
      <c r="D250" s="8"/>
      <c r="E250" s="8"/>
      <c r="F250" s="3"/>
      <c r="G250" s="9"/>
      <c r="O250" s="3"/>
    </row>
    <row r="251" spans="4:15" x14ac:dyDescent="0.25">
      <c r="D251" s="8"/>
      <c r="E251" s="8"/>
      <c r="F251" s="3"/>
      <c r="G251" s="9"/>
      <c r="O251" s="3"/>
    </row>
    <row r="252" spans="4:15" x14ac:dyDescent="0.25">
      <c r="D252" s="8"/>
      <c r="E252" s="8"/>
      <c r="F252" s="3"/>
      <c r="O252" s="3"/>
    </row>
    <row r="253" spans="4:15" x14ac:dyDescent="0.25">
      <c r="D253" s="8"/>
      <c r="E253" s="8"/>
      <c r="F253" s="3"/>
      <c r="G253" s="9"/>
      <c r="O253" s="3"/>
    </row>
    <row r="254" spans="4:15" x14ac:dyDescent="0.25">
      <c r="D254" s="8"/>
      <c r="E254" s="8"/>
      <c r="F254" s="3"/>
      <c r="G254" s="9"/>
      <c r="O254" s="3"/>
    </row>
    <row r="255" spans="4:15" x14ac:dyDescent="0.25">
      <c r="D255" s="8"/>
      <c r="E255" s="8"/>
      <c r="F255" s="3"/>
      <c r="G255" s="9"/>
      <c r="O255" s="3"/>
    </row>
    <row r="256" spans="4:15" x14ac:dyDescent="0.25">
      <c r="D256" s="8"/>
      <c r="E256" s="8"/>
      <c r="F256" s="3"/>
      <c r="G256" s="9"/>
      <c r="O256" s="3"/>
    </row>
    <row r="257" spans="4:15" x14ac:dyDescent="0.25">
      <c r="D257" s="8"/>
      <c r="E257" s="8"/>
      <c r="F257" s="3"/>
      <c r="G257" s="9"/>
      <c r="O257" s="3"/>
    </row>
    <row r="258" spans="4:15" x14ac:dyDescent="0.25">
      <c r="D258" s="8"/>
      <c r="E258" s="8"/>
      <c r="F258" s="3"/>
      <c r="G258" s="9"/>
      <c r="O258" s="3"/>
    </row>
    <row r="259" spans="4:15" x14ac:dyDescent="0.25">
      <c r="D259" s="8"/>
      <c r="E259" s="8"/>
      <c r="F259" s="3"/>
      <c r="G259" s="9"/>
      <c r="O259" s="3"/>
    </row>
    <row r="260" spans="4:15" x14ac:dyDescent="0.25">
      <c r="D260" s="8"/>
      <c r="E260" s="8"/>
      <c r="F260" s="3"/>
      <c r="G260" s="9"/>
      <c r="O260" s="3"/>
    </row>
    <row r="261" spans="4:15" x14ac:dyDescent="0.25">
      <c r="D261" s="8"/>
      <c r="E261" s="8"/>
      <c r="F261" s="3"/>
      <c r="G261" s="9"/>
      <c r="O261" s="3"/>
    </row>
    <row r="262" spans="4:15" x14ac:dyDescent="0.25">
      <c r="D262" s="8"/>
      <c r="E262" s="8"/>
      <c r="F262" s="3"/>
      <c r="G262" s="9"/>
      <c r="O262" s="3"/>
    </row>
    <row r="263" spans="4:15" x14ac:dyDescent="0.25">
      <c r="D263" s="8"/>
      <c r="E263" s="8"/>
      <c r="F263" s="3"/>
      <c r="G263" s="9"/>
      <c r="O263" s="3"/>
    </row>
    <row r="264" spans="4:15" x14ac:dyDescent="0.25">
      <c r="D264" s="8"/>
      <c r="E264" s="8"/>
      <c r="F264" s="3"/>
      <c r="G264" s="9"/>
      <c r="O264" s="3"/>
    </row>
    <row r="265" spans="4:15" x14ac:dyDescent="0.25">
      <c r="D265" s="8"/>
      <c r="E265" s="8"/>
      <c r="F265" s="3"/>
      <c r="G265" s="9"/>
      <c r="O265" s="3"/>
    </row>
    <row r="266" spans="4:15" x14ac:dyDescent="0.25">
      <c r="D266" s="8"/>
      <c r="E266" s="8"/>
      <c r="F266" s="3"/>
      <c r="G266" s="9"/>
      <c r="O266" s="3"/>
    </row>
    <row r="267" spans="4:15" x14ac:dyDescent="0.25">
      <c r="D267" s="8"/>
      <c r="E267" s="8"/>
      <c r="F267" s="3"/>
      <c r="G267" s="9"/>
      <c r="O267" s="3"/>
    </row>
    <row r="268" spans="4:15" x14ac:dyDescent="0.25">
      <c r="D268" s="8"/>
      <c r="E268" s="8"/>
      <c r="F268" s="3"/>
      <c r="G268" s="9"/>
      <c r="O268" s="3"/>
    </row>
    <row r="269" spans="4:15" x14ac:dyDescent="0.25">
      <c r="D269" s="8"/>
      <c r="E269" s="8"/>
      <c r="F269" s="3"/>
      <c r="G269" s="9"/>
      <c r="O269" s="3"/>
    </row>
    <row r="270" spans="4:15" x14ac:dyDescent="0.25">
      <c r="D270" s="8"/>
      <c r="E270" s="8"/>
      <c r="F270" s="3"/>
      <c r="G270" s="9"/>
      <c r="O270" s="3"/>
    </row>
    <row r="271" spans="4:15" x14ac:dyDescent="0.25">
      <c r="D271" s="8"/>
      <c r="E271" s="8"/>
      <c r="F271" s="3"/>
      <c r="G271" s="9"/>
      <c r="O271" s="3"/>
    </row>
    <row r="272" spans="4:15" x14ac:dyDescent="0.25">
      <c r="D272" s="8"/>
      <c r="E272" s="8"/>
      <c r="F272" s="3"/>
      <c r="G272" s="9"/>
      <c r="O272" s="3"/>
    </row>
    <row r="273" spans="4:15" x14ac:dyDescent="0.25">
      <c r="D273" s="8"/>
      <c r="E273" s="8"/>
      <c r="F273" s="3"/>
      <c r="G273" s="9"/>
      <c r="O273" s="3"/>
    </row>
    <row r="274" spans="4:15" x14ac:dyDescent="0.25">
      <c r="D274" s="8"/>
      <c r="E274" s="8"/>
      <c r="F274" s="3"/>
      <c r="G274" s="9"/>
      <c r="O274" s="3"/>
    </row>
    <row r="275" spans="4:15" x14ac:dyDescent="0.25">
      <c r="D275" s="8"/>
      <c r="E275" s="8"/>
      <c r="F275" s="3"/>
      <c r="G275" s="9"/>
      <c r="O275" s="3"/>
    </row>
    <row r="276" spans="4:15" x14ac:dyDescent="0.25">
      <c r="D276" s="8"/>
      <c r="E276" s="8"/>
      <c r="F276" s="3"/>
      <c r="G276" s="9"/>
      <c r="O276" s="3"/>
    </row>
    <row r="277" spans="4:15" x14ac:dyDescent="0.25">
      <c r="D277" s="8"/>
      <c r="E277" s="8"/>
      <c r="F277" s="3"/>
      <c r="O277" s="3"/>
    </row>
    <row r="278" spans="4:15" x14ac:dyDescent="0.25">
      <c r="D278" s="8"/>
      <c r="E278" s="8"/>
      <c r="F278" s="3"/>
      <c r="G278" s="9"/>
      <c r="O278" s="3"/>
    </row>
    <row r="279" spans="4:15" x14ac:dyDescent="0.25">
      <c r="D279" s="8"/>
      <c r="E279" s="8"/>
      <c r="F279" s="3"/>
      <c r="G279" s="9"/>
      <c r="O279" s="3"/>
    </row>
    <row r="280" spans="4:15" x14ac:dyDescent="0.25">
      <c r="D280" s="8"/>
      <c r="E280" s="8"/>
      <c r="F280" s="3"/>
      <c r="G280" s="9"/>
      <c r="O280" s="3"/>
    </row>
    <row r="281" spans="4:15" x14ac:dyDescent="0.25">
      <c r="D281" s="8"/>
      <c r="E281" s="8"/>
      <c r="F281" s="3"/>
      <c r="G281" s="9"/>
      <c r="O281" s="3"/>
    </row>
    <row r="282" spans="4:15" x14ac:dyDescent="0.25">
      <c r="D282" s="8"/>
      <c r="E282" s="8"/>
      <c r="F282" s="3"/>
      <c r="G282" s="9"/>
      <c r="O282" s="3"/>
    </row>
    <row r="283" spans="4:15" x14ac:dyDescent="0.25">
      <c r="D283" s="8"/>
      <c r="E283" s="8"/>
      <c r="F283" s="3"/>
      <c r="G283" s="9"/>
      <c r="O283" s="3"/>
    </row>
    <row r="284" spans="4:15" x14ac:dyDescent="0.25">
      <c r="D284" s="8"/>
      <c r="E284" s="8"/>
      <c r="F284" s="3"/>
      <c r="G284" s="9"/>
      <c r="O284" s="3"/>
    </row>
    <row r="285" spans="4:15" x14ac:dyDescent="0.25">
      <c r="D285" s="8"/>
      <c r="E285" s="8"/>
      <c r="F285" s="3"/>
      <c r="G285" s="9"/>
      <c r="O285" s="3"/>
    </row>
    <row r="286" spans="4:15" x14ac:dyDescent="0.25">
      <c r="D286" s="8"/>
      <c r="E286" s="8"/>
      <c r="F286" s="3"/>
      <c r="G286" s="9"/>
      <c r="O286" s="3"/>
    </row>
    <row r="287" spans="4:15" x14ac:dyDescent="0.25">
      <c r="D287" s="8"/>
      <c r="E287" s="8"/>
      <c r="F287" s="3"/>
      <c r="G287" s="9"/>
      <c r="O287" s="3"/>
    </row>
    <row r="288" spans="4:15" x14ac:dyDescent="0.25">
      <c r="D288" s="8"/>
      <c r="E288" s="8"/>
      <c r="F288" s="3"/>
      <c r="G288" s="9"/>
      <c r="O288" s="3"/>
    </row>
    <row r="289" spans="4:15" x14ac:dyDescent="0.25">
      <c r="D289" s="8"/>
      <c r="E289" s="8"/>
      <c r="F289" s="3"/>
      <c r="G289" s="9"/>
      <c r="O289" s="3"/>
    </row>
    <row r="290" spans="4:15" x14ac:dyDescent="0.25">
      <c r="D290" s="8"/>
      <c r="E290" s="8"/>
      <c r="F290" s="3"/>
      <c r="G290" s="9"/>
      <c r="O290" s="3"/>
    </row>
    <row r="291" spans="4:15" x14ac:dyDescent="0.25">
      <c r="D291" s="8"/>
      <c r="E291" s="8"/>
      <c r="F291" s="3"/>
      <c r="G291" s="9"/>
      <c r="O291" s="3"/>
    </row>
    <row r="292" spans="4:15" x14ac:dyDescent="0.25">
      <c r="D292" s="8"/>
      <c r="E292" s="8"/>
      <c r="F292" s="3"/>
      <c r="G292" s="9"/>
      <c r="O292" s="3"/>
    </row>
    <row r="293" spans="4:15" x14ac:dyDescent="0.25">
      <c r="D293" s="8"/>
      <c r="E293" s="8"/>
      <c r="F293" s="3"/>
      <c r="G293" s="9"/>
      <c r="O293" s="3"/>
    </row>
    <row r="294" spans="4:15" x14ac:dyDescent="0.25">
      <c r="D294" s="8"/>
      <c r="E294" s="8"/>
      <c r="F294" s="3"/>
      <c r="G294" s="9"/>
      <c r="O294" s="3"/>
    </row>
    <row r="295" spans="4:15" x14ac:dyDescent="0.25">
      <c r="D295" s="8"/>
      <c r="E295" s="8"/>
      <c r="F295" s="3"/>
      <c r="G295" s="9"/>
      <c r="O295" s="3"/>
    </row>
    <row r="296" spans="4:15" x14ac:dyDescent="0.25">
      <c r="D296" s="8"/>
      <c r="E296" s="8"/>
      <c r="F296" s="3"/>
      <c r="G296" s="9"/>
      <c r="O296" s="3"/>
    </row>
    <row r="297" spans="4:15" x14ac:dyDescent="0.25">
      <c r="D297" s="8"/>
      <c r="E297" s="8"/>
      <c r="F297" s="3"/>
      <c r="G297" s="9"/>
      <c r="O297" s="3"/>
    </row>
    <row r="298" spans="4:15" x14ac:dyDescent="0.25">
      <c r="D298" s="8"/>
      <c r="E298" s="8"/>
      <c r="F298" s="3"/>
      <c r="G298" s="9"/>
      <c r="O298" s="3"/>
    </row>
    <row r="299" spans="4:15" x14ac:dyDescent="0.25">
      <c r="D299" s="8"/>
      <c r="E299" s="8"/>
      <c r="F299" s="3"/>
      <c r="G299" s="9"/>
      <c r="O299" s="3"/>
    </row>
    <row r="300" spans="4:15" x14ac:dyDescent="0.25">
      <c r="D300" s="8"/>
      <c r="E300" s="8"/>
      <c r="F300" s="3"/>
      <c r="G300" s="9"/>
      <c r="O300" s="3"/>
    </row>
    <row r="301" spans="4:15" x14ac:dyDescent="0.25">
      <c r="D301" s="8"/>
      <c r="E301" s="8"/>
      <c r="F301" s="3"/>
      <c r="G301" s="9"/>
      <c r="O301" s="3"/>
    </row>
    <row r="302" spans="4:15" x14ac:dyDescent="0.25">
      <c r="D302" s="8"/>
      <c r="E302" s="8"/>
      <c r="F302" s="3"/>
      <c r="O302" s="3"/>
    </row>
    <row r="303" spans="4:15" x14ac:dyDescent="0.25">
      <c r="D303" s="8"/>
      <c r="E303" s="8"/>
      <c r="F303" s="3"/>
      <c r="G303" s="9"/>
      <c r="O303" s="3"/>
    </row>
    <row r="304" spans="4:15" x14ac:dyDescent="0.25">
      <c r="D304" s="8"/>
      <c r="E304" s="8"/>
      <c r="F304" s="3"/>
      <c r="G304" s="9"/>
      <c r="O304" s="3"/>
    </row>
    <row r="305" spans="4:15" x14ac:dyDescent="0.25">
      <c r="D305" s="8"/>
      <c r="E305" s="8"/>
      <c r="F305" s="3"/>
      <c r="G305" s="9"/>
      <c r="O305" s="3"/>
    </row>
    <row r="306" spans="4:15" x14ac:dyDescent="0.25">
      <c r="D306" s="8"/>
      <c r="E306" s="8"/>
      <c r="F306" s="3"/>
      <c r="G306" s="9"/>
      <c r="O306" s="3"/>
    </row>
    <row r="307" spans="4:15" x14ac:dyDescent="0.25">
      <c r="D307" s="8"/>
      <c r="E307" s="8"/>
      <c r="F307" s="3"/>
      <c r="G307" s="9"/>
      <c r="O307" s="3"/>
    </row>
    <row r="308" spans="4:15" x14ac:dyDescent="0.25">
      <c r="D308" s="8"/>
      <c r="E308" s="8"/>
      <c r="F308" s="3"/>
      <c r="G308" s="9"/>
      <c r="O308" s="3"/>
    </row>
    <row r="309" spans="4:15" x14ac:dyDescent="0.25">
      <c r="D309" s="8"/>
      <c r="E309" s="8"/>
      <c r="F309" s="3"/>
      <c r="G309" s="9"/>
      <c r="O309" s="3"/>
    </row>
    <row r="310" spans="4:15" x14ac:dyDescent="0.25">
      <c r="D310" s="8"/>
      <c r="E310" s="8"/>
      <c r="F310" s="3"/>
      <c r="G310" s="9"/>
      <c r="O310" s="3"/>
    </row>
    <row r="311" spans="4:15" x14ac:dyDescent="0.25">
      <c r="D311" s="8"/>
      <c r="E311" s="8"/>
      <c r="F311" s="3"/>
      <c r="G311" s="9"/>
      <c r="O311" s="3"/>
    </row>
    <row r="312" spans="4:15" x14ac:dyDescent="0.25">
      <c r="D312" s="8"/>
      <c r="E312" s="8"/>
      <c r="F312" s="3"/>
      <c r="G312" s="9"/>
      <c r="O312" s="3"/>
    </row>
    <row r="313" spans="4:15" x14ac:dyDescent="0.25">
      <c r="D313" s="8"/>
      <c r="E313" s="8"/>
      <c r="F313" s="3"/>
      <c r="G313" s="9"/>
      <c r="O313" s="3"/>
    </row>
    <row r="314" spans="4:15" x14ac:dyDescent="0.25">
      <c r="D314" s="8"/>
      <c r="E314" s="8"/>
      <c r="F314" s="3"/>
      <c r="G314" s="9"/>
      <c r="O314" s="3"/>
    </row>
    <row r="315" spans="4:15" x14ac:dyDescent="0.25">
      <c r="D315" s="8"/>
      <c r="E315" s="8"/>
      <c r="F315" s="3"/>
      <c r="G315" s="9"/>
      <c r="O315" s="3"/>
    </row>
    <row r="316" spans="4:15" x14ac:dyDescent="0.25">
      <c r="D316" s="8"/>
      <c r="E316" s="8"/>
      <c r="F316" s="3"/>
      <c r="G316" s="9"/>
      <c r="O316" s="3"/>
    </row>
    <row r="317" spans="4:15" x14ac:dyDescent="0.25">
      <c r="D317" s="8"/>
      <c r="E317" s="8"/>
      <c r="F317" s="3"/>
      <c r="G317" s="9"/>
      <c r="O317" s="3"/>
    </row>
    <row r="318" spans="4:15" x14ac:dyDescent="0.25">
      <c r="D318" s="8"/>
      <c r="E318" s="8"/>
      <c r="F318" s="3"/>
      <c r="G318" s="9"/>
      <c r="O318" s="3"/>
    </row>
    <row r="319" spans="4:15" x14ac:dyDescent="0.25">
      <c r="D319" s="8"/>
      <c r="E319" s="8"/>
      <c r="F319" s="3"/>
      <c r="G319" s="9"/>
      <c r="O319" s="3"/>
    </row>
    <row r="320" spans="4:15" x14ac:dyDescent="0.25">
      <c r="D320" s="8"/>
      <c r="E320" s="8"/>
      <c r="F320" s="3"/>
      <c r="G320" s="9"/>
      <c r="O320" s="3"/>
    </row>
    <row r="321" spans="4:15" x14ac:dyDescent="0.25">
      <c r="D321" s="8"/>
      <c r="E321" s="8"/>
      <c r="F321" s="3"/>
      <c r="G321" s="9"/>
      <c r="O321" s="3"/>
    </row>
    <row r="322" spans="4:15" x14ac:dyDescent="0.25">
      <c r="D322" s="8"/>
      <c r="E322" s="8"/>
      <c r="F322" s="3"/>
      <c r="G322" s="9"/>
      <c r="O322" s="3"/>
    </row>
    <row r="323" spans="4:15" x14ac:dyDescent="0.25">
      <c r="D323" s="8"/>
      <c r="E323" s="8"/>
      <c r="F323" s="3"/>
      <c r="G323" s="9"/>
      <c r="O323" s="3"/>
    </row>
    <row r="324" spans="4:15" x14ac:dyDescent="0.25">
      <c r="D324" s="8"/>
      <c r="E324" s="8"/>
      <c r="F324" s="3"/>
      <c r="G324" s="9"/>
      <c r="O324" s="3"/>
    </row>
    <row r="325" spans="4:15" x14ac:dyDescent="0.25">
      <c r="D325" s="8"/>
      <c r="E325" s="8"/>
      <c r="F325" s="3"/>
      <c r="G325" s="9"/>
      <c r="O325" s="3"/>
    </row>
    <row r="326" spans="4:15" x14ac:dyDescent="0.25">
      <c r="D326" s="8"/>
      <c r="E326" s="8"/>
      <c r="F326" s="3"/>
      <c r="G326" s="9"/>
      <c r="O326" s="3"/>
    </row>
    <row r="327" spans="4:15" x14ac:dyDescent="0.25">
      <c r="D327" s="8"/>
      <c r="E327" s="8"/>
      <c r="F327" s="3"/>
      <c r="O327" s="3"/>
    </row>
    <row r="328" spans="4:15" x14ac:dyDescent="0.25">
      <c r="D328" s="8"/>
      <c r="E328" s="8"/>
      <c r="F328" s="3"/>
      <c r="G328" s="9"/>
      <c r="O328" s="3"/>
    </row>
    <row r="329" spans="4:15" x14ac:dyDescent="0.25">
      <c r="D329" s="8"/>
      <c r="E329" s="8"/>
      <c r="F329" s="3"/>
      <c r="G329" s="9"/>
      <c r="O329" s="3"/>
    </row>
    <row r="330" spans="4:15" x14ac:dyDescent="0.25">
      <c r="D330" s="8"/>
      <c r="E330" s="8"/>
      <c r="F330" s="3"/>
      <c r="G330" s="9"/>
      <c r="O330" s="3"/>
    </row>
    <row r="331" spans="4:15" x14ac:dyDescent="0.25">
      <c r="D331" s="8"/>
      <c r="E331" s="8"/>
      <c r="F331" s="3"/>
      <c r="G331" s="9"/>
      <c r="O331" s="3"/>
    </row>
    <row r="332" spans="4:15" x14ac:dyDescent="0.25">
      <c r="D332" s="8"/>
      <c r="E332" s="8"/>
      <c r="F332" s="3"/>
      <c r="G332" s="9"/>
      <c r="O332" s="3"/>
    </row>
    <row r="333" spans="4:15" x14ac:dyDescent="0.25">
      <c r="D333" s="8"/>
      <c r="E333" s="8"/>
      <c r="F333" s="3"/>
      <c r="G333" s="9"/>
      <c r="O333" s="3"/>
    </row>
    <row r="334" spans="4:15" x14ac:dyDescent="0.25">
      <c r="D334" s="8"/>
      <c r="E334" s="8"/>
      <c r="F334" s="3"/>
      <c r="G334" s="9"/>
      <c r="O334" s="3"/>
    </row>
    <row r="335" spans="4:15" x14ac:dyDescent="0.25">
      <c r="D335" s="8"/>
      <c r="E335" s="8"/>
      <c r="F335" s="3"/>
      <c r="G335" s="9"/>
      <c r="O335" s="3"/>
    </row>
    <row r="336" spans="4:15" x14ac:dyDescent="0.25">
      <c r="D336" s="8"/>
      <c r="E336" s="8"/>
      <c r="F336" s="3"/>
      <c r="G336" s="9"/>
      <c r="O336" s="3"/>
    </row>
    <row r="337" spans="4:15" x14ac:dyDescent="0.25">
      <c r="D337" s="8"/>
      <c r="E337" s="8"/>
      <c r="F337" s="3"/>
      <c r="G337" s="9"/>
      <c r="O337" s="3"/>
    </row>
    <row r="338" spans="4:15" x14ac:dyDescent="0.25">
      <c r="D338" s="8"/>
      <c r="E338" s="8"/>
      <c r="F338" s="3"/>
      <c r="G338" s="9"/>
      <c r="O338" s="3"/>
    </row>
    <row r="339" spans="4:15" x14ac:dyDescent="0.25">
      <c r="D339" s="8"/>
      <c r="E339" s="8"/>
      <c r="F339" s="3"/>
      <c r="G339" s="9"/>
      <c r="O339" s="3"/>
    </row>
    <row r="340" spans="4:15" x14ac:dyDescent="0.25">
      <c r="D340" s="8"/>
      <c r="E340" s="8"/>
      <c r="F340" s="3"/>
      <c r="G340" s="9"/>
      <c r="O340" s="3"/>
    </row>
    <row r="341" spans="4:15" x14ac:dyDescent="0.25">
      <c r="D341" s="8"/>
      <c r="E341" s="8"/>
      <c r="F341" s="3"/>
      <c r="G341" s="9"/>
      <c r="O341" s="3"/>
    </row>
    <row r="342" spans="4:15" x14ac:dyDescent="0.25">
      <c r="D342" s="8"/>
      <c r="E342" s="8"/>
      <c r="F342" s="3"/>
      <c r="G342" s="9"/>
      <c r="O342" s="3"/>
    </row>
    <row r="343" spans="4:15" x14ac:dyDescent="0.25">
      <c r="D343" s="8"/>
      <c r="E343" s="8"/>
      <c r="F343" s="3"/>
      <c r="G343" s="9"/>
      <c r="O343" s="3"/>
    </row>
    <row r="344" spans="4:15" x14ac:dyDescent="0.25">
      <c r="D344" s="8"/>
      <c r="E344" s="8"/>
      <c r="F344" s="3"/>
      <c r="G344" s="9"/>
      <c r="O344" s="3"/>
    </row>
    <row r="345" spans="4:15" x14ac:dyDescent="0.25">
      <c r="D345" s="8"/>
      <c r="E345" s="8"/>
      <c r="F345" s="3"/>
      <c r="G345" s="9"/>
      <c r="O345" s="3"/>
    </row>
    <row r="346" spans="4:15" x14ac:dyDescent="0.25">
      <c r="D346" s="8"/>
      <c r="E346" s="8"/>
      <c r="F346" s="3"/>
      <c r="G346" s="9"/>
      <c r="O346" s="3"/>
    </row>
    <row r="347" spans="4:15" x14ac:dyDescent="0.25">
      <c r="D347" s="8"/>
      <c r="E347" s="8"/>
      <c r="F347" s="3"/>
      <c r="G347" s="9"/>
      <c r="O347" s="3"/>
    </row>
    <row r="348" spans="4:15" x14ac:dyDescent="0.25">
      <c r="D348" s="8"/>
      <c r="E348" s="8"/>
      <c r="F348" s="3"/>
      <c r="G348" s="9"/>
      <c r="O348" s="3"/>
    </row>
    <row r="349" spans="4:15" x14ac:dyDescent="0.25">
      <c r="D349" s="8"/>
      <c r="E349" s="8"/>
      <c r="F349" s="3"/>
      <c r="G349" s="9"/>
      <c r="O349" s="3"/>
    </row>
    <row r="350" spans="4:15" x14ac:dyDescent="0.25">
      <c r="D350" s="8"/>
      <c r="E350" s="8"/>
      <c r="F350" s="3"/>
      <c r="G350" s="9"/>
      <c r="O350" s="3"/>
    </row>
    <row r="351" spans="4:15" x14ac:dyDescent="0.25">
      <c r="D351" s="8"/>
      <c r="E351" s="8"/>
      <c r="F351" s="3"/>
      <c r="G351" s="9"/>
      <c r="O351" s="3"/>
    </row>
    <row r="352" spans="4:15" x14ac:dyDescent="0.25">
      <c r="D352" s="8"/>
      <c r="E352" s="8"/>
      <c r="F352" s="3"/>
      <c r="O352" s="3"/>
    </row>
    <row r="353" spans="4:15" x14ac:dyDescent="0.25">
      <c r="D353" s="8"/>
      <c r="E353" s="8"/>
      <c r="F353" s="3"/>
      <c r="G353" s="9"/>
      <c r="O353" s="3"/>
    </row>
    <row r="354" spans="4:15" x14ac:dyDescent="0.25">
      <c r="D354" s="8"/>
      <c r="E354" s="8"/>
      <c r="F354" s="3"/>
      <c r="G354" s="9"/>
      <c r="O354" s="3"/>
    </row>
    <row r="355" spans="4:15" x14ac:dyDescent="0.25">
      <c r="D355" s="8"/>
      <c r="E355" s="8"/>
      <c r="F355" s="3"/>
      <c r="G355" s="9"/>
      <c r="O355" s="3"/>
    </row>
    <row r="356" spans="4:15" x14ac:dyDescent="0.25">
      <c r="D356" s="8"/>
      <c r="E356" s="8"/>
      <c r="F356" s="3"/>
      <c r="G356" s="9"/>
      <c r="O356" s="3"/>
    </row>
    <row r="357" spans="4:15" x14ac:dyDescent="0.25">
      <c r="D357" s="8"/>
      <c r="E357" s="8"/>
      <c r="F357" s="3"/>
      <c r="G357" s="9"/>
      <c r="O357" s="3"/>
    </row>
    <row r="358" spans="4:15" x14ac:dyDescent="0.25">
      <c r="D358" s="8"/>
      <c r="E358" s="8"/>
      <c r="F358" s="3"/>
      <c r="G358" s="9"/>
      <c r="O358" s="3"/>
    </row>
    <row r="359" spans="4:15" x14ac:dyDescent="0.25">
      <c r="D359" s="8"/>
      <c r="E359" s="8"/>
      <c r="F359" s="3"/>
      <c r="G359" s="9"/>
      <c r="O359" s="3"/>
    </row>
    <row r="360" spans="4:15" x14ac:dyDescent="0.25">
      <c r="D360" s="8"/>
      <c r="E360" s="8"/>
      <c r="F360" s="3"/>
      <c r="G360" s="9"/>
      <c r="O360" s="3"/>
    </row>
    <row r="361" spans="4:15" x14ac:dyDescent="0.25">
      <c r="D361" s="8"/>
      <c r="E361" s="8"/>
      <c r="F361" s="3"/>
      <c r="G361" s="9"/>
      <c r="O361" s="3"/>
    </row>
    <row r="362" spans="4:15" x14ac:dyDescent="0.25">
      <c r="D362" s="8"/>
      <c r="E362" s="8"/>
      <c r="F362" s="3"/>
      <c r="G362" s="9"/>
      <c r="O362" s="3"/>
    </row>
    <row r="363" spans="4:15" x14ac:dyDescent="0.25">
      <c r="D363" s="8"/>
      <c r="E363" s="8"/>
      <c r="F363" s="3"/>
      <c r="G363" s="9"/>
      <c r="O363" s="3"/>
    </row>
    <row r="364" spans="4:15" x14ac:dyDescent="0.25">
      <c r="D364" s="8"/>
      <c r="E364" s="8"/>
      <c r="F364" s="3"/>
      <c r="G364" s="9"/>
      <c r="O364" s="3"/>
    </row>
    <row r="365" spans="4:15" x14ac:dyDescent="0.25">
      <c r="D365" s="8"/>
      <c r="E365" s="8"/>
      <c r="F365" s="3"/>
      <c r="G365" s="9"/>
      <c r="O365" s="3"/>
    </row>
    <row r="366" spans="4:15" x14ac:dyDescent="0.25">
      <c r="D366" s="8"/>
      <c r="E366" s="8"/>
      <c r="F366" s="3"/>
      <c r="G366" s="9"/>
      <c r="O366" s="3"/>
    </row>
    <row r="367" spans="4:15" x14ac:dyDescent="0.25">
      <c r="D367" s="8"/>
      <c r="E367" s="8"/>
      <c r="F367" s="3"/>
      <c r="G367" s="9"/>
      <c r="O367" s="3"/>
    </row>
    <row r="368" spans="4:15" x14ac:dyDescent="0.25">
      <c r="D368" s="8"/>
      <c r="E368" s="8"/>
      <c r="F368" s="3"/>
      <c r="G368" s="9"/>
      <c r="O368" s="3"/>
    </row>
    <row r="369" spans="4:15" x14ac:dyDescent="0.25">
      <c r="D369" s="8"/>
      <c r="E369" s="8"/>
      <c r="F369" s="3"/>
      <c r="G369" s="9"/>
      <c r="O369" s="3"/>
    </row>
    <row r="370" spans="4:15" x14ac:dyDescent="0.25">
      <c r="D370" s="8"/>
      <c r="E370" s="8"/>
      <c r="F370" s="3"/>
      <c r="G370" s="9"/>
      <c r="O370" s="3"/>
    </row>
    <row r="371" spans="4:15" x14ac:dyDescent="0.25">
      <c r="D371" s="8"/>
      <c r="E371" s="8"/>
      <c r="F371" s="3"/>
      <c r="G371" s="9"/>
      <c r="O371" s="3"/>
    </row>
    <row r="372" spans="4:15" x14ac:dyDescent="0.25">
      <c r="D372" s="8"/>
      <c r="E372" s="8"/>
      <c r="F372" s="3"/>
      <c r="G372" s="9"/>
      <c r="O372" s="3"/>
    </row>
    <row r="373" spans="4:15" x14ac:dyDescent="0.25">
      <c r="D373" s="8"/>
      <c r="E373" s="8"/>
      <c r="F373" s="3"/>
      <c r="G373" s="9"/>
      <c r="O373" s="3"/>
    </row>
    <row r="374" spans="4:15" x14ac:dyDescent="0.25">
      <c r="D374" s="8"/>
      <c r="E374" s="8"/>
      <c r="F374" s="3"/>
      <c r="G374" s="9"/>
      <c r="O374" s="3"/>
    </row>
    <row r="375" spans="4:15" x14ac:dyDescent="0.25">
      <c r="D375" s="8"/>
      <c r="E375" s="8"/>
      <c r="F375" s="3"/>
      <c r="G375" s="9"/>
      <c r="O375" s="3"/>
    </row>
    <row r="376" spans="4:15" x14ac:dyDescent="0.25">
      <c r="D376" s="8"/>
      <c r="E376" s="8"/>
      <c r="F376" s="3"/>
      <c r="G376" s="9"/>
      <c r="O376" s="3"/>
    </row>
    <row r="377" spans="4:15" x14ac:dyDescent="0.25">
      <c r="D377" s="8"/>
      <c r="E377" s="8"/>
      <c r="F377" s="3"/>
      <c r="O377" s="3"/>
    </row>
    <row r="378" spans="4:15" x14ac:dyDescent="0.25">
      <c r="D378" s="8"/>
      <c r="E378" s="8"/>
      <c r="F378" s="3"/>
      <c r="G378" s="9"/>
      <c r="O378" s="3"/>
    </row>
    <row r="379" spans="4:15" x14ac:dyDescent="0.25">
      <c r="D379" s="8"/>
      <c r="E379" s="8"/>
      <c r="F379" s="3"/>
      <c r="G379" s="9"/>
      <c r="O379" s="3"/>
    </row>
    <row r="380" spans="4:15" x14ac:dyDescent="0.25">
      <c r="D380" s="8"/>
      <c r="E380" s="8"/>
      <c r="F380" s="3"/>
      <c r="G380" s="9"/>
      <c r="O380" s="3"/>
    </row>
    <row r="381" spans="4:15" x14ac:dyDescent="0.25">
      <c r="D381" s="8"/>
      <c r="E381" s="8"/>
      <c r="F381" s="3"/>
      <c r="G381" s="9"/>
      <c r="O381" s="3"/>
    </row>
    <row r="382" spans="4:15" x14ac:dyDescent="0.25">
      <c r="D382" s="8"/>
      <c r="E382" s="8"/>
      <c r="F382" s="3"/>
      <c r="G382" s="9"/>
      <c r="O382" s="3"/>
    </row>
    <row r="383" spans="4:15" x14ac:dyDescent="0.25">
      <c r="D383" s="8"/>
      <c r="E383" s="8"/>
      <c r="F383" s="3"/>
      <c r="G383" s="9"/>
      <c r="O383" s="3"/>
    </row>
    <row r="384" spans="4:15" x14ac:dyDescent="0.25">
      <c r="D384" s="8"/>
      <c r="E384" s="8"/>
      <c r="F384" s="3"/>
      <c r="G384" s="9"/>
      <c r="O384" s="3"/>
    </row>
    <row r="385" spans="4:15" x14ac:dyDescent="0.25">
      <c r="D385" s="8"/>
      <c r="E385" s="8"/>
      <c r="F385" s="3"/>
      <c r="G385" s="9"/>
      <c r="O385" s="3"/>
    </row>
    <row r="386" spans="4:15" x14ac:dyDescent="0.25">
      <c r="D386" s="8"/>
      <c r="E386" s="8"/>
      <c r="F386" s="3"/>
      <c r="G386" s="9"/>
      <c r="O386" s="3"/>
    </row>
    <row r="387" spans="4:15" x14ac:dyDescent="0.25">
      <c r="D387" s="8"/>
      <c r="E387" s="8"/>
      <c r="F387" s="3"/>
      <c r="G387" s="9"/>
      <c r="O387" s="3"/>
    </row>
    <row r="388" spans="4:15" x14ac:dyDescent="0.25">
      <c r="D388" s="8"/>
      <c r="E388" s="8"/>
      <c r="F388" s="3"/>
      <c r="G388" s="9"/>
      <c r="O388" s="3"/>
    </row>
    <row r="389" spans="4:15" x14ac:dyDescent="0.25">
      <c r="D389" s="8"/>
      <c r="E389" s="8"/>
      <c r="F389" s="3"/>
      <c r="G389" s="9"/>
      <c r="O389" s="3"/>
    </row>
    <row r="390" spans="4:15" x14ac:dyDescent="0.25">
      <c r="D390" s="8"/>
      <c r="E390" s="8"/>
      <c r="F390" s="3"/>
      <c r="G390" s="9"/>
      <c r="O390" s="3"/>
    </row>
    <row r="391" spans="4:15" x14ac:dyDescent="0.25">
      <c r="D391" s="8"/>
      <c r="E391" s="8"/>
      <c r="F391" s="3"/>
      <c r="G391" s="9"/>
      <c r="O391" s="3"/>
    </row>
    <row r="392" spans="4:15" x14ac:dyDescent="0.25">
      <c r="D392" s="8"/>
      <c r="E392" s="8"/>
      <c r="F392" s="3"/>
      <c r="G392" s="9"/>
      <c r="O392" s="3"/>
    </row>
    <row r="393" spans="4:15" x14ac:dyDescent="0.25">
      <c r="D393" s="8"/>
      <c r="E393" s="8"/>
      <c r="F393" s="3"/>
      <c r="G393" s="9"/>
      <c r="O393" s="3"/>
    </row>
    <row r="394" spans="4:15" x14ac:dyDescent="0.25">
      <c r="D394" s="8"/>
      <c r="E394" s="8"/>
      <c r="F394" s="3"/>
      <c r="G394" s="9"/>
      <c r="O394" s="3"/>
    </row>
    <row r="395" spans="4:15" x14ac:dyDescent="0.25">
      <c r="D395" s="8"/>
      <c r="E395" s="8"/>
      <c r="F395" s="3"/>
      <c r="G395" s="9"/>
      <c r="O395" s="3"/>
    </row>
    <row r="396" spans="4:15" x14ac:dyDescent="0.25">
      <c r="D396" s="8"/>
      <c r="E396" s="8"/>
      <c r="F396" s="3"/>
      <c r="G396" s="9"/>
      <c r="O396" s="3"/>
    </row>
    <row r="397" spans="4:15" x14ac:dyDescent="0.25">
      <c r="D397" s="8"/>
      <c r="E397" s="8"/>
      <c r="F397" s="3"/>
      <c r="G397" s="9"/>
      <c r="O397" s="3"/>
    </row>
    <row r="398" spans="4:15" x14ac:dyDescent="0.25">
      <c r="D398" s="8"/>
      <c r="E398" s="8"/>
      <c r="F398" s="3"/>
      <c r="G398" s="9"/>
      <c r="O398" s="3"/>
    </row>
    <row r="399" spans="4:15" x14ac:dyDescent="0.25">
      <c r="D399" s="8"/>
      <c r="E399" s="8"/>
      <c r="F399" s="3"/>
      <c r="G399" s="9"/>
      <c r="O399" s="3"/>
    </row>
    <row r="400" spans="4:15" x14ac:dyDescent="0.25">
      <c r="D400" s="8"/>
      <c r="E400" s="8"/>
      <c r="F400" s="3"/>
      <c r="G400" s="9"/>
      <c r="O400" s="3"/>
    </row>
    <row r="401" spans="4:15" x14ac:dyDescent="0.25">
      <c r="D401" s="8"/>
      <c r="E401" s="8"/>
      <c r="F401" s="3"/>
      <c r="G401" s="9"/>
      <c r="O401" s="3"/>
    </row>
    <row r="402" spans="4:15" x14ac:dyDescent="0.25">
      <c r="D402" s="8"/>
      <c r="E402" s="8"/>
      <c r="F402" s="3"/>
      <c r="O402" s="3"/>
    </row>
    <row r="403" spans="4:15" x14ac:dyDescent="0.25">
      <c r="D403" s="8"/>
      <c r="E403" s="8"/>
      <c r="F403" s="3"/>
      <c r="G403" s="9"/>
      <c r="O403" s="3"/>
    </row>
    <row r="404" spans="4:15" x14ac:dyDescent="0.25">
      <c r="D404" s="8"/>
      <c r="E404" s="8"/>
      <c r="F404" s="3"/>
      <c r="G404" s="9"/>
      <c r="O404" s="3"/>
    </row>
    <row r="405" spans="4:15" x14ac:dyDescent="0.25">
      <c r="D405" s="8"/>
      <c r="E405" s="8"/>
      <c r="F405" s="3"/>
      <c r="G405" s="9"/>
      <c r="O405" s="3"/>
    </row>
    <row r="406" spans="4:15" x14ac:dyDescent="0.25">
      <c r="D406" s="8"/>
      <c r="E406" s="8"/>
      <c r="F406" s="3"/>
      <c r="G406" s="9"/>
      <c r="O406" s="3"/>
    </row>
    <row r="407" spans="4:15" x14ac:dyDescent="0.25">
      <c r="D407" s="8"/>
      <c r="E407" s="8"/>
      <c r="F407" s="3"/>
      <c r="G407" s="9"/>
      <c r="O407" s="3"/>
    </row>
    <row r="408" spans="4:15" x14ac:dyDescent="0.25">
      <c r="D408" s="8"/>
      <c r="E408" s="8"/>
      <c r="F408" s="3"/>
      <c r="G408" s="9"/>
      <c r="O408" s="3"/>
    </row>
    <row r="409" spans="4:15" x14ac:dyDescent="0.25">
      <c r="D409" s="8"/>
      <c r="E409" s="8"/>
      <c r="F409" s="3"/>
      <c r="G409" s="9"/>
      <c r="O409" s="3"/>
    </row>
    <row r="410" spans="4:15" x14ac:dyDescent="0.25">
      <c r="D410" s="8"/>
      <c r="E410" s="8"/>
      <c r="F410" s="3"/>
      <c r="G410" s="9"/>
      <c r="O410" s="3"/>
    </row>
    <row r="411" spans="4:15" x14ac:dyDescent="0.25">
      <c r="D411" s="8"/>
      <c r="E411" s="8"/>
      <c r="F411" s="3"/>
      <c r="G411" s="9"/>
      <c r="O411" s="3"/>
    </row>
    <row r="412" spans="4:15" x14ac:dyDescent="0.25">
      <c r="D412" s="8"/>
      <c r="E412" s="8"/>
      <c r="F412" s="3"/>
      <c r="G412" s="9"/>
      <c r="O412" s="3"/>
    </row>
    <row r="413" spans="4:15" x14ac:dyDescent="0.25">
      <c r="D413" s="8"/>
      <c r="E413" s="8"/>
      <c r="F413" s="3"/>
      <c r="G413" s="9"/>
      <c r="O413" s="3"/>
    </row>
    <row r="414" spans="4:15" x14ac:dyDescent="0.25">
      <c r="D414" s="8"/>
      <c r="E414" s="8"/>
      <c r="F414" s="3"/>
      <c r="G414" s="9"/>
      <c r="O414" s="3"/>
    </row>
    <row r="415" spans="4:15" x14ac:dyDescent="0.25">
      <c r="D415" s="8"/>
      <c r="E415" s="8"/>
      <c r="F415" s="3"/>
      <c r="G415" s="9"/>
      <c r="O415" s="3"/>
    </row>
    <row r="416" spans="4:15" x14ac:dyDescent="0.25">
      <c r="D416" s="8"/>
      <c r="E416" s="8"/>
      <c r="F416" s="3"/>
      <c r="G416" s="9"/>
      <c r="O416" s="3"/>
    </row>
    <row r="417" spans="4:15" x14ac:dyDescent="0.25">
      <c r="D417" s="8"/>
      <c r="E417" s="8"/>
      <c r="F417" s="3"/>
      <c r="G417" s="9"/>
      <c r="O417" s="3"/>
    </row>
    <row r="418" spans="4:15" x14ac:dyDescent="0.25">
      <c r="D418" s="8"/>
      <c r="E418" s="8"/>
      <c r="F418" s="3"/>
      <c r="G418" s="9"/>
      <c r="O418" s="3"/>
    </row>
    <row r="419" spans="4:15" x14ac:dyDescent="0.25">
      <c r="D419" s="8"/>
      <c r="E419" s="8"/>
      <c r="F419" s="3"/>
      <c r="G419" s="9"/>
      <c r="O419" s="3"/>
    </row>
    <row r="420" spans="4:15" x14ac:dyDescent="0.25">
      <c r="D420" s="8"/>
      <c r="E420" s="8"/>
      <c r="F420" s="3"/>
      <c r="G420" s="9"/>
      <c r="O420" s="3"/>
    </row>
    <row r="421" spans="4:15" x14ac:dyDescent="0.25">
      <c r="D421" s="8"/>
      <c r="E421" s="8"/>
      <c r="F421" s="3"/>
      <c r="G421" s="9"/>
      <c r="O421" s="3"/>
    </row>
    <row r="422" spans="4:15" x14ac:dyDescent="0.25">
      <c r="D422" s="8"/>
      <c r="E422" s="8"/>
      <c r="F422" s="3"/>
      <c r="G422" s="9"/>
      <c r="O422" s="3"/>
    </row>
    <row r="423" spans="4:15" x14ac:dyDescent="0.25">
      <c r="D423" s="8"/>
      <c r="E423" s="8"/>
      <c r="F423" s="3"/>
      <c r="G423" s="9"/>
      <c r="O423" s="3"/>
    </row>
    <row r="424" spans="4:15" x14ac:dyDescent="0.25">
      <c r="D424" s="8"/>
      <c r="E424" s="8"/>
      <c r="F424" s="3"/>
      <c r="G424" s="9"/>
      <c r="O424" s="3"/>
    </row>
    <row r="425" spans="4:15" x14ac:dyDescent="0.25">
      <c r="D425" s="8"/>
      <c r="E425" s="8"/>
      <c r="F425" s="3"/>
      <c r="G425" s="9"/>
      <c r="O425" s="3"/>
    </row>
    <row r="426" spans="4:15" x14ac:dyDescent="0.25">
      <c r="D426" s="8"/>
      <c r="E426" s="8"/>
      <c r="F426" s="3"/>
      <c r="G426" s="9"/>
      <c r="O426" s="3"/>
    </row>
    <row r="427" spans="4:15" x14ac:dyDescent="0.25">
      <c r="D427" s="8"/>
      <c r="E427" s="8"/>
      <c r="F427" s="3"/>
      <c r="O427" s="3"/>
    </row>
    <row r="428" spans="4:15" x14ac:dyDescent="0.25">
      <c r="D428" s="8"/>
      <c r="E428" s="8"/>
      <c r="F428" s="3"/>
      <c r="G428" s="9"/>
      <c r="O428" s="3"/>
    </row>
    <row r="429" spans="4:15" x14ac:dyDescent="0.25">
      <c r="D429" s="8"/>
      <c r="E429" s="8"/>
      <c r="F429" s="3"/>
      <c r="G429" s="9"/>
      <c r="O429" s="3"/>
    </row>
    <row r="430" spans="4:15" x14ac:dyDescent="0.25">
      <c r="D430" s="8"/>
      <c r="E430" s="8"/>
      <c r="F430" s="3"/>
      <c r="G430" s="9"/>
      <c r="O430" s="3"/>
    </row>
    <row r="431" spans="4:15" x14ac:dyDescent="0.25">
      <c r="D431" s="8"/>
      <c r="E431" s="8"/>
      <c r="F431" s="3"/>
      <c r="G431" s="9"/>
      <c r="O431" s="3"/>
    </row>
    <row r="432" spans="4:15" x14ac:dyDescent="0.25">
      <c r="D432" s="8"/>
      <c r="E432" s="8"/>
      <c r="F432" s="3"/>
      <c r="G432" s="9"/>
      <c r="O432" s="3"/>
    </row>
    <row r="433" spans="4:15" x14ac:dyDescent="0.25">
      <c r="D433" s="8"/>
      <c r="E433" s="8"/>
      <c r="F433" s="3"/>
      <c r="G433" s="9"/>
      <c r="O433" s="3"/>
    </row>
    <row r="434" spans="4:15" x14ac:dyDescent="0.25">
      <c r="D434" s="8"/>
      <c r="E434" s="8"/>
      <c r="F434" s="3"/>
      <c r="G434" s="9"/>
      <c r="O434" s="3"/>
    </row>
    <row r="435" spans="4:15" x14ac:dyDescent="0.25">
      <c r="D435" s="8"/>
      <c r="E435" s="8"/>
      <c r="F435" s="3"/>
      <c r="G435" s="9"/>
      <c r="O435" s="3"/>
    </row>
    <row r="436" spans="4:15" x14ac:dyDescent="0.25">
      <c r="D436" s="8"/>
      <c r="E436" s="8"/>
      <c r="F436" s="3"/>
      <c r="G436" s="9"/>
      <c r="O436" s="3"/>
    </row>
    <row r="437" spans="4:15" x14ac:dyDescent="0.25">
      <c r="D437" s="8"/>
      <c r="E437" s="8"/>
      <c r="F437" s="3"/>
      <c r="G437" s="9"/>
      <c r="O437" s="3"/>
    </row>
    <row r="438" spans="4:15" x14ac:dyDescent="0.25">
      <c r="D438" s="8"/>
      <c r="E438" s="8"/>
      <c r="F438" s="3"/>
      <c r="G438" s="9"/>
      <c r="O438" s="3"/>
    </row>
    <row r="439" spans="4:15" x14ac:dyDescent="0.25">
      <c r="D439" s="8"/>
      <c r="E439" s="8"/>
      <c r="F439" s="3"/>
      <c r="G439" s="9"/>
      <c r="O439" s="3"/>
    </row>
    <row r="440" spans="4:15" x14ac:dyDescent="0.25">
      <c r="D440" s="8"/>
      <c r="E440" s="8"/>
      <c r="F440" s="3"/>
      <c r="G440" s="9"/>
      <c r="O440" s="3"/>
    </row>
    <row r="441" spans="4:15" x14ac:dyDescent="0.25">
      <c r="D441" s="8"/>
      <c r="E441" s="8"/>
      <c r="F441" s="3"/>
      <c r="G441" s="9"/>
      <c r="O441" s="3"/>
    </row>
    <row r="442" spans="4:15" x14ac:dyDescent="0.25">
      <c r="D442" s="8"/>
      <c r="E442" s="8"/>
      <c r="F442" s="3"/>
      <c r="G442" s="9"/>
      <c r="O442" s="3"/>
    </row>
    <row r="443" spans="4:15" x14ac:dyDescent="0.25">
      <c r="D443" s="8"/>
      <c r="E443" s="8"/>
      <c r="F443" s="3"/>
      <c r="G443" s="9"/>
      <c r="O443" s="3"/>
    </row>
    <row r="444" spans="4:15" x14ac:dyDescent="0.25">
      <c r="D444" s="8"/>
      <c r="E444" s="8"/>
      <c r="F444" s="3"/>
      <c r="G444" s="9"/>
      <c r="O444" s="3"/>
    </row>
    <row r="445" spans="4:15" x14ac:dyDescent="0.25">
      <c r="D445" s="8"/>
      <c r="E445" s="8"/>
      <c r="F445" s="3"/>
      <c r="G445" s="9"/>
      <c r="O445" s="3"/>
    </row>
    <row r="446" spans="4:15" x14ac:dyDescent="0.25">
      <c r="D446" s="8"/>
      <c r="E446" s="8"/>
      <c r="F446" s="3"/>
      <c r="G446" s="9"/>
      <c r="O446" s="3"/>
    </row>
    <row r="447" spans="4:15" x14ac:dyDescent="0.25">
      <c r="D447" s="8"/>
      <c r="E447" s="8"/>
      <c r="F447" s="3"/>
      <c r="G447" s="9"/>
      <c r="O447" s="3"/>
    </row>
    <row r="448" spans="4:15" x14ac:dyDescent="0.25">
      <c r="D448" s="8"/>
      <c r="E448" s="8"/>
      <c r="F448" s="3"/>
      <c r="G448" s="9"/>
      <c r="O448" s="3"/>
    </row>
    <row r="449" spans="4:15" x14ac:dyDescent="0.25">
      <c r="D449" s="8"/>
      <c r="E449" s="8"/>
      <c r="F449" s="3"/>
      <c r="G449" s="9"/>
      <c r="O449" s="3"/>
    </row>
    <row r="450" spans="4:15" x14ac:dyDescent="0.25">
      <c r="D450" s="8"/>
      <c r="E450" s="8"/>
      <c r="F450" s="3"/>
      <c r="G450" s="9"/>
      <c r="O450" s="3"/>
    </row>
    <row r="451" spans="4:15" x14ac:dyDescent="0.25">
      <c r="D451" s="8"/>
      <c r="E451" s="8"/>
      <c r="F451" s="3"/>
      <c r="G451" s="9"/>
      <c r="O451" s="3"/>
    </row>
    <row r="452" spans="4:15" x14ac:dyDescent="0.25">
      <c r="D452" s="8"/>
      <c r="E452" s="8"/>
      <c r="F452" s="3"/>
      <c r="O452" s="3"/>
    </row>
    <row r="453" spans="4:15" x14ac:dyDescent="0.25">
      <c r="D453" s="8"/>
      <c r="E453" s="8"/>
      <c r="F453" s="3"/>
      <c r="G453" s="9"/>
      <c r="O453" s="3"/>
    </row>
    <row r="454" spans="4:15" x14ac:dyDescent="0.25">
      <c r="D454" s="8"/>
      <c r="E454" s="8"/>
      <c r="F454" s="3"/>
      <c r="G454" s="9"/>
      <c r="O454" s="3"/>
    </row>
    <row r="455" spans="4:15" x14ac:dyDescent="0.25">
      <c r="D455" s="8"/>
      <c r="E455" s="8"/>
      <c r="F455" s="3"/>
      <c r="G455" s="9"/>
      <c r="O455" s="3"/>
    </row>
    <row r="456" spans="4:15" x14ac:dyDescent="0.25">
      <c r="D456" s="8"/>
      <c r="E456" s="8"/>
      <c r="F456" s="3"/>
      <c r="G456" s="9"/>
      <c r="O456" s="3"/>
    </row>
    <row r="457" spans="4:15" x14ac:dyDescent="0.25">
      <c r="D457" s="8"/>
      <c r="E457" s="8"/>
      <c r="F457" s="3"/>
      <c r="G457" s="9"/>
      <c r="O457" s="3"/>
    </row>
    <row r="458" spans="4:15" x14ac:dyDescent="0.25">
      <c r="D458" s="8"/>
      <c r="E458" s="8"/>
      <c r="F458" s="3"/>
      <c r="G458" s="9"/>
      <c r="O458" s="3"/>
    </row>
    <row r="459" spans="4:15" x14ac:dyDescent="0.25">
      <c r="D459" s="8"/>
      <c r="E459" s="8"/>
      <c r="F459" s="3"/>
      <c r="G459" s="9"/>
      <c r="O459" s="3"/>
    </row>
    <row r="460" spans="4:15" x14ac:dyDescent="0.25">
      <c r="D460" s="8"/>
      <c r="E460" s="8"/>
      <c r="F460" s="3"/>
      <c r="G460" s="9"/>
      <c r="O460" s="3"/>
    </row>
    <row r="461" spans="4:15" x14ac:dyDescent="0.25">
      <c r="D461" s="8"/>
      <c r="E461" s="8"/>
      <c r="F461" s="3"/>
      <c r="G461" s="9"/>
      <c r="O461" s="3"/>
    </row>
    <row r="462" spans="4:15" x14ac:dyDescent="0.25">
      <c r="D462" s="8"/>
      <c r="E462" s="8"/>
      <c r="F462" s="3"/>
      <c r="G462" s="9"/>
      <c r="O462" s="3"/>
    </row>
    <row r="463" spans="4:15" x14ac:dyDescent="0.25">
      <c r="D463" s="8"/>
      <c r="E463" s="8"/>
      <c r="F463" s="3"/>
      <c r="G463" s="9"/>
      <c r="O463" s="3"/>
    </row>
    <row r="464" spans="4:15" x14ac:dyDescent="0.25">
      <c r="D464" s="8"/>
      <c r="E464" s="8"/>
      <c r="F464" s="3"/>
      <c r="G464" s="9"/>
      <c r="O464" s="3"/>
    </row>
    <row r="465" spans="4:15" x14ac:dyDescent="0.25">
      <c r="D465" s="8"/>
      <c r="E465" s="8"/>
      <c r="F465" s="3"/>
      <c r="G465" s="9"/>
      <c r="O465" s="3"/>
    </row>
    <row r="466" spans="4:15" x14ac:dyDescent="0.25">
      <c r="D466" s="8"/>
      <c r="E466" s="8"/>
      <c r="F466" s="3"/>
      <c r="G466" s="9"/>
      <c r="O466" s="3"/>
    </row>
    <row r="467" spans="4:15" x14ac:dyDescent="0.25">
      <c r="D467" s="8"/>
      <c r="E467" s="8"/>
      <c r="F467" s="3"/>
      <c r="G467" s="9"/>
      <c r="O467" s="3"/>
    </row>
    <row r="468" spans="4:15" x14ac:dyDescent="0.25">
      <c r="D468" s="8"/>
      <c r="E468" s="8"/>
      <c r="F468" s="3"/>
      <c r="G468" s="9"/>
      <c r="O468" s="3"/>
    </row>
    <row r="469" spans="4:15" x14ac:dyDescent="0.25">
      <c r="D469" s="8"/>
      <c r="E469" s="8"/>
      <c r="F469" s="3"/>
      <c r="G469" s="9"/>
      <c r="O469" s="3"/>
    </row>
    <row r="470" spans="4:15" x14ac:dyDescent="0.25">
      <c r="D470" s="8"/>
      <c r="E470" s="8"/>
      <c r="F470" s="3"/>
      <c r="G470" s="9"/>
      <c r="O470" s="3"/>
    </row>
    <row r="471" spans="4:15" x14ac:dyDescent="0.25">
      <c r="D471" s="8"/>
      <c r="E471" s="8"/>
      <c r="F471" s="3"/>
      <c r="G471" s="9"/>
      <c r="O471" s="3"/>
    </row>
    <row r="472" spans="4:15" x14ac:dyDescent="0.25">
      <c r="D472" s="8"/>
      <c r="E472" s="8"/>
      <c r="F472" s="3"/>
      <c r="G472" s="9"/>
      <c r="O472" s="3"/>
    </row>
    <row r="473" spans="4:15" x14ac:dyDescent="0.25">
      <c r="D473" s="8"/>
      <c r="E473" s="8"/>
      <c r="F473" s="3"/>
      <c r="G473" s="9"/>
      <c r="O473" s="3"/>
    </row>
    <row r="474" spans="4:15" x14ac:dyDescent="0.25">
      <c r="D474" s="8"/>
      <c r="E474" s="8"/>
      <c r="F474" s="3"/>
      <c r="G474" s="9"/>
      <c r="O474" s="3"/>
    </row>
    <row r="475" spans="4:15" x14ac:dyDescent="0.25">
      <c r="D475" s="8"/>
      <c r="E475" s="8"/>
      <c r="F475" s="3"/>
      <c r="G475" s="9"/>
      <c r="O475" s="3"/>
    </row>
    <row r="476" spans="4:15" x14ac:dyDescent="0.25">
      <c r="D476" s="8"/>
      <c r="E476" s="8"/>
      <c r="F476" s="3"/>
      <c r="G476" s="9"/>
      <c r="O476" s="3"/>
    </row>
    <row r="477" spans="4:15" x14ac:dyDescent="0.25">
      <c r="D477" s="8"/>
      <c r="E477" s="8"/>
      <c r="F477" s="3"/>
      <c r="O477" s="3"/>
    </row>
    <row r="478" spans="4:15" x14ac:dyDescent="0.25">
      <c r="D478" s="8"/>
      <c r="E478" s="8"/>
      <c r="F478" s="3"/>
      <c r="G478" s="9"/>
      <c r="O478" s="3"/>
    </row>
    <row r="479" spans="4:15" x14ac:dyDescent="0.25">
      <c r="D479" s="8"/>
      <c r="E479" s="8"/>
      <c r="F479" s="3"/>
      <c r="G479" s="9"/>
      <c r="O479" s="3"/>
    </row>
    <row r="480" spans="4:15" x14ac:dyDescent="0.25">
      <c r="D480" s="8"/>
      <c r="E480" s="8"/>
      <c r="F480" s="3"/>
      <c r="G480" s="9"/>
      <c r="O480" s="3"/>
    </row>
    <row r="481" spans="4:15" x14ac:dyDescent="0.25">
      <c r="D481" s="8"/>
      <c r="E481" s="8"/>
      <c r="F481" s="3"/>
      <c r="G481" s="9"/>
      <c r="O481" s="3"/>
    </row>
    <row r="482" spans="4:15" x14ac:dyDescent="0.25">
      <c r="D482" s="8"/>
      <c r="E482" s="8"/>
      <c r="F482" s="3"/>
      <c r="G482" s="9"/>
      <c r="O482" s="3"/>
    </row>
    <row r="483" spans="4:15" x14ac:dyDescent="0.25">
      <c r="D483" s="8"/>
      <c r="E483" s="8"/>
      <c r="F483" s="3"/>
      <c r="G483" s="9"/>
      <c r="O483" s="3"/>
    </row>
    <row r="484" spans="4:15" x14ac:dyDescent="0.25">
      <c r="D484" s="8"/>
      <c r="E484" s="8"/>
      <c r="F484" s="3"/>
      <c r="G484" s="9"/>
      <c r="O484" s="3"/>
    </row>
    <row r="485" spans="4:15" x14ac:dyDescent="0.25">
      <c r="D485" s="8"/>
      <c r="E485" s="8"/>
      <c r="F485" s="3"/>
      <c r="G485" s="9"/>
      <c r="O485" s="3"/>
    </row>
    <row r="486" spans="4:15" x14ac:dyDescent="0.25">
      <c r="D486" s="8"/>
      <c r="E486" s="8"/>
      <c r="F486" s="3"/>
      <c r="G486" s="9"/>
      <c r="O486" s="3"/>
    </row>
    <row r="487" spans="4:15" x14ac:dyDescent="0.25">
      <c r="D487" s="8"/>
      <c r="E487" s="8"/>
      <c r="F487" s="3"/>
      <c r="G487" s="9"/>
      <c r="O487" s="3"/>
    </row>
    <row r="488" spans="4:15" x14ac:dyDescent="0.25">
      <c r="D488" s="8"/>
      <c r="E488" s="8"/>
      <c r="F488" s="3"/>
      <c r="G488" s="9"/>
      <c r="O488" s="3"/>
    </row>
    <row r="489" spans="4:15" x14ac:dyDescent="0.25">
      <c r="D489" s="8"/>
      <c r="E489" s="8"/>
      <c r="F489" s="3"/>
      <c r="G489" s="9"/>
      <c r="O489" s="3"/>
    </row>
    <row r="490" spans="4:15" x14ac:dyDescent="0.25">
      <c r="D490" s="8"/>
      <c r="E490" s="8"/>
      <c r="F490" s="3"/>
      <c r="G490" s="9"/>
      <c r="O490" s="3"/>
    </row>
    <row r="491" spans="4:15" x14ac:dyDescent="0.25">
      <c r="D491" s="8"/>
      <c r="E491" s="8"/>
      <c r="F491" s="3"/>
      <c r="G491" s="9"/>
      <c r="O491" s="3"/>
    </row>
    <row r="492" spans="4:15" x14ac:dyDescent="0.25">
      <c r="D492" s="8"/>
      <c r="E492" s="8"/>
      <c r="F492" s="3"/>
      <c r="G492" s="9"/>
      <c r="O492" s="3"/>
    </row>
    <row r="493" spans="4:15" x14ac:dyDescent="0.25">
      <c r="D493" s="8"/>
      <c r="E493" s="8"/>
      <c r="F493" s="3"/>
      <c r="G493" s="9"/>
      <c r="O493" s="3"/>
    </row>
    <row r="494" spans="4:15" x14ac:dyDescent="0.25">
      <c r="D494" s="8"/>
      <c r="E494" s="8"/>
      <c r="F494" s="3"/>
      <c r="G494" s="9"/>
      <c r="O494" s="3"/>
    </row>
    <row r="495" spans="4:15" x14ac:dyDescent="0.25">
      <c r="D495" s="8"/>
      <c r="E495" s="8"/>
      <c r="F495" s="3"/>
      <c r="G495" s="9"/>
      <c r="O495" s="3"/>
    </row>
    <row r="496" spans="4:15" x14ac:dyDescent="0.25">
      <c r="D496" s="8"/>
      <c r="E496" s="8"/>
      <c r="F496" s="3"/>
      <c r="G496" s="9"/>
      <c r="O496" s="3"/>
    </row>
    <row r="497" spans="4:15" x14ac:dyDescent="0.25">
      <c r="D497" s="8"/>
      <c r="E497" s="8"/>
      <c r="F497" s="3"/>
      <c r="G497" s="9"/>
      <c r="O497" s="3"/>
    </row>
    <row r="498" spans="4:15" x14ac:dyDescent="0.25">
      <c r="D498" s="8"/>
      <c r="E498" s="8"/>
      <c r="F498" s="3"/>
      <c r="G498" s="9"/>
      <c r="O498" s="3"/>
    </row>
    <row r="499" spans="4:15" x14ac:dyDescent="0.25">
      <c r="D499" s="8"/>
      <c r="E499" s="8"/>
      <c r="F499" s="3"/>
      <c r="G499" s="9"/>
      <c r="O499" s="3"/>
    </row>
    <row r="500" spans="4:15" x14ac:dyDescent="0.25">
      <c r="D500" s="8"/>
      <c r="E500" s="8"/>
      <c r="F500" s="3"/>
      <c r="G500" s="9"/>
      <c r="O500" s="3"/>
    </row>
    <row r="501" spans="4:15" x14ac:dyDescent="0.25">
      <c r="D501" s="8"/>
      <c r="E501" s="8"/>
      <c r="F501" s="3"/>
      <c r="G501" s="9"/>
      <c r="O501" s="3"/>
    </row>
    <row r="502" spans="4:15" x14ac:dyDescent="0.25">
      <c r="D502" s="8"/>
      <c r="E502" s="8"/>
      <c r="F502" s="3"/>
      <c r="O502" s="3"/>
    </row>
    <row r="503" spans="4:15" x14ac:dyDescent="0.25">
      <c r="D503" s="8"/>
      <c r="E503" s="8"/>
      <c r="F503" s="3"/>
      <c r="G503" s="9"/>
      <c r="O503" s="3"/>
    </row>
    <row r="504" spans="4:15" x14ac:dyDescent="0.25">
      <c r="D504" s="8"/>
      <c r="E504" s="8"/>
      <c r="F504" s="3"/>
      <c r="G504" s="9"/>
      <c r="O504" s="3"/>
    </row>
    <row r="505" spans="4:15" x14ac:dyDescent="0.25">
      <c r="D505" s="8"/>
      <c r="E505" s="8"/>
      <c r="F505" s="3"/>
      <c r="G505" s="9"/>
      <c r="O505" s="3"/>
    </row>
    <row r="506" spans="4:15" x14ac:dyDescent="0.25">
      <c r="D506" s="8"/>
      <c r="E506" s="8"/>
      <c r="F506" s="3"/>
      <c r="G506" s="9"/>
      <c r="O506" s="3"/>
    </row>
    <row r="507" spans="4:15" x14ac:dyDescent="0.25">
      <c r="D507" s="8"/>
      <c r="E507" s="8"/>
      <c r="F507" s="3"/>
      <c r="G507" s="9"/>
      <c r="O507" s="3"/>
    </row>
    <row r="508" spans="4:15" x14ac:dyDescent="0.25">
      <c r="D508" s="8"/>
      <c r="E508" s="8"/>
      <c r="F508" s="3"/>
      <c r="G508" s="9"/>
      <c r="O508" s="3"/>
    </row>
    <row r="509" spans="4:15" x14ac:dyDescent="0.25">
      <c r="D509" s="8"/>
      <c r="E509" s="8"/>
      <c r="F509" s="3"/>
      <c r="G509" s="9"/>
      <c r="O509" s="3"/>
    </row>
    <row r="510" spans="4:15" x14ac:dyDescent="0.25">
      <c r="D510" s="8"/>
      <c r="E510" s="8"/>
      <c r="F510" s="3"/>
      <c r="G510" s="9"/>
      <c r="O510" s="3"/>
    </row>
    <row r="511" spans="4:15" x14ac:dyDescent="0.25">
      <c r="D511" s="8"/>
      <c r="E511" s="8"/>
      <c r="F511" s="3"/>
      <c r="G511" s="9"/>
      <c r="O511" s="3"/>
    </row>
    <row r="512" spans="4:15" x14ac:dyDescent="0.25">
      <c r="D512" s="8"/>
      <c r="E512" s="8"/>
      <c r="F512" s="3"/>
      <c r="G512" s="9"/>
      <c r="O512" s="3"/>
    </row>
    <row r="513" spans="4:15" x14ac:dyDescent="0.25">
      <c r="D513" s="8"/>
      <c r="E513" s="8"/>
      <c r="F513" s="3"/>
      <c r="G513" s="9"/>
      <c r="O513" s="3"/>
    </row>
    <row r="514" spans="4:15" x14ac:dyDescent="0.25">
      <c r="D514" s="8"/>
      <c r="E514" s="8"/>
      <c r="F514" s="3"/>
      <c r="G514" s="9"/>
      <c r="O514" s="3"/>
    </row>
    <row r="515" spans="4:15" x14ac:dyDescent="0.25">
      <c r="D515" s="8"/>
      <c r="E515" s="8"/>
      <c r="F515" s="3"/>
      <c r="G515" s="9"/>
      <c r="O515" s="3"/>
    </row>
    <row r="516" spans="4:15" x14ac:dyDescent="0.25">
      <c r="D516" s="8"/>
      <c r="E516" s="8"/>
      <c r="F516" s="3"/>
      <c r="G516" s="9"/>
      <c r="O516" s="3"/>
    </row>
    <row r="517" spans="4:15" x14ac:dyDescent="0.25">
      <c r="D517" s="8"/>
      <c r="E517" s="8"/>
      <c r="F517" s="3"/>
      <c r="G517" s="9"/>
      <c r="O517" s="3"/>
    </row>
    <row r="518" spans="4:15" x14ac:dyDescent="0.25">
      <c r="D518" s="8"/>
      <c r="E518" s="8"/>
      <c r="F518" s="3"/>
      <c r="G518" s="9"/>
      <c r="O518" s="3"/>
    </row>
    <row r="519" spans="4:15" x14ac:dyDescent="0.25">
      <c r="D519" s="8"/>
      <c r="E519" s="8"/>
      <c r="F519" s="3"/>
      <c r="G519" s="9"/>
      <c r="O519" s="3"/>
    </row>
    <row r="520" spans="4:15" x14ac:dyDescent="0.25">
      <c r="D520" s="8"/>
      <c r="E520" s="8"/>
      <c r="F520" s="3"/>
      <c r="G520" s="9"/>
      <c r="O520" s="3"/>
    </row>
    <row r="521" spans="4:15" x14ac:dyDescent="0.25">
      <c r="D521" s="8"/>
      <c r="E521" s="8"/>
      <c r="F521" s="3"/>
      <c r="G521" s="9"/>
      <c r="O521" s="3"/>
    </row>
    <row r="522" spans="4:15" x14ac:dyDescent="0.25">
      <c r="D522" s="8"/>
      <c r="E522" s="8"/>
      <c r="F522" s="3"/>
      <c r="G522" s="9"/>
      <c r="O522" s="3"/>
    </row>
    <row r="523" spans="4:15" x14ac:dyDescent="0.25">
      <c r="D523" s="8"/>
      <c r="E523" s="8"/>
      <c r="F523" s="3"/>
      <c r="G523" s="9"/>
      <c r="O523" s="3"/>
    </row>
    <row r="524" spans="4:15" x14ac:dyDescent="0.25">
      <c r="D524" s="8"/>
      <c r="E524" s="8"/>
      <c r="F524" s="3"/>
      <c r="G524" s="9"/>
      <c r="O524" s="3"/>
    </row>
    <row r="525" spans="4:15" x14ac:dyDescent="0.25">
      <c r="D525" s="8"/>
      <c r="E525" s="8"/>
      <c r="F525" s="3"/>
      <c r="G525" s="9"/>
      <c r="O525" s="3"/>
    </row>
    <row r="526" spans="4:15" x14ac:dyDescent="0.25">
      <c r="D526" s="8"/>
      <c r="E526" s="8"/>
      <c r="F526" s="3"/>
      <c r="G526" s="9"/>
      <c r="O526" s="3"/>
    </row>
    <row r="527" spans="4:15" x14ac:dyDescent="0.25">
      <c r="D527" s="8"/>
      <c r="E527" s="8"/>
      <c r="F527" s="3"/>
      <c r="O527" s="3"/>
    </row>
    <row r="528" spans="4:15" x14ac:dyDescent="0.25">
      <c r="D528" s="8"/>
      <c r="E528" s="8"/>
      <c r="F528" s="3"/>
      <c r="G528" s="9"/>
      <c r="O528" s="3"/>
    </row>
    <row r="529" spans="4:15" x14ac:dyDescent="0.25">
      <c r="D529" s="8"/>
      <c r="E529" s="8"/>
      <c r="F529" s="3"/>
      <c r="G529" s="9"/>
      <c r="O529" s="3"/>
    </row>
    <row r="530" spans="4:15" x14ac:dyDescent="0.25">
      <c r="D530" s="8"/>
      <c r="E530" s="8"/>
      <c r="F530" s="3"/>
      <c r="G530" s="9"/>
      <c r="O530" s="3"/>
    </row>
    <row r="531" spans="4:15" x14ac:dyDescent="0.25">
      <c r="D531" s="8"/>
      <c r="E531" s="8"/>
      <c r="F531" s="3"/>
      <c r="G531" s="9"/>
      <c r="O531" s="3"/>
    </row>
    <row r="532" spans="4:15" x14ac:dyDescent="0.25">
      <c r="D532" s="8"/>
      <c r="E532" s="8"/>
      <c r="F532" s="3"/>
      <c r="G532" s="9"/>
      <c r="O532" s="3"/>
    </row>
    <row r="533" spans="4:15" x14ac:dyDescent="0.25">
      <c r="D533" s="8"/>
      <c r="E533" s="8"/>
      <c r="F533" s="3"/>
      <c r="G533" s="9"/>
      <c r="O533" s="3"/>
    </row>
    <row r="534" spans="4:15" x14ac:dyDescent="0.25">
      <c r="D534" s="8"/>
      <c r="E534" s="8"/>
      <c r="F534" s="3"/>
      <c r="G534" s="9"/>
      <c r="O534" s="3"/>
    </row>
    <row r="535" spans="4:15" x14ac:dyDescent="0.25">
      <c r="D535" s="8"/>
      <c r="E535" s="8"/>
      <c r="F535" s="3"/>
      <c r="G535" s="9"/>
      <c r="O535" s="3"/>
    </row>
    <row r="536" spans="4:15" x14ac:dyDescent="0.25">
      <c r="D536" s="8"/>
      <c r="E536" s="8"/>
      <c r="F536" s="3"/>
      <c r="G536" s="9"/>
      <c r="O536" s="3"/>
    </row>
    <row r="537" spans="4:15" x14ac:dyDescent="0.25">
      <c r="D537" s="8"/>
      <c r="E537" s="8"/>
      <c r="F537" s="3"/>
      <c r="G537" s="9"/>
      <c r="O537" s="3"/>
    </row>
    <row r="538" spans="4:15" x14ac:dyDescent="0.25">
      <c r="D538" s="8"/>
      <c r="E538" s="8"/>
      <c r="F538" s="3"/>
      <c r="G538" s="9"/>
      <c r="O538" s="3"/>
    </row>
    <row r="539" spans="4:15" x14ac:dyDescent="0.25">
      <c r="D539" s="8"/>
      <c r="E539" s="8"/>
      <c r="F539" s="3"/>
      <c r="G539" s="9"/>
      <c r="O539" s="3"/>
    </row>
    <row r="540" spans="4:15" x14ac:dyDescent="0.25">
      <c r="D540" s="8"/>
      <c r="E540" s="8"/>
      <c r="F540" s="3"/>
      <c r="G540" s="9"/>
      <c r="O540" s="3"/>
    </row>
    <row r="541" spans="4:15" x14ac:dyDescent="0.25">
      <c r="D541" s="8"/>
      <c r="E541" s="8"/>
      <c r="F541" s="3"/>
      <c r="G541" s="9"/>
      <c r="O541" s="3"/>
    </row>
    <row r="542" spans="4:15" x14ac:dyDescent="0.25">
      <c r="D542" s="8"/>
      <c r="E542" s="8"/>
      <c r="F542" s="3"/>
      <c r="G542" s="9"/>
      <c r="O542" s="3"/>
    </row>
    <row r="543" spans="4:15" x14ac:dyDescent="0.25">
      <c r="D543" s="8"/>
      <c r="E543" s="8"/>
      <c r="F543" s="3"/>
      <c r="G543" s="9"/>
      <c r="O543" s="3"/>
    </row>
    <row r="544" spans="4:15" x14ac:dyDescent="0.25">
      <c r="D544" s="8"/>
      <c r="E544" s="8"/>
      <c r="F544" s="3"/>
      <c r="G544" s="9"/>
      <c r="O544" s="3"/>
    </row>
    <row r="545" spans="4:15" x14ac:dyDescent="0.25">
      <c r="D545" s="8"/>
      <c r="E545" s="8"/>
      <c r="F545" s="3"/>
      <c r="G545" s="9"/>
      <c r="O545" s="3"/>
    </row>
    <row r="546" spans="4:15" x14ac:dyDescent="0.25">
      <c r="D546" s="8"/>
      <c r="E546" s="8"/>
      <c r="F546" s="3"/>
      <c r="G546" s="9"/>
      <c r="O546" s="3"/>
    </row>
    <row r="547" spans="4:15" x14ac:dyDescent="0.25">
      <c r="D547" s="8"/>
      <c r="E547" s="8"/>
      <c r="F547" s="3"/>
      <c r="G547" s="9"/>
      <c r="O547" s="3"/>
    </row>
    <row r="548" spans="4:15" x14ac:dyDescent="0.25">
      <c r="D548" s="8"/>
      <c r="E548" s="8"/>
      <c r="F548" s="3"/>
      <c r="G548" s="9"/>
      <c r="O548" s="3"/>
    </row>
    <row r="549" spans="4:15" x14ac:dyDescent="0.25">
      <c r="D549" s="8"/>
      <c r="E549" s="8"/>
      <c r="F549" s="3"/>
      <c r="G549" s="9"/>
      <c r="O549" s="3"/>
    </row>
    <row r="550" spans="4:15" x14ac:dyDescent="0.25">
      <c r="D550" s="8"/>
      <c r="E550" s="8"/>
      <c r="F550" s="3"/>
      <c r="G550" s="9"/>
      <c r="O550" s="3"/>
    </row>
    <row r="551" spans="4:15" x14ac:dyDescent="0.25">
      <c r="D551" s="8"/>
      <c r="E551" s="8"/>
      <c r="F551" s="3"/>
      <c r="G551" s="9"/>
      <c r="O551" s="3"/>
    </row>
    <row r="552" spans="4:15" x14ac:dyDescent="0.25">
      <c r="D552" s="8"/>
      <c r="E552" s="8"/>
      <c r="F552" s="3"/>
      <c r="O552" s="3"/>
    </row>
    <row r="553" spans="4:15" x14ac:dyDescent="0.25">
      <c r="D553" s="8"/>
      <c r="E553" s="8"/>
      <c r="F553" s="3"/>
      <c r="G553" s="9"/>
      <c r="O553" s="3"/>
    </row>
    <row r="554" spans="4:15" x14ac:dyDescent="0.25">
      <c r="D554" s="8"/>
      <c r="E554" s="8"/>
      <c r="F554" s="3"/>
      <c r="G554" s="9"/>
      <c r="O554" s="3"/>
    </row>
    <row r="555" spans="4:15" x14ac:dyDescent="0.25">
      <c r="D555" s="8"/>
      <c r="E555" s="8"/>
      <c r="F555" s="3"/>
      <c r="G555" s="9"/>
      <c r="O555" s="3"/>
    </row>
    <row r="556" spans="4:15" x14ac:dyDescent="0.25">
      <c r="D556" s="8"/>
      <c r="E556" s="8"/>
      <c r="F556" s="3"/>
      <c r="G556" s="9"/>
      <c r="O556" s="3"/>
    </row>
    <row r="557" spans="4:15" x14ac:dyDescent="0.25">
      <c r="D557" s="8"/>
      <c r="E557" s="8"/>
      <c r="F557" s="3"/>
      <c r="G557" s="9"/>
      <c r="O557" s="3"/>
    </row>
    <row r="558" spans="4:15" x14ac:dyDescent="0.25">
      <c r="D558" s="8"/>
      <c r="E558" s="8"/>
      <c r="F558" s="3"/>
      <c r="G558" s="9"/>
      <c r="O558" s="3"/>
    </row>
    <row r="559" spans="4:15" x14ac:dyDescent="0.25">
      <c r="D559" s="8"/>
      <c r="E559" s="8"/>
      <c r="F559" s="3"/>
      <c r="G559" s="9"/>
      <c r="O559" s="3"/>
    </row>
    <row r="560" spans="4:15" x14ac:dyDescent="0.25">
      <c r="D560" s="8"/>
      <c r="E560" s="8"/>
      <c r="F560" s="3"/>
      <c r="G560" s="9"/>
      <c r="O560" s="3"/>
    </row>
    <row r="561" spans="4:15" x14ac:dyDescent="0.25">
      <c r="D561" s="8"/>
      <c r="E561" s="8"/>
      <c r="F561" s="3"/>
      <c r="G561" s="9"/>
      <c r="O561" s="3"/>
    </row>
    <row r="562" spans="4:15" x14ac:dyDescent="0.25">
      <c r="D562" s="8"/>
      <c r="E562" s="8"/>
      <c r="F562" s="3"/>
      <c r="G562" s="9"/>
      <c r="O562" s="3"/>
    </row>
    <row r="563" spans="4:15" x14ac:dyDescent="0.25">
      <c r="D563" s="8"/>
      <c r="E563" s="8"/>
      <c r="F563" s="3"/>
      <c r="G563" s="9"/>
      <c r="O563" s="3"/>
    </row>
    <row r="564" spans="4:15" x14ac:dyDescent="0.25">
      <c r="D564" s="8"/>
      <c r="E564" s="8"/>
      <c r="F564" s="3"/>
      <c r="G564" s="9"/>
      <c r="O564" s="3"/>
    </row>
    <row r="565" spans="4:15" x14ac:dyDescent="0.25">
      <c r="D565" s="8"/>
      <c r="E565" s="8"/>
      <c r="F565" s="3"/>
      <c r="G565" s="9"/>
      <c r="O565" s="3"/>
    </row>
    <row r="566" spans="4:15" x14ac:dyDescent="0.25">
      <c r="D566" s="8"/>
      <c r="E566" s="8"/>
      <c r="F566" s="3"/>
      <c r="G566" s="9"/>
      <c r="O566" s="3"/>
    </row>
    <row r="567" spans="4:15" x14ac:dyDescent="0.25">
      <c r="D567" s="8"/>
      <c r="E567" s="8"/>
      <c r="F567" s="3"/>
      <c r="G567" s="9"/>
      <c r="O567" s="3"/>
    </row>
    <row r="568" spans="4:15" x14ac:dyDescent="0.25">
      <c r="D568" s="8"/>
      <c r="E568" s="8"/>
      <c r="F568" s="3"/>
      <c r="G568" s="9"/>
      <c r="O568" s="3"/>
    </row>
    <row r="569" spans="4:15" x14ac:dyDescent="0.25">
      <c r="D569" s="8"/>
      <c r="E569" s="8"/>
      <c r="F569" s="3"/>
      <c r="G569" s="9"/>
      <c r="O569" s="3"/>
    </row>
    <row r="570" spans="4:15" x14ac:dyDescent="0.25">
      <c r="D570" s="8"/>
      <c r="E570" s="8"/>
      <c r="F570" s="3"/>
      <c r="G570" s="9"/>
      <c r="O570" s="3"/>
    </row>
    <row r="571" spans="4:15" x14ac:dyDescent="0.25">
      <c r="D571" s="8"/>
      <c r="E571" s="8"/>
      <c r="F571" s="3"/>
      <c r="G571" s="9"/>
      <c r="O571" s="3"/>
    </row>
    <row r="572" spans="4:15" x14ac:dyDescent="0.25">
      <c r="D572" s="8"/>
      <c r="E572" s="8"/>
      <c r="F572" s="3"/>
      <c r="G572" s="9"/>
      <c r="O572" s="3"/>
    </row>
    <row r="573" spans="4:15" x14ac:dyDescent="0.25">
      <c r="D573" s="8"/>
      <c r="E573" s="8"/>
      <c r="F573" s="3"/>
      <c r="G573" s="9"/>
      <c r="O573" s="3"/>
    </row>
    <row r="574" spans="4:15" x14ac:dyDescent="0.25">
      <c r="D574" s="8"/>
      <c r="E574" s="8"/>
      <c r="F574" s="3"/>
      <c r="G574" s="9"/>
      <c r="O574" s="3"/>
    </row>
    <row r="575" spans="4:15" x14ac:dyDescent="0.25">
      <c r="D575" s="8"/>
      <c r="E575" s="8"/>
      <c r="F575" s="3"/>
      <c r="G575" s="9"/>
      <c r="O575" s="3"/>
    </row>
    <row r="576" spans="4:15" x14ac:dyDescent="0.25">
      <c r="D576" s="8"/>
      <c r="E576" s="8"/>
      <c r="F576" s="3"/>
      <c r="G576" s="9"/>
      <c r="O576" s="3"/>
    </row>
    <row r="577" spans="4:15" x14ac:dyDescent="0.25">
      <c r="D577" s="8"/>
      <c r="E577" s="8"/>
      <c r="F577" s="3"/>
      <c r="O577" s="3"/>
    </row>
    <row r="578" spans="4:15" x14ac:dyDescent="0.25">
      <c r="D578" s="8"/>
      <c r="E578" s="8"/>
      <c r="F578" s="3"/>
      <c r="G578" s="9"/>
      <c r="O578" s="3"/>
    </row>
    <row r="579" spans="4:15" x14ac:dyDescent="0.25">
      <c r="D579" s="8"/>
      <c r="E579" s="8"/>
      <c r="F579" s="3"/>
      <c r="G579" s="9"/>
      <c r="O579" s="3"/>
    </row>
    <row r="580" spans="4:15" x14ac:dyDescent="0.25">
      <c r="D580" s="8"/>
      <c r="E580" s="8"/>
      <c r="F580" s="3"/>
      <c r="G580" s="9"/>
      <c r="O580" s="3"/>
    </row>
    <row r="581" spans="4:15" x14ac:dyDescent="0.25">
      <c r="D581" s="8"/>
      <c r="E581" s="8"/>
      <c r="F581" s="3"/>
      <c r="G581" s="9"/>
      <c r="O581" s="3"/>
    </row>
    <row r="582" spans="4:15" x14ac:dyDescent="0.25">
      <c r="D582" s="8"/>
      <c r="E582" s="8"/>
      <c r="F582" s="3"/>
      <c r="G582" s="9"/>
      <c r="O582" s="3"/>
    </row>
    <row r="583" spans="4:15" x14ac:dyDescent="0.25">
      <c r="D583" s="8"/>
      <c r="E583" s="8"/>
      <c r="F583" s="3"/>
      <c r="G583" s="9"/>
      <c r="O583" s="3"/>
    </row>
    <row r="584" spans="4:15" x14ac:dyDescent="0.25">
      <c r="D584" s="8"/>
      <c r="E584" s="8"/>
      <c r="F584" s="3"/>
      <c r="G584" s="9"/>
      <c r="O584" s="3"/>
    </row>
    <row r="585" spans="4:15" x14ac:dyDescent="0.25">
      <c r="D585" s="8"/>
      <c r="E585" s="8"/>
      <c r="F585" s="3"/>
      <c r="G585" s="9"/>
      <c r="O585" s="3"/>
    </row>
    <row r="586" spans="4:15" x14ac:dyDescent="0.25">
      <c r="D586" s="8"/>
      <c r="E586" s="8"/>
      <c r="F586" s="3"/>
      <c r="G586" s="9"/>
      <c r="O586" s="3"/>
    </row>
    <row r="587" spans="4:15" x14ac:dyDescent="0.25">
      <c r="D587" s="8"/>
      <c r="E587" s="8"/>
      <c r="F587" s="3"/>
      <c r="G587" s="9"/>
      <c r="O587" s="3"/>
    </row>
    <row r="588" spans="4:15" x14ac:dyDescent="0.25">
      <c r="D588" s="8"/>
      <c r="E588" s="8"/>
      <c r="F588" s="3"/>
      <c r="G588" s="9"/>
      <c r="O588" s="3"/>
    </row>
    <row r="589" spans="4:15" x14ac:dyDescent="0.25">
      <c r="D589" s="8"/>
      <c r="E589" s="8"/>
      <c r="F589" s="3"/>
      <c r="G589" s="9"/>
      <c r="O589" s="3"/>
    </row>
    <row r="590" spans="4:15" x14ac:dyDescent="0.25">
      <c r="D590" s="8"/>
      <c r="E590" s="8"/>
      <c r="F590" s="3"/>
      <c r="G590" s="9"/>
      <c r="O590" s="3"/>
    </row>
    <row r="591" spans="4:15" x14ac:dyDescent="0.25">
      <c r="D591" s="8"/>
      <c r="E591" s="8"/>
      <c r="F591" s="3"/>
      <c r="G591" s="9"/>
      <c r="O591" s="3"/>
    </row>
    <row r="592" spans="4:15" x14ac:dyDescent="0.25">
      <c r="D592" s="8"/>
      <c r="E592" s="8"/>
      <c r="F592" s="3"/>
      <c r="G592" s="9"/>
      <c r="O592" s="3"/>
    </row>
    <row r="593" spans="4:15" x14ac:dyDescent="0.25">
      <c r="D593" s="8"/>
      <c r="E593" s="8"/>
      <c r="F593" s="3"/>
      <c r="G593" s="9"/>
      <c r="O593" s="3"/>
    </row>
    <row r="594" spans="4:15" x14ac:dyDescent="0.25">
      <c r="D594" s="8"/>
      <c r="E594" s="8"/>
      <c r="F594" s="3"/>
      <c r="G594" s="9"/>
      <c r="O594" s="3"/>
    </row>
    <row r="595" spans="4:15" x14ac:dyDescent="0.25">
      <c r="D595" s="8"/>
      <c r="E595" s="8"/>
      <c r="F595" s="3"/>
      <c r="G595" s="9"/>
      <c r="O595" s="3"/>
    </row>
    <row r="596" spans="4:15" x14ac:dyDescent="0.25">
      <c r="D596" s="8"/>
      <c r="E596" s="8"/>
      <c r="F596" s="3"/>
      <c r="G596" s="9"/>
      <c r="O596" s="3"/>
    </row>
    <row r="597" spans="4:15" x14ac:dyDescent="0.25">
      <c r="D597" s="8"/>
      <c r="E597" s="8"/>
      <c r="F597" s="3"/>
      <c r="G597" s="9"/>
      <c r="O597" s="3"/>
    </row>
    <row r="598" spans="4:15" x14ac:dyDescent="0.25">
      <c r="D598" s="8"/>
      <c r="E598" s="8"/>
      <c r="F598" s="3"/>
      <c r="G598" s="9"/>
      <c r="O598" s="3"/>
    </row>
    <row r="599" spans="4:15" x14ac:dyDescent="0.25">
      <c r="D599" s="8"/>
      <c r="E599" s="8"/>
      <c r="F599" s="3"/>
      <c r="G599" s="9"/>
      <c r="O599" s="3"/>
    </row>
    <row r="600" spans="4:15" x14ac:dyDescent="0.25">
      <c r="D600" s="8"/>
      <c r="E600" s="8"/>
      <c r="F600" s="3"/>
      <c r="G600" s="9"/>
      <c r="O600" s="3"/>
    </row>
    <row r="601" spans="4:15" x14ac:dyDescent="0.25">
      <c r="D601" s="8"/>
      <c r="E601" s="8"/>
      <c r="F601" s="3"/>
      <c r="G601" s="9"/>
      <c r="O601" s="3"/>
    </row>
    <row r="602" spans="4:15" x14ac:dyDescent="0.25">
      <c r="D602" s="8"/>
      <c r="E602" s="8"/>
      <c r="F602" s="3"/>
      <c r="O602" s="3"/>
    </row>
    <row r="603" spans="4:15" x14ac:dyDescent="0.25">
      <c r="D603" s="8"/>
      <c r="E603" s="8"/>
      <c r="F603" s="3"/>
      <c r="G603" s="9"/>
      <c r="O603" s="3"/>
    </row>
    <row r="604" spans="4:15" x14ac:dyDescent="0.25">
      <c r="D604" s="8"/>
      <c r="E604" s="8"/>
      <c r="F604" s="3"/>
      <c r="G604" s="9"/>
      <c r="O604" s="3"/>
    </row>
    <row r="605" spans="4:15" x14ac:dyDescent="0.25">
      <c r="D605" s="8"/>
      <c r="E605" s="8"/>
      <c r="F605" s="3"/>
      <c r="G605" s="9"/>
      <c r="O605" s="3"/>
    </row>
    <row r="606" spans="4:15" x14ac:dyDescent="0.25">
      <c r="D606" s="8"/>
      <c r="E606" s="8"/>
      <c r="F606" s="3"/>
      <c r="G606" s="9"/>
      <c r="O606" s="3"/>
    </row>
    <row r="607" spans="4:15" x14ac:dyDescent="0.25">
      <c r="D607" s="8"/>
      <c r="E607" s="8"/>
      <c r="F607" s="3"/>
      <c r="G607" s="9"/>
      <c r="O607" s="3"/>
    </row>
    <row r="608" spans="4:15" x14ac:dyDescent="0.25">
      <c r="D608" s="8"/>
      <c r="E608" s="8"/>
      <c r="F608" s="3"/>
      <c r="G608" s="9"/>
      <c r="O608" s="3"/>
    </row>
    <row r="609" spans="4:15" x14ac:dyDescent="0.25">
      <c r="D609" s="8"/>
      <c r="E609" s="8"/>
      <c r="F609" s="3"/>
      <c r="G609" s="9"/>
      <c r="O609" s="3"/>
    </row>
    <row r="610" spans="4:15" x14ac:dyDescent="0.25">
      <c r="D610" s="8"/>
      <c r="E610" s="8"/>
      <c r="F610" s="3"/>
      <c r="G610" s="9"/>
      <c r="O610" s="3"/>
    </row>
    <row r="611" spans="4:15" x14ac:dyDescent="0.25">
      <c r="D611" s="8"/>
      <c r="E611" s="8"/>
      <c r="F611" s="3"/>
      <c r="G611" s="9"/>
      <c r="O611" s="3"/>
    </row>
    <row r="612" spans="4:15" x14ac:dyDescent="0.25">
      <c r="D612" s="8"/>
      <c r="E612" s="8"/>
      <c r="F612" s="3"/>
      <c r="G612" s="9"/>
      <c r="O612" s="3"/>
    </row>
    <row r="613" spans="4:15" x14ac:dyDescent="0.25">
      <c r="D613" s="8"/>
      <c r="E613" s="8"/>
      <c r="F613" s="3"/>
      <c r="G613" s="9"/>
      <c r="O613" s="3"/>
    </row>
    <row r="614" spans="4:15" x14ac:dyDescent="0.25">
      <c r="D614" s="8"/>
      <c r="E614" s="8"/>
      <c r="F614" s="3"/>
      <c r="G614" s="9"/>
      <c r="O614" s="3"/>
    </row>
    <row r="615" spans="4:15" x14ac:dyDescent="0.25">
      <c r="D615" s="8"/>
      <c r="E615" s="8"/>
      <c r="F615" s="3"/>
      <c r="G615" s="9"/>
      <c r="O615" s="3"/>
    </row>
    <row r="616" spans="4:15" x14ac:dyDescent="0.25">
      <c r="D616" s="8"/>
      <c r="E616" s="8"/>
      <c r="F616" s="3"/>
      <c r="G616" s="9"/>
      <c r="O616" s="3"/>
    </row>
    <row r="617" spans="4:15" x14ac:dyDescent="0.25">
      <c r="D617" s="8"/>
      <c r="E617" s="8"/>
      <c r="F617" s="3"/>
      <c r="G617" s="9"/>
      <c r="O617" s="3"/>
    </row>
    <row r="618" spans="4:15" x14ac:dyDescent="0.25">
      <c r="D618" s="8"/>
      <c r="E618" s="8"/>
      <c r="F618" s="3"/>
      <c r="G618" s="9"/>
      <c r="O618" s="3"/>
    </row>
    <row r="619" spans="4:15" x14ac:dyDescent="0.25">
      <c r="D619" s="8"/>
      <c r="E619" s="8"/>
      <c r="F619" s="3"/>
      <c r="G619" s="9"/>
      <c r="O619" s="3"/>
    </row>
    <row r="620" spans="4:15" x14ac:dyDescent="0.25">
      <c r="D620" s="8"/>
      <c r="E620" s="8"/>
      <c r="F620" s="3"/>
      <c r="G620" s="9"/>
      <c r="O620" s="3"/>
    </row>
    <row r="621" spans="4:15" x14ac:dyDescent="0.25">
      <c r="D621" s="8"/>
      <c r="E621" s="8"/>
      <c r="F621" s="3"/>
      <c r="G621" s="9"/>
      <c r="O621" s="3"/>
    </row>
    <row r="622" spans="4:15" x14ac:dyDescent="0.25">
      <c r="D622" s="8"/>
      <c r="E622" s="8"/>
      <c r="F622" s="3"/>
      <c r="G622" s="9"/>
      <c r="O622" s="3"/>
    </row>
    <row r="623" spans="4:15" x14ac:dyDescent="0.25">
      <c r="D623" s="8"/>
      <c r="E623" s="8"/>
      <c r="F623" s="3"/>
      <c r="G623" s="9"/>
      <c r="O623" s="3"/>
    </row>
    <row r="624" spans="4:15" x14ac:dyDescent="0.25">
      <c r="D624" s="8"/>
      <c r="E624" s="8"/>
      <c r="F624" s="3"/>
      <c r="G624" s="9"/>
      <c r="O624" s="3"/>
    </row>
    <row r="625" spans="4:15" x14ac:dyDescent="0.25">
      <c r="D625" s="8"/>
      <c r="E625" s="8"/>
      <c r="F625" s="3"/>
      <c r="G625" s="9"/>
      <c r="O625" s="3"/>
    </row>
    <row r="626" spans="4:15" x14ac:dyDescent="0.25">
      <c r="D626" s="8"/>
      <c r="E626" s="8"/>
      <c r="F626" s="3"/>
      <c r="G626" s="9"/>
      <c r="O626" s="3"/>
    </row>
    <row r="627" spans="4:15" x14ac:dyDescent="0.25">
      <c r="D627" s="8"/>
      <c r="E627" s="8"/>
      <c r="F627" s="3"/>
      <c r="O627" s="3"/>
    </row>
    <row r="628" spans="4:15" x14ac:dyDescent="0.25">
      <c r="D628" s="8"/>
      <c r="E628" s="8"/>
      <c r="F628" s="3"/>
      <c r="G628" s="9"/>
      <c r="O628" s="3"/>
    </row>
    <row r="629" spans="4:15" x14ac:dyDescent="0.25">
      <c r="D629" s="8"/>
      <c r="E629" s="8"/>
      <c r="F629" s="3"/>
      <c r="G629" s="9"/>
      <c r="O629" s="3"/>
    </row>
    <row r="630" spans="4:15" x14ac:dyDescent="0.25">
      <c r="D630" s="8"/>
      <c r="E630" s="8"/>
      <c r="F630" s="3"/>
      <c r="G630" s="9"/>
      <c r="O630" s="3"/>
    </row>
    <row r="631" spans="4:15" x14ac:dyDescent="0.25">
      <c r="D631" s="8"/>
      <c r="E631" s="8"/>
      <c r="F631" s="3"/>
      <c r="G631" s="9"/>
      <c r="O631" s="3"/>
    </row>
    <row r="632" spans="4:15" x14ac:dyDescent="0.25">
      <c r="D632" s="8"/>
      <c r="E632" s="8"/>
      <c r="F632" s="3"/>
      <c r="G632" s="9"/>
      <c r="O632" s="3"/>
    </row>
    <row r="633" spans="4:15" x14ac:dyDescent="0.25">
      <c r="D633" s="8"/>
      <c r="E633" s="8"/>
      <c r="F633" s="3"/>
      <c r="G633" s="9"/>
      <c r="O633" s="3"/>
    </row>
    <row r="634" spans="4:15" x14ac:dyDescent="0.25">
      <c r="D634" s="8"/>
      <c r="E634" s="8"/>
      <c r="F634" s="3"/>
      <c r="G634" s="9"/>
      <c r="O634" s="3"/>
    </row>
    <row r="635" spans="4:15" x14ac:dyDescent="0.25">
      <c r="D635" s="8"/>
      <c r="E635" s="8"/>
      <c r="F635" s="3"/>
      <c r="G635" s="9"/>
      <c r="O635" s="3"/>
    </row>
    <row r="636" spans="4:15" x14ac:dyDescent="0.25">
      <c r="D636" s="8"/>
      <c r="E636" s="8"/>
      <c r="F636" s="3"/>
      <c r="G636" s="9"/>
      <c r="O636" s="3"/>
    </row>
    <row r="637" spans="4:15" x14ac:dyDescent="0.25">
      <c r="D637" s="8"/>
      <c r="E637" s="8"/>
      <c r="F637" s="3"/>
      <c r="G637" s="9"/>
      <c r="O637" s="3"/>
    </row>
    <row r="638" spans="4:15" x14ac:dyDescent="0.25">
      <c r="D638" s="8"/>
      <c r="E638" s="8"/>
      <c r="F638" s="3"/>
      <c r="G638" s="9"/>
      <c r="O638" s="3"/>
    </row>
    <row r="639" spans="4:15" x14ac:dyDescent="0.25">
      <c r="D639" s="8"/>
      <c r="E639" s="8"/>
      <c r="F639" s="3"/>
      <c r="G639" s="9"/>
      <c r="O639" s="3"/>
    </row>
    <row r="640" spans="4:15" x14ac:dyDescent="0.25">
      <c r="D640" s="8"/>
      <c r="E640" s="8"/>
      <c r="F640" s="3"/>
      <c r="G640" s="9"/>
      <c r="O640" s="3"/>
    </row>
    <row r="641" spans="4:15" x14ac:dyDescent="0.25">
      <c r="D641" s="8"/>
      <c r="E641" s="8"/>
      <c r="F641" s="3"/>
      <c r="G641" s="9"/>
      <c r="O641" s="3"/>
    </row>
    <row r="642" spans="4:15" x14ac:dyDescent="0.25">
      <c r="D642" s="8"/>
      <c r="E642" s="8"/>
      <c r="F642" s="3"/>
      <c r="G642" s="9"/>
      <c r="O642" s="3"/>
    </row>
    <row r="643" spans="4:15" x14ac:dyDescent="0.25">
      <c r="D643" s="8"/>
      <c r="E643" s="8"/>
      <c r="F643" s="3"/>
      <c r="G643" s="9"/>
      <c r="O643" s="3"/>
    </row>
    <row r="644" spans="4:15" x14ac:dyDescent="0.25">
      <c r="D644" s="8"/>
      <c r="E644" s="8"/>
      <c r="F644" s="3"/>
      <c r="G644" s="9"/>
      <c r="O644" s="3"/>
    </row>
    <row r="645" spans="4:15" x14ac:dyDescent="0.25">
      <c r="D645" s="8"/>
      <c r="E645" s="8"/>
      <c r="F645" s="3"/>
      <c r="G645" s="9"/>
      <c r="O645" s="3"/>
    </row>
    <row r="646" spans="4:15" x14ac:dyDescent="0.25">
      <c r="D646" s="8"/>
      <c r="E646" s="8"/>
      <c r="F646" s="3"/>
      <c r="G646" s="9"/>
      <c r="O646" s="3"/>
    </row>
    <row r="647" spans="4:15" x14ac:dyDescent="0.25">
      <c r="D647" s="8"/>
      <c r="E647" s="8"/>
      <c r="F647" s="3"/>
      <c r="G647" s="9"/>
      <c r="O647" s="3"/>
    </row>
    <row r="648" spans="4:15" x14ac:dyDescent="0.25">
      <c r="D648" s="8"/>
      <c r="E648" s="8"/>
      <c r="F648" s="3"/>
      <c r="G648" s="9"/>
      <c r="O648" s="3"/>
    </row>
    <row r="649" spans="4:15" x14ac:dyDescent="0.25">
      <c r="D649" s="8"/>
      <c r="E649" s="8"/>
      <c r="F649" s="3"/>
      <c r="G649" s="9"/>
      <c r="O649" s="3"/>
    </row>
    <row r="650" spans="4:15" x14ac:dyDescent="0.25">
      <c r="D650" s="8"/>
      <c r="E650" s="8"/>
      <c r="F650" s="3"/>
      <c r="G650" s="9"/>
      <c r="O650" s="3"/>
    </row>
    <row r="651" spans="4:15" x14ac:dyDescent="0.25">
      <c r="D651" s="8"/>
      <c r="E651" s="8"/>
      <c r="F651" s="3"/>
      <c r="G651" s="9"/>
      <c r="O651" s="3"/>
    </row>
    <row r="652" spans="4:15" x14ac:dyDescent="0.25">
      <c r="D652" s="8"/>
      <c r="E652" s="8"/>
      <c r="F652" s="3"/>
      <c r="O652" s="3"/>
    </row>
    <row r="653" spans="4:15" x14ac:dyDescent="0.25">
      <c r="D653" s="8"/>
      <c r="E653" s="8"/>
      <c r="F653" s="3"/>
      <c r="G653" s="9"/>
      <c r="O653" s="3"/>
    </row>
    <row r="654" spans="4:15" x14ac:dyDescent="0.25">
      <c r="D654" s="8"/>
      <c r="E654" s="8"/>
      <c r="F654" s="3"/>
      <c r="G654" s="9"/>
      <c r="O654" s="3"/>
    </row>
    <row r="655" spans="4:15" x14ac:dyDescent="0.25">
      <c r="D655" s="8"/>
      <c r="E655" s="8"/>
      <c r="F655" s="3"/>
      <c r="G655" s="9"/>
      <c r="O655" s="3"/>
    </row>
    <row r="656" spans="4:15" x14ac:dyDescent="0.25">
      <c r="D656" s="8"/>
      <c r="E656" s="8"/>
      <c r="F656" s="3"/>
      <c r="G656" s="9"/>
      <c r="O656" s="3"/>
    </row>
    <row r="657" spans="4:15" x14ac:dyDescent="0.25">
      <c r="D657" s="8"/>
      <c r="E657" s="8"/>
      <c r="F657" s="3"/>
      <c r="G657" s="9"/>
      <c r="O657" s="3"/>
    </row>
    <row r="658" spans="4:15" x14ac:dyDescent="0.25">
      <c r="D658" s="8"/>
      <c r="E658" s="8"/>
      <c r="F658" s="3"/>
      <c r="G658" s="9"/>
      <c r="O658" s="3"/>
    </row>
    <row r="659" spans="4:15" x14ac:dyDescent="0.25">
      <c r="D659" s="8"/>
      <c r="E659" s="8"/>
      <c r="F659" s="3"/>
      <c r="G659" s="9"/>
      <c r="O659" s="3"/>
    </row>
    <row r="660" spans="4:15" x14ac:dyDescent="0.25">
      <c r="D660" s="8"/>
      <c r="E660" s="8"/>
      <c r="F660" s="3"/>
      <c r="G660" s="9"/>
      <c r="O660" s="3"/>
    </row>
    <row r="661" spans="4:15" x14ac:dyDescent="0.25">
      <c r="D661" s="8"/>
      <c r="E661" s="8"/>
      <c r="F661" s="3"/>
      <c r="G661" s="9"/>
      <c r="O661" s="3"/>
    </row>
    <row r="662" spans="4:15" x14ac:dyDescent="0.25">
      <c r="D662" s="8"/>
      <c r="E662" s="8"/>
      <c r="F662" s="3"/>
      <c r="G662" s="9"/>
      <c r="O662" s="3"/>
    </row>
    <row r="663" spans="4:15" x14ac:dyDescent="0.25">
      <c r="D663" s="8"/>
      <c r="E663" s="8"/>
      <c r="F663" s="3"/>
      <c r="G663" s="9"/>
      <c r="O663" s="3"/>
    </row>
    <row r="664" spans="4:15" x14ac:dyDescent="0.25">
      <c r="D664" s="8"/>
      <c r="E664" s="8"/>
      <c r="F664" s="3"/>
      <c r="G664" s="9"/>
      <c r="O664" s="3"/>
    </row>
    <row r="665" spans="4:15" x14ac:dyDescent="0.25">
      <c r="D665" s="8"/>
      <c r="E665" s="8"/>
      <c r="F665" s="3"/>
      <c r="G665" s="9"/>
      <c r="O665" s="3"/>
    </row>
    <row r="666" spans="4:15" x14ac:dyDescent="0.25">
      <c r="D666" s="8"/>
      <c r="E666" s="8"/>
      <c r="F666" s="3"/>
      <c r="G666" s="9"/>
      <c r="O666" s="3"/>
    </row>
    <row r="667" spans="4:15" x14ac:dyDescent="0.25">
      <c r="D667" s="8"/>
      <c r="E667" s="8"/>
      <c r="F667" s="3"/>
      <c r="G667" s="9"/>
      <c r="O667" s="3"/>
    </row>
    <row r="668" spans="4:15" x14ac:dyDescent="0.25">
      <c r="D668" s="8"/>
      <c r="E668" s="8"/>
      <c r="F668" s="3"/>
      <c r="G668" s="9"/>
      <c r="O668" s="3"/>
    </row>
    <row r="669" spans="4:15" x14ac:dyDescent="0.25">
      <c r="D669" s="8"/>
      <c r="E669" s="8"/>
      <c r="F669" s="3"/>
      <c r="G669" s="9"/>
      <c r="O669" s="3"/>
    </row>
    <row r="670" spans="4:15" x14ac:dyDescent="0.25">
      <c r="D670" s="8"/>
      <c r="E670" s="8"/>
      <c r="F670" s="3"/>
      <c r="G670" s="9"/>
      <c r="O670" s="3"/>
    </row>
    <row r="671" spans="4:15" x14ac:dyDescent="0.25">
      <c r="D671" s="8"/>
      <c r="E671" s="8"/>
      <c r="F671" s="3"/>
      <c r="G671" s="9"/>
      <c r="O671" s="3"/>
    </row>
    <row r="672" spans="4:15" x14ac:dyDescent="0.25">
      <c r="D672" s="8"/>
      <c r="E672" s="8"/>
      <c r="F672" s="3"/>
      <c r="G672" s="9"/>
      <c r="O672" s="3"/>
    </row>
    <row r="673" spans="4:15" x14ac:dyDescent="0.25">
      <c r="D673" s="8"/>
      <c r="E673" s="8"/>
      <c r="F673" s="3"/>
      <c r="G673" s="9"/>
      <c r="O673" s="3"/>
    </row>
    <row r="674" spans="4:15" x14ac:dyDescent="0.25">
      <c r="D674" s="8"/>
      <c r="E674" s="8"/>
      <c r="F674" s="3"/>
      <c r="G674" s="9"/>
      <c r="O674" s="3"/>
    </row>
    <row r="675" spans="4:15" x14ac:dyDescent="0.25">
      <c r="D675" s="8"/>
      <c r="E675" s="8"/>
      <c r="F675" s="3"/>
      <c r="G675" s="9"/>
      <c r="O675" s="3"/>
    </row>
    <row r="676" spans="4:15" x14ac:dyDescent="0.25">
      <c r="D676" s="8"/>
      <c r="E676" s="8"/>
      <c r="F676" s="3"/>
      <c r="G676" s="9"/>
      <c r="O676" s="3"/>
    </row>
    <row r="677" spans="4:15" x14ac:dyDescent="0.25">
      <c r="D677" s="8"/>
      <c r="E677" s="8"/>
      <c r="F677" s="3"/>
      <c r="O677" s="3"/>
    </row>
    <row r="678" spans="4:15" x14ac:dyDescent="0.25">
      <c r="D678" s="8"/>
      <c r="E678" s="8"/>
      <c r="F678" s="3"/>
      <c r="G678" s="9"/>
      <c r="O678" s="3"/>
    </row>
    <row r="679" spans="4:15" x14ac:dyDescent="0.25">
      <c r="D679" s="8"/>
      <c r="E679" s="8"/>
      <c r="F679" s="3"/>
      <c r="G679" s="9"/>
      <c r="O679" s="3"/>
    </row>
    <row r="680" spans="4:15" x14ac:dyDescent="0.25">
      <c r="D680" s="8"/>
      <c r="E680" s="8"/>
      <c r="F680" s="3"/>
      <c r="G680" s="9"/>
      <c r="O680" s="3"/>
    </row>
    <row r="681" spans="4:15" x14ac:dyDescent="0.25">
      <c r="D681" s="8"/>
      <c r="E681" s="8"/>
      <c r="F681" s="3"/>
      <c r="G681" s="9"/>
      <c r="O681" s="3"/>
    </row>
    <row r="682" spans="4:15" x14ac:dyDescent="0.25">
      <c r="D682" s="8"/>
      <c r="E682" s="8"/>
      <c r="F682" s="3"/>
      <c r="G682" s="9"/>
      <c r="O682" s="3"/>
    </row>
    <row r="683" spans="4:15" x14ac:dyDescent="0.25">
      <c r="D683" s="8"/>
      <c r="E683" s="8"/>
      <c r="F683" s="3"/>
      <c r="G683" s="9"/>
      <c r="O683" s="3"/>
    </row>
    <row r="684" spans="4:15" x14ac:dyDescent="0.25">
      <c r="D684" s="8"/>
      <c r="E684" s="8"/>
      <c r="F684" s="3"/>
      <c r="G684" s="9"/>
      <c r="O684" s="3"/>
    </row>
    <row r="685" spans="4:15" x14ac:dyDescent="0.25">
      <c r="D685" s="8"/>
      <c r="E685" s="8"/>
      <c r="F685" s="3"/>
      <c r="G685" s="9"/>
      <c r="O685" s="3"/>
    </row>
    <row r="686" spans="4:15" x14ac:dyDescent="0.25">
      <c r="D686" s="8"/>
      <c r="E686" s="8"/>
      <c r="F686" s="3"/>
      <c r="G686" s="9"/>
      <c r="O686" s="3"/>
    </row>
    <row r="687" spans="4:15" x14ac:dyDescent="0.25">
      <c r="D687" s="8"/>
      <c r="E687" s="8"/>
      <c r="F687" s="3"/>
      <c r="G687" s="9"/>
      <c r="O687" s="3"/>
    </row>
    <row r="688" spans="4:15" x14ac:dyDescent="0.25">
      <c r="D688" s="8"/>
      <c r="E688" s="8"/>
      <c r="F688" s="3"/>
      <c r="G688" s="9"/>
      <c r="O688" s="3"/>
    </row>
    <row r="689" spans="4:15" x14ac:dyDescent="0.25">
      <c r="D689" s="8"/>
      <c r="E689" s="8"/>
      <c r="F689" s="3"/>
      <c r="G689" s="9"/>
      <c r="O689" s="3"/>
    </row>
    <row r="690" spans="4:15" x14ac:dyDescent="0.25">
      <c r="D690" s="8"/>
      <c r="E690" s="8"/>
      <c r="F690" s="3"/>
      <c r="G690" s="9"/>
      <c r="O690" s="3"/>
    </row>
    <row r="691" spans="4:15" x14ac:dyDescent="0.25">
      <c r="D691" s="8"/>
      <c r="E691" s="8"/>
      <c r="F691" s="3"/>
      <c r="G691" s="9"/>
      <c r="O691" s="3"/>
    </row>
    <row r="692" spans="4:15" x14ac:dyDescent="0.25">
      <c r="D692" s="8"/>
      <c r="E692" s="8"/>
      <c r="F692" s="3"/>
      <c r="G692" s="9"/>
      <c r="O692" s="3"/>
    </row>
    <row r="693" spans="4:15" x14ac:dyDescent="0.25">
      <c r="D693" s="8"/>
      <c r="E693" s="8"/>
      <c r="F693" s="3"/>
      <c r="G693" s="9"/>
      <c r="O693" s="3"/>
    </row>
    <row r="694" spans="4:15" x14ac:dyDescent="0.25">
      <c r="D694" s="8"/>
      <c r="E694" s="8"/>
      <c r="F694" s="3"/>
      <c r="G694" s="9"/>
      <c r="O694" s="3"/>
    </row>
    <row r="695" spans="4:15" x14ac:dyDescent="0.25">
      <c r="D695" s="8"/>
      <c r="E695" s="8"/>
      <c r="F695" s="3"/>
      <c r="G695" s="9"/>
      <c r="O695" s="3"/>
    </row>
    <row r="696" spans="4:15" x14ac:dyDescent="0.25">
      <c r="D696" s="8"/>
      <c r="E696" s="8"/>
      <c r="F696" s="3"/>
      <c r="G696" s="9"/>
      <c r="O696" s="3"/>
    </row>
    <row r="697" spans="4:15" x14ac:dyDescent="0.25">
      <c r="D697" s="8"/>
      <c r="E697" s="8"/>
      <c r="F697" s="3"/>
      <c r="G697" s="9"/>
      <c r="O697" s="3"/>
    </row>
    <row r="698" spans="4:15" x14ac:dyDescent="0.25">
      <c r="D698" s="8"/>
      <c r="E698" s="8"/>
      <c r="F698" s="3"/>
      <c r="G698" s="9"/>
      <c r="O698" s="3"/>
    </row>
    <row r="699" spans="4:15" x14ac:dyDescent="0.25">
      <c r="D699" s="8"/>
      <c r="E699" s="8"/>
      <c r="F699" s="3"/>
      <c r="G699" s="9"/>
      <c r="O699" s="3"/>
    </row>
    <row r="700" spans="4:15" x14ac:dyDescent="0.25">
      <c r="D700" s="8"/>
      <c r="E700" s="8"/>
      <c r="F700" s="3"/>
      <c r="G700" s="9"/>
      <c r="O700" s="3"/>
    </row>
    <row r="701" spans="4:15" x14ac:dyDescent="0.25">
      <c r="D701" s="8"/>
      <c r="E701" s="8"/>
      <c r="F701" s="3"/>
      <c r="G701" s="9"/>
      <c r="O701" s="3"/>
    </row>
    <row r="702" spans="4:15" x14ac:dyDescent="0.25">
      <c r="D702" s="8"/>
      <c r="E702" s="8"/>
      <c r="F702" s="3"/>
      <c r="O702" s="3"/>
    </row>
    <row r="703" spans="4:15" x14ac:dyDescent="0.25">
      <c r="D703" s="8"/>
      <c r="E703" s="8"/>
      <c r="F703" s="3"/>
      <c r="G703" s="9"/>
      <c r="O703" s="3"/>
    </row>
    <row r="704" spans="4:15" x14ac:dyDescent="0.25">
      <c r="D704" s="8"/>
      <c r="E704" s="8"/>
      <c r="F704" s="3"/>
      <c r="G704" s="9"/>
      <c r="O704" s="3"/>
    </row>
    <row r="705" spans="4:15" x14ac:dyDescent="0.25">
      <c r="D705" s="8"/>
      <c r="E705" s="8"/>
      <c r="F705" s="3"/>
      <c r="G705" s="9"/>
      <c r="O705" s="3"/>
    </row>
    <row r="706" spans="4:15" x14ac:dyDescent="0.25">
      <c r="D706" s="8"/>
      <c r="E706" s="8"/>
      <c r="F706" s="3"/>
      <c r="G706" s="9"/>
      <c r="O706" s="3"/>
    </row>
    <row r="707" spans="4:15" x14ac:dyDescent="0.25">
      <c r="D707" s="8"/>
      <c r="E707" s="8"/>
      <c r="F707" s="3"/>
      <c r="G707" s="9"/>
      <c r="O707" s="3"/>
    </row>
    <row r="708" spans="4:15" x14ac:dyDescent="0.25">
      <c r="D708" s="8"/>
      <c r="E708" s="8"/>
      <c r="F708" s="3"/>
      <c r="G708" s="9"/>
      <c r="O708" s="3"/>
    </row>
    <row r="709" spans="4:15" x14ac:dyDescent="0.25">
      <c r="D709" s="8"/>
      <c r="E709" s="8"/>
      <c r="F709" s="3"/>
      <c r="G709" s="9"/>
      <c r="O709" s="3"/>
    </row>
    <row r="710" spans="4:15" x14ac:dyDescent="0.25">
      <c r="D710" s="8"/>
      <c r="E710" s="8"/>
      <c r="F710" s="3"/>
      <c r="G710" s="9"/>
      <c r="O710" s="3"/>
    </row>
    <row r="711" spans="4:15" x14ac:dyDescent="0.25">
      <c r="D711" s="8"/>
      <c r="E711" s="8"/>
      <c r="F711" s="3"/>
      <c r="G711" s="9"/>
      <c r="O711" s="3"/>
    </row>
    <row r="712" spans="4:15" x14ac:dyDescent="0.25">
      <c r="D712" s="8"/>
      <c r="E712" s="8"/>
      <c r="F712" s="3"/>
      <c r="G712" s="9"/>
      <c r="O712" s="3"/>
    </row>
    <row r="713" spans="4:15" x14ac:dyDescent="0.25">
      <c r="D713" s="8"/>
      <c r="E713" s="8"/>
      <c r="F713" s="3"/>
      <c r="G713" s="9"/>
      <c r="O713" s="3"/>
    </row>
    <row r="714" spans="4:15" x14ac:dyDescent="0.25">
      <c r="D714" s="8"/>
      <c r="E714" s="8"/>
      <c r="F714" s="3"/>
      <c r="G714" s="9"/>
      <c r="O714" s="3"/>
    </row>
    <row r="715" spans="4:15" x14ac:dyDescent="0.25">
      <c r="D715" s="8"/>
      <c r="E715" s="8"/>
      <c r="F715" s="3"/>
      <c r="G715" s="9"/>
      <c r="O715" s="3"/>
    </row>
    <row r="716" spans="4:15" x14ac:dyDescent="0.25">
      <c r="D716" s="8"/>
      <c r="E716" s="8"/>
      <c r="F716" s="3"/>
      <c r="G716" s="9"/>
      <c r="O716" s="3"/>
    </row>
    <row r="717" spans="4:15" x14ac:dyDescent="0.25">
      <c r="D717" s="8"/>
      <c r="E717" s="8"/>
      <c r="F717" s="3"/>
      <c r="G717" s="9"/>
      <c r="O717" s="3"/>
    </row>
    <row r="718" spans="4:15" x14ac:dyDescent="0.25">
      <c r="D718" s="3"/>
      <c r="F718" s="3"/>
      <c r="G718" s="9"/>
      <c r="O718" s="3"/>
    </row>
    <row r="719" spans="4:15" x14ac:dyDescent="0.25">
      <c r="F719" s="3"/>
      <c r="G719" s="9"/>
      <c r="O719" s="3"/>
    </row>
    <row r="720" spans="4:15" x14ac:dyDescent="0.25">
      <c r="F720" s="3"/>
      <c r="G720" s="9"/>
      <c r="O720" s="3"/>
    </row>
    <row r="721" spans="6:15" x14ac:dyDescent="0.25">
      <c r="F721" s="3"/>
      <c r="G721" s="9"/>
      <c r="O721" s="3"/>
    </row>
    <row r="722" spans="6:15" x14ac:dyDescent="0.25">
      <c r="F722" s="3"/>
      <c r="G722" s="9"/>
      <c r="O722" s="3"/>
    </row>
    <row r="723" spans="6:15" x14ac:dyDescent="0.25">
      <c r="F723" s="3"/>
      <c r="G723" s="9"/>
      <c r="O723" s="3"/>
    </row>
    <row r="724" spans="6:15" x14ac:dyDescent="0.25">
      <c r="F724" s="3"/>
      <c r="G724" s="9"/>
      <c r="O724" s="3"/>
    </row>
    <row r="725" spans="6:15" x14ac:dyDescent="0.25">
      <c r="F725" s="3"/>
      <c r="G725" s="9"/>
      <c r="O725" s="3"/>
    </row>
    <row r="726" spans="6:15" x14ac:dyDescent="0.25">
      <c r="F726" s="3"/>
      <c r="G726" s="9"/>
      <c r="O726" s="3"/>
    </row>
    <row r="727" spans="6:15" x14ac:dyDescent="0.25">
      <c r="F727" s="3"/>
      <c r="O727" s="3"/>
    </row>
    <row r="728" spans="6:15" x14ac:dyDescent="0.25">
      <c r="F728" s="3"/>
      <c r="G728" s="9"/>
      <c r="O728" s="3"/>
    </row>
    <row r="729" spans="6:15" x14ac:dyDescent="0.25">
      <c r="F729" s="3"/>
      <c r="G729" s="9"/>
      <c r="O729" s="3"/>
    </row>
    <row r="730" spans="6:15" x14ac:dyDescent="0.25">
      <c r="F730" s="3"/>
      <c r="G730" s="9"/>
      <c r="O730" s="3"/>
    </row>
    <row r="731" spans="6:15" x14ac:dyDescent="0.25">
      <c r="F731" s="3"/>
      <c r="G731" s="9"/>
      <c r="O731" s="3"/>
    </row>
    <row r="732" spans="6:15" x14ac:dyDescent="0.25">
      <c r="F732" s="3"/>
      <c r="G732" s="9"/>
      <c r="O732" s="3"/>
    </row>
    <row r="733" spans="6:15" x14ac:dyDescent="0.25">
      <c r="F733" s="3"/>
      <c r="G733" s="9"/>
      <c r="O733" s="3"/>
    </row>
    <row r="734" spans="6:15" x14ac:dyDescent="0.25">
      <c r="F734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4"/>
  <sheetViews>
    <sheetView zoomScale="80" zoomScaleNormal="80" workbookViewId="0">
      <selection activeCell="K29" sqref="K29"/>
    </sheetView>
  </sheetViews>
  <sheetFormatPr defaultRowHeight="15" x14ac:dyDescent="0.25"/>
  <cols>
    <col min="11" max="11" width="11.85546875" bestFit="1" customWidth="1"/>
    <col min="12" max="12" width="12.42578125" bestFit="1" customWidth="1"/>
    <col min="14" max="14" width="12.28515625" bestFit="1" customWidth="1"/>
    <col min="15" max="15" width="9.5703125" customWidth="1"/>
  </cols>
  <sheetData>
    <row r="1" spans="1:15" x14ac:dyDescent="0.25">
      <c r="B1" s="2">
        <v>45130.666666666664</v>
      </c>
      <c r="C1" s="2">
        <v>45184.2</v>
      </c>
      <c r="I1" s="5"/>
      <c r="K1" t="s">
        <v>17</v>
      </c>
      <c r="L1" s="9">
        <f>C1-B1</f>
        <v>53.533333333332848</v>
      </c>
      <c r="M1" s="9"/>
    </row>
    <row r="2" spans="1:15" x14ac:dyDescent="0.25">
      <c r="A2" t="s">
        <v>0</v>
      </c>
      <c r="B2" t="s">
        <v>1</v>
      </c>
      <c r="C2" t="s">
        <v>1</v>
      </c>
      <c r="D2" s="6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6" t="s">
        <v>10</v>
      </c>
      <c r="J2" s="6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15</v>
      </c>
    </row>
    <row r="3" spans="1:15" x14ac:dyDescent="0.25">
      <c r="A3">
        <v>2</v>
      </c>
      <c r="B3" s="3">
        <v>9.4778749999999992</v>
      </c>
      <c r="C3" s="3">
        <v>6.71936</v>
      </c>
      <c r="D3">
        <f>C3-B3</f>
        <v>-2.7585149999999992</v>
      </c>
      <c r="E3">
        <f>(D3+D4)/2</f>
        <v>-1.3728568750000005</v>
      </c>
      <c r="F3">
        <v>70</v>
      </c>
      <c r="G3">
        <v>7381</v>
      </c>
      <c r="H3">
        <f>E3*F3</f>
        <v>-96.099981250000042</v>
      </c>
      <c r="I3">
        <f t="shared" ref="I3:I22" si="0">I4+H3</f>
        <v>-81.623886875000153</v>
      </c>
      <c r="J3">
        <f t="shared" ref="J3:J23" si="1">(I3/G3)*1000</f>
        <v>-11.058648811136722</v>
      </c>
    </row>
    <row r="4" spans="1:15" x14ac:dyDescent="0.25">
      <c r="A4">
        <v>10</v>
      </c>
      <c r="B4" s="3">
        <v>6.7042187500000017</v>
      </c>
      <c r="C4" s="3">
        <v>6.7170199999999998</v>
      </c>
      <c r="D4">
        <f t="shared" ref="D4:D38" si="2">C4-B4</f>
        <v>1.2801249999998099E-2</v>
      </c>
      <c r="E4">
        <f t="shared" ref="E4:E38" si="3">(D4+D5)/2</f>
        <v>0.6883762499999988</v>
      </c>
      <c r="F4">
        <v>70</v>
      </c>
      <c r="G4">
        <v>7338</v>
      </c>
      <c r="H4">
        <f t="shared" ref="H4:H38" si="4">E4*F4</f>
        <v>48.186337499999915</v>
      </c>
      <c r="I4">
        <f t="shared" si="0"/>
        <v>14.476094374999896</v>
      </c>
      <c r="J4">
        <f t="shared" si="1"/>
        <v>1.9727574781956796</v>
      </c>
      <c r="K4">
        <f>(B5-B3)/(A5-A3)</f>
        <v>-0.23452812499999995</v>
      </c>
      <c r="L4">
        <f>(C5-C3)/(A5-A3)</f>
        <v>-5.5022222222222477E-3</v>
      </c>
      <c r="M4">
        <f>(K4+L4)/2</f>
        <v>-0.1200151736111111</v>
      </c>
      <c r="N4">
        <f>-J4/(M4*86400*$L$1)</f>
        <v>3.5538534260696623E-6</v>
      </c>
      <c r="O4" s="3">
        <f>N4*10000</f>
        <v>3.5538534260696621E-2</v>
      </c>
    </row>
    <row r="5" spans="1:15" x14ac:dyDescent="0.25">
      <c r="A5">
        <v>20</v>
      </c>
      <c r="B5" s="3">
        <v>5.25636875</v>
      </c>
      <c r="C5" s="3">
        <v>6.6203199999999995</v>
      </c>
      <c r="D5">
        <f t="shared" si="2"/>
        <v>1.3639512499999995</v>
      </c>
      <c r="E5">
        <f t="shared" si="3"/>
        <v>1.1144643750000003</v>
      </c>
      <c r="F5">
        <v>70</v>
      </c>
      <c r="G5">
        <v>7252</v>
      </c>
      <c r="H5">
        <f t="shared" si="4"/>
        <v>78.012506250000015</v>
      </c>
      <c r="I5">
        <f t="shared" si="0"/>
        <v>-33.710243125000019</v>
      </c>
      <c r="J5">
        <f t="shared" si="1"/>
        <v>-4.6484063878929982</v>
      </c>
      <c r="K5">
        <f t="shared" ref="K5:K38" si="5">(B6-B4)/(A6-A4)</f>
        <v>-0.10627781250000012</v>
      </c>
      <c r="L5">
        <f t="shared" ref="L5:L38" si="6">(C6-C4)/(A6-A4)</f>
        <v>-6.3668999999999976E-2</v>
      </c>
      <c r="M5">
        <f t="shared" ref="M5:M38" si="7">(K5+L5)/2</f>
        <v>-8.497340625000005E-2</v>
      </c>
      <c r="N5">
        <f t="shared" ref="N5:N38" si="8">-J5/(M5*86400*$L$1)</f>
        <v>-1.1827229738509357E-5</v>
      </c>
      <c r="O5" s="3">
        <f t="shared" ref="O5:O38" si="9">N5*10000</f>
        <v>-0.11827229738509357</v>
      </c>
    </row>
    <row r="6" spans="1:15" x14ac:dyDescent="0.25">
      <c r="A6">
        <v>30</v>
      </c>
      <c r="B6" s="3">
        <v>4.5786624999999992</v>
      </c>
      <c r="C6" s="3">
        <v>5.4436400000000003</v>
      </c>
      <c r="D6">
        <f t="shared" si="2"/>
        <v>0.86497750000000106</v>
      </c>
      <c r="E6">
        <f t="shared" si="3"/>
        <v>0.46409062500000031</v>
      </c>
      <c r="F6">
        <v>70</v>
      </c>
      <c r="G6">
        <v>7218</v>
      </c>
      <c r="H6">
        <f t="shared" si="4"/>
        <v>32.486343750000024</v>
      </c>
      <c r="I6">
        <f t="shared" si="0"/>
        <v>-111.72274937500003</v>
      </c>
      <c r="J6">
        <f t="shared" si="1"/>
        <v>-15.478352642698813</v>
      </c>
      <c r="K6">
        <f t="shared" si="5"/>
        <v>-4.562062499999997E-2</v>
      </c>
      <c r="L6">
        <f t="shared" si="6"/>
        <v>-0.11065799999999996</v>
      </c>
      <c r="M6">
        <f t="shared" si="7"/>
        <v>-7.8139312499999974E-2</v>
      </c>
      <c r="N6">
        <f t="shared" si="8"/>
        <v>-4.2826947634946309E-5</v>
      </c>
      <c r="O6" s="3">
        <f t="shared" si="9"/>
        <v>-0.42826947634946311</v>
      </c>
    </row>
    <row r="7" spans="1:15" x14ac:dyDescent="0.25">
      <c r="A7">
        <v>40</v>
      </c>
      <c r="B7" s="3">
        <v>4.3439562500000006</v>
      </c>
      <c r="C7" s="3">
        <v>4.4071600000000002</v>
      </c>
      <c r="D7">
        <f t="shared" si="2"/>
        <v>6.3203749999999559E-2</v>
      </c>
      <c r="E7">
        <f t="shared" si="3"/>
        <v>-9.9425000000006314E-3</v>
      </c>
      <c r="F7">
        <v>70</v>
      </c>
      <c r="G7">
        <v>7128.25</v>
      </c>
      <c r="H7">
        <f t="shared" si="4"/>
        <v>-0.6959750000000442</v>
      </c>
      <c r="I7">
        <f t="shared" si="0"/>
        <v>-144.20909312500007</v>
      </c>
      <c r="J7">
        <f t="shared" si="1"/>
        <v>-20.230644705923623</v>
      </c>
      <c r="K7">
        <f t="shared" si="5"/>
        <v>-1.8429687499999937E-2</v>
      </c>
      <c r="L7">
        <f t="shared" si="6"/>
        <v>-6.583300000000003E-2</v>
      </c>
      <c r="M7">
        <f t="shared" si="7"/>
        <v>-4.213134374999998E-2</v>
      </c>
      <c r="N7">
        <f t="shared" si="8"/>
        <v>-1.0381650003567051E-4</v>
      </c>
      <c r="O7" s="3">
        <f t="shared" si="9"/>
        <v>-1.0381650003567051</v>
      </c>
    </row>
    <row r="8" spans="1:15" x14ac:dyDescent="0.25">
      <c r="A8">
        <v>50</v>
      </c>
      <c r="B8" s="3">
        <v>4.2100687500000005</v>
      </c>
      <c r="C8" s="3">
        <v>4.1269799999999996</v>
      </c>
      <c r="D8">
        <f t="shared" si="2"/>
        <v>-8.3088750000000822E-2</v>
      </c>
      <c r="E8">
        <f t="shared" si="3"/>
        <v>-8.3955625000000644E-2</v>
      </c>
      <c r="F8">
        <v>65</v>
      </c>
      <c r="G8">
        <v>6875.5</v>
      </c>
      <c r="H8">
        <f t="shared" si="4"/>
        <v>-5.4571156250000419</v>
      </c>
      <c r="I8">
        <f t="shared" si="0"/>
        <v>-143.51311812500003</v>
      </c>
      <c r="J8">
        <f t="shared" si="1"/>
        <v>-20.873117318740462</v>
      </c>
      <c r="K8">
        <f t="shared" si="5"/>
        <v>-1.1784687500000012E-2</v>
      </c>
      <c r="L8">
        <f t="shared" si="6"/>
        <v>-1.9186000000000016E-2</v>
      </c>
      <c r="M8">
        <f t="shared" si="7"/>
        <v>-1.5485343750000014E-2</v>
      </c>
      <c r="N8">
        <f t="shared" si="8"/>
        <v>-2.914260936526952E-4</v>
      </c>
      <c r="O8" s="3">
        <f t="shared" si="9"/>
        <v>-2.9142609365269521</v>
      </c>
    </row>
    <row r="9" spans="1:15" x14ac:dyDescent="0.25">
      <c r="A9">
        <v>60</v>
      </c>
      <c r="B9" s="3">
        <v>4.1082625000000004</v>
      </c>
      <c r="C9" s="3">
        <v>4.0234399999999999</v>
      </c>
      <c r="D9">
        <f t="shared" si="2"/>
        <v>-8.4822500000000467E-2</v>
      </c>
      <c r="E9">
        <f t="shared" si="3"/>
        <v>-8.0853749999999946E-2</v>
      </c>
      <c r="F9">
        <v>65</v>
      </c>
      <c r="G9">
        <v>6622.75</v>
      </c>
      <c r="H9">
        <f t="shared" si="4"/>
        <v>-5.2554937499999967</v>
      </c>
      <c r="I9">
        <f>I10+H9</f>
        <v>-138.05600250000001</v>
      </c>
      <c r="J9">
        <f>(I9/G9)*1000</f>
        <v>-20.845721565814806</v>
      </c>
      <c r="K9">
        <f t="shared" si="5"/>
        <v>-8.4021875000000364E-3</v>
      </c>
      <c r="L9">
        <f t="shared" si="6"/>
        <v>-8.0919999999999655E-3</v>
      </c>
      <c r="M9">
        <f t="shared" si="7"/>
        <v>-8.2470937500000001E-3</v>
      </c>
      <c r="N9">
        <f t="shared" si="8"/>
        <v>-5.4648465594054848E-4</v>
      </c>
      <c r="O9" s="3">
        <f>N9*10000</f>
        <v>-5.4648465594054851</v>
      </c>
    </row>
    <row r="10" spans="1:15" x14ac:dyDescent="0.25">
      <c r="A10">
        <v>70</v>
      </c>
      <c r="B10" s="3">
        <v>4.0420249999999998</v>
      </c>
      <c r="C10" s="3">
        <v>3.9651400000000003</v>
      </c>
      <c r="D10">
        <f t="shared" si="2"/>
        <v>-7.6884999999999426E-2</v>
      </c>
      <c r="E10">
        <f t="shared" si="3"/>
        <v>-6.9175624999999297E-2</v>
      </c>
      <c r="F10">
        <v>65</v>
      </c>
      <c r="G10">
        <v>6370</v>
      </c>
      <c r="H10">
        <f>E10*F10</f>
        <v>-4.4964156249999547</v>
      </c>
      <c r="I10">
        <f t="shared" si="0"/>
        <v>-132.80050875000001</v>
      </c>
      <c r="J10">
        <f t="shared" si="1"/>
        <v>-20.847803571428571</v>
      </c>
      <c r="K10">
        <f t="shared" si="5"/>
        <v>-6.1578125000000703E-3</v>
      </c>
      <c r="L10">
        <f t="shared" si="6"/>
        <v>-4.9900000000000057E-3</v>
      </c>
      <c r="M10">
        <f t="shared" si="7"/>
        <v>-5.573906250000038E-3</v>
      </c>
      <c r="N10">
        <f t="shared" si="8"/>
        <v>-8.0865377429027111E-4</v>
      </c>
      <c r="O10" s="3">
        <f t="shared" si="9"/>
        <v>-8.0865377429027117</v>
      </c>
    </row>
    <row r="11" spans="1:15" x14ac:dyDescent="0.25">
      <c r="A11">
        <v>80</v>
      </c>
      <c r="B11" s="3">
        <v>3.985106249999999</v>
      </c>
      <c r="C11" s="3">
        <v>3.9236399999999998</v>
      </c>
      <c r="D11">
        <f t="shared" si="2"/>
        <v>-6.1466249999999167E-2</v>
      </c>
      <c r="E11">
        <f>(D11+D12)/2</f>
        <v>-5.6760624999999898E-2</v>
      </c>
      <c r="F11">
        <v>65</v>
      </c>
      <c r="G11">
        <v>6223</v>
      </c>
      <c r="H11">
        <f t="shared" si="4"/>
        <v>-3.6894406249999934</v>
      </c>
      <c r="I11">
        <f t="shared" si="0"/>
        <v>-128.30409312500007</v>
      </c>
      <c r="J11">
        <f t="shared" si="1"/>
        <v>-20.61772346537041</v>
      </c>
      <c r="K11">
        <f t="shared" si="5"/>
        <v>-5.1024999999999656E-3</v>
      </c>
      <c r="L11">
        <f t="shared" si="6"/>
        <v>-3.8610000000000254E-3</v>
      </c>
      <c r="M11">
        <f t="shared" si="7"/>
        <v>-4.4817499999999953E-3</v>
      </c>
      <c r="N11">
        <f t="shared" si="8"/>
        <v>-9.9461511422438116E-4</v>
      </c>
      <c r="O11" s="3">
        <f t="shared" si="9"/>
        <v>-9.9461511422438118</v>
      </c>
    </row>
    <row r="12" spans="1:15" x14ac:dyDescent="0.25">
      <c r="A12">
        <v>90</v>
      </c>
      <c r="B12" s="3">
        <v>3.9399750000000004</v>
      </c>
      <c r="C12" s="3">
        <v>3.8879199999999998</v>
      </c>
      <c r="D12">
        <f t="shared" si="2"/>
        <v>-5.2055000000000629E-2</v>
      </c>
      <c r="E12">
        <f t="shared" si="3"/>
        <v>-5.6615625000000502E-2</v>
      </c>
      <c r="F12">
        <v>65</v>
      </c>
      <c r="G12">
        <v>6076</v>
      </c>
      <c r="H12">
        <f t="shared" si="4"/>
        <v>-3.6800156250000327</v>
      </c>
      <c r="I12">
        <f t="shared" si="0"/>
        <v>-124.61465250000006</v>
      </c>
      <c r="J12">
        <f t="shared" si="1"/>
        <v>-20.509323979591848</v>
      </c>
      <c r="K12">
        <f t="shared" si="5"/>
        <v>-3.6824999999999662E-3</v>
      </c>
      <c r="L12">
        <f t="shared" si="6"/>
        <v>-3.6680000000000267E-3</v>
      </c>
      <c r="M12">
        <f t="shared" si="7"/>
        <v>-3.6752499999999962E-3</v>
      </c>
      <c r="N12">
        <f t="shared" si="8"/>
        <v>-1.206497511833763E-3</v>
      </c>
      <c r="O12" s="3">
        <f t="shared" si="9"/>
        <v>-12.06497511833763</v>
      </c>
    </row>
    <row r="13" spans="1:15" x14ac:dyDescent="0.25">
      <c r="A13">
        <v>100</v>
      </c>
      <c r="B13" s="3">
        <v>3.9114562499999996</v>
      </c>
      <c r="C13" s="3">
        <v>3.8502799999999993</v>
      </c>
      <c r="D13">
        <f t="shared" si="2"/>
        <v>-6.1176250000000376E-2</v>
      </c>
      <c r="E13">
        <f t="shared" si="3"/>
        <v>-6.750812500000003E-2</v>
      </c>
      <c r="F13">
        <v>315</v>
      </c>
      <c r="G13">
        <v>5919</v>
      </c>
      <c r="H13">
        <f t="shared" si="4"/>
        <v>-21.265059375000011</v>
      </c>
      <c r="I13">
        <f t="shared" si="0"/>
        <v>-120.93463687500002</v>
      </c>
      <c r="J13">
        <f t="shared" si="1"/>
        <v>-20.431599404460218</v>
      </c>
      <c r="K13">
        <f t="shared" si="5"/>
        <v>-2.5445833333333462E-3</v>
      </c>
      <c r="L13">
        <f t="shared" si="6"/>
        <v>-2.9076666666666639E-3</v>
      </c>
      <c r="M13">
        <f t="shared" si="7"/>
        <v>-2.726125000000005E-3</v>
      </c>
      <c r="N13">
        <f t="shared" si="8"/>
        <v>-1.6203863301082037E-3</v>
      </c>
      <c r="O13" s="3">
        <f t="shared" si="9"/>
        <v>-16.203863301082038</v>
      </c>
    </row>
    <row r="14" spans="1:15" x14ac:dyDescent="0.25">
      <c r="A14">
        <v>150</v>
      </c>
      <c r="B14" s="3">
        <v>3.7872999999999997</v>
      </c>
      <c r="C14" s="3">
        <v>3.71346</v>
      </c>
      <c r="D14">
        <f t="shared" si="2"/>
        <v>-7.3839999999999684E-2</v>
      </c>
      <c r="E14">
        <f t="shared" si="3"/>
        <v>-6.8267500000000148E-2</v>
      </c>
      <c r="F14">
        <v>311</v>
      </c>
      <c r="G14">
        <v>5762</v>
      </c>
      <c r="H14">
        <f t="shared" si="4"/>
        <v>-21.231192500000045</v>
      </c>
      <c r="I14">
        <f t="shared" si="0"/>
        <v>-99.669577500000017</v>
      </c>
      <c r="J14">
        <f t="shared" si="1"/>
        <v>-17.297739934050679</v>
      </c>
      <c r="K14">
        <f t="shared" si="5"/>
        <v>-2.29181249999999E-3</v>
      </c>
      <c r="L14">
        <f t="shared" si="6"/>
        <v>-2.3069999999999922E-3</v>
      </c>
      <c r="M14">
        <f t="shared" si="7"/>
        <v>-2.2994062499999911E-3</v>
      </c>
      <c r="N14">
        <f t="shared" si="8"/>
        <v>-1.6264309391075865E-3</v>
      </c>
      <c r="O14" s="3">
        <f t="shared" si="9"/>
        <v>-16.264309391075866</v>
      </c>
    </row>
    <row r="15" spans="1:15" x14ac:dyDescent="0.25">
      <c r="A15">
        <v>200</v>
      </c>
      <c r="B15" s="3">
        <v>3.6822750000000006</v>
      </c>
      <c r="C15" s="3">
        <v>3.61958</v>
      </c>
      <c r="D15">
        <f t="shared" si="2"/>
        <v>-6.2695000000000611E-2</v>
      </c>
      <c r="E15">
        <f t="shared" si="3"/>
        <v>-6.0008125000000634E-2</v>
      </c>
      <c r="F15">
        <v>305</v>
      </c>
      <c r="G15">
        <v>5461</v>
      </c>
      <c r="H15">
        <f t="shared" si="4"/>
        <v>-18.302478125000192</v>
      </c>
      <c r="I15">
        <f t="shared" si="0"/>
        <v>-78.438384999999968</v>
      </c>
      <c r="J15">
        <f t="shared" si="1"/>
        <v>-14.363373924189702</v>
      </c>
      <c r="K15">
        <f t="shared" si="5"/>
        <v>-2.048187499999994E-3</v>
      </c>
      <c r="L15">
        <f t="shared" si="6"/>
        <v>-1.8830000000000036E-3</v>
      </c>
      <c r="M15">
        <f t="shared" si="7"/>
        <v>-1.9655937499999986E-3</v>
      </c>
      <c r="N15">
        <f t="shared" si="8"/>
        <v>-1.5798820885584424E-3</v>
      </c>
      <c r="O15" s="3">
        <f t="shared" si="9"/>
        <v>-15.798820885584425</v>
      </c>
    </row>
    <row r="16" spans="1:15" x14ac:dyDescent="0.25">
      <c r="A16">
        <v>250</v>
      </c>
      <c r="B16" s="3">
        <v>3.5824812500000003</v>
      </c>
      <c r="C16" s="3">
        <v>3.5251599999999996</v>
      </c>
      <c r="D16">
        <f t="shared" si="2"/>
        <v>-5.7321250000000656E-2</v>
      </c>
      <c r="E16">
        <f t="shared" si="3"/>
        <v>-4.9187500000000384E-2</v>
      </c>
      <c r="F16">
        <v>298</v>
      </c>
      <c r="G16">
        <v>5186</v>
      </c>
      <c r="H16">
        <f t="shared" si="4"/>
        <v>-14.657875000000114</v>
      </c>
      <c r="I16">
        <f t="shared" si="0"/>
        <v>-60.135906874999776</v>
      </c>
      <c r="J16">
        <f t="shared" si="1"/>
        <v>-11.595816983224021</v>
      </c>
      <c r="K16">
        <f t="shared" si="5"/>
        <v>-1.519812500000004E-3</v>
      </c>
      <c r="L16">
        <f t="shared" si="6"/>
        <v>-1.303399999999999E-3</v>
      </c>
      <c r="M16">
        <f t="shared" si="7"/>
        <v>-1.4116062500000015E-3</v>
      </c>
      <c r="N16">
        <f t="shared" si="8"/>
        <v>-1.7760277653712888E-3</v>
      </c>
      <c r="O16" s="3">
        <f t="shared" si="9"/>
        <v>-17.760277653712887</v>
      </c>
    </row>
    <row r="17" spans="1:15" x14ac:dyDescent="0.25">
      <c r="A17">
        <v>300</v>
      </c>
      <c r="B17" s="3">
        <v>3.5302937500000002</v>
      </c>
      <c r="C17" s="3">
        <v>3.4892400000000001</v>
      </c>
      <c r="D17">
        <f t="shared" si="2"/>
        <v>-4.1053750000000111E-2</v>
      </c>
      <c r="E17">
        <f t="shared" si="3"/>
        <v>-3.739625000000002E-2</v>
      </c>
      <c r="F17">
        <v>289</v>
      </c>
      <c r="G17">
        <v>4893</v>
      </c>
      <c r="H17">
        <f t="shared" si="4"/>
        <v>-10.807516250000006</v>
      </c>
      <c r="I17">
        <f t="shared" si="0"/>
        <v>-45.478031874999665</v>
      </c>
      <c r="J17">
        <f t="shared" si="1"/>
        <v>-9.2945088647046123</v>
      </c>
      <c r="K17">
        <f t="shared" si="5"/>
        <v>-8.626250000000013E-4</v>
      </c>
      <c r="L17">
        <f t="shared" si="6"/>
        <v>-6.2679999999999399E-4</v>
      </c>
      <c r="M17">
        <f t="shared" si="7"/>
        <v>-7.4471249999999759E-4</v>
      </c>
      <c r="N17">
        <f t="shared" si="8"/>
        <v>-2.6983592755383894E-3</v>
      </c>
      <c r="O17" s="3">
        <f t="shared" si="9"/>
        <v>-26.983592755383896</v>
      </c>
    </row>
    <row r="18" spans="1:15" x14ac:dyDescent="0.25">
      <c r="A18">
        <v>350</v>
      </c>
      <c r="B18" s="3">
        <v>3.4962187500000002</v>
      </c>
      <c r="C18" s="3">
        <v>3.4624800000000002</v>
      </c>
      <c r="D18">
        <f t="shared" si="2"/>
        <v>-3.3738749999999929E-2</v>
      </c>
      <c r="E18">
        <f t="shared" si="3"/>
        <v>-3.1107499999999622E-2</v>
      </c>
      <c r="F18">
        <v>284</v>
      </c>
      <c r="G18">
        <v>4615</v>
      </c>
      <c r="H18">
        <f t="shared" si="4"/>
        <v>-8.8345299999998925</v>
      </c>
      <c r="I18">
        <f t="shared" si="0"/>
        <v>-34.670515624999659</v>
      </c>
      <c r="J18">
        <f t="shared" si="1"/>
        <v>-7.5125710996748998</v>
      </c>
      <c r="K18">
        <f t="shared" si="5"/>
        <v>-5.5537500000000682E-4</v>
      </c>
      <c r="L18">
        <f t="shared" si="6"/>
        <v>-4.295999999999989E-4</v>
      </c>
      <c r="M18">
        <f t="shared" si="7"/>
        <v>-4.9248750000000288E-4</v>
      </c>
      <c r="N18">
        <f t="shared" si="8"/>
        <v>-3.2980357161893833E-3</v>
      </c>
      <c r="O18" s="3">
        <f t="shared" si="9"/>
        <v>-32.980357161893835</v>
      </c>
    </row>
    <row r="19" spans="1:15" x14ac:dyDescent="0.25">
      <c r="A19">
        <v>400</v>
      </c>
      <c r="B19" s="3">
        <v>3.4747562499999995</v>
      </c>
      <c r="C19" s="3">
        <v>3.4462800000000002</v>
      </c>
      <c r="D19">
        <f t="shared" si="2"/>
        <v>-2.8476249999999315E-2</v>
      </c>
      <c r="E19">
        <f t="shared" si="3"/>
        <v>-2.5173124999999796E-2</v>
      </c>
      <c r="F19">
        <v>279</v>
      </c>
      <c r="G19">
        <v>4306</v>
      </c>
      <c r="H19">
        <f t="shared" si="4"/>
        <v>-7.0233018749999427</v>
      </c>
      <c r="I19">
        <f t="shared" si="0"/>
        <v>-25.835985624999765</v>
      </c>
      <c r="J19">
        <f t="shared" si="1"/>
        <v>-5.9999966616348734</v>
      </c>
      <c r="K19">
        <f t="shared" si="5"/>
        <v>-4.3068750000000209E-4</v>
      </c>
      <c r="L19">
        <f t="shared" si="6"/>
        <v>-3.1200000000000563E-4</v>
      </c>
      <c r="M19">
        <f t="shared" si="7"/>
        <v>-3.7134375000000383E-4</v>
      </c>
      <c r="N19">
        <f t="shared" si="8"/>
        <v>-3.4933078615358572E-3</v>
      </c>
      <c r="O19" s="3">
        <f t="shared" si="9"/>
        <v>-34.933078615358575</v>
      </c>
    </row>
    <row r="20" spans="1:15" x14ac:dyDescent="0.25">
      <c r="A20">
        <v>450</v>
      </c>
      <c r="B20" s="3">
        <v>3.4531499999999999</v>
      </c>
      <c r="C20" s="3">
        <v>3.4312799999999997</v>
      </c>
      <c r="D20">
        <f t="shared" si="2"/>
        <v>-2.1870000000000278E-2</v>
      </c>
      <c r="E20">
        <f t="shared" si="3"/>
        <v>-2.1339374999999938E-2</v>
      </c>
      <c r="F20">
        <v>271</v>
      </c>
      <c r="G20">
        <v>3966</v>
      </c>
      <c r="H20">
        <f t="shared" si="4"/>
        <v>-5.782970624999983</v>
      </c>
      <c r="I20">
        <f t="shared" si="0"/>
        <v>-18.81268374999982</v>
      </c>
      <c r="J20">
        <f t="shared" si="1"/>
        <v>-4.7434906076651089</v>
      </c>
      <c r="K20">
        <f t="shared" si="5"/>
        <v>-3.6787499999999971E-4</v>
      </c>
      <c r="L20">
        <f t="shared" si="6"/>
        <v>-2.9120000000000258E-4</v>
      </c>
      <c r="M20">
        <f t="shared" si="7"/>
        <v>-3.2953750000000112E-4</v>
      </c>
      <c r="N20">
        <f t="shared" si="8"/>
        <v>-3.1121116808889016E-3</v>
      </c>
      <c r="O20" s="3">
        <f t="shared" si="9"/>
        <v>-31.121116808889017</v>
      </c>
    </row>
    <row r="21" spans="1:15" x14ac:dyDescent="0.25">
      <c r="A21">
        <v>500</v>
      </c>
      <c r="B21" s="3">
        <v>3.4379687499999996</v>
      </c>
      <c r="C21" s="3">
        <v>3.41716</v>
      </c>
      <c r="D21">
        <f t="shared" si="2"/>
        <v>-2.0808749999999598E-2</v>
      </c>
      <c r="E21">
        <f t="shared" si="3"/>
        <v>-1.8718124999999697E-2</v>
      </c>
      <c r="F21">
        <v>262</v>
      </c>
      <c r="G21">
        <v>3571</v>
      </c>
      <c r="H21">
        <f t="shared" si="4"/>
        <v>-4.904148749999921</v>
      </c>
      <c r="I21">
        <f t="shared" si="0"/>
        <v>-13.029713124999835</v>
      </c>
      <c r="J21">
        <f t="shared" si="1"/>
        <v>-3.6487575259030622</v>
      </c>
      <c r="K21">
        <f t="shared" si="5"/>
        <v>-3.0662500000000481E-4</v>
      </c>
      <c r="L21">
        <f t="shared" si="6"/>
        <v>-2.542E-4</v>
      </c>
      <c r="M21">
        <f t="shared" si="7"/>
        <v>-2.804125000000024E-4</v>
      </c>
      <c r="N21">
        <f t="shared" si="8"/>
        <v>-2.81325827969951E-3</v>
      </c>
      <c r="O21" s="3">
        <f t="shared" si="9"/>
        <v>-28.132582796995099</v>
      </c>
    </row>
    <row r="22" spans="1:15" x14ac:dyDescent="0.25">
      <c r="A22">
        <v>550</v>
      </c>
      <c r="B22" s="3">
        <v>3.4224874999999995</v>
      </c>
      <c r="C22" s="3">
        <v>3.4058599999999997</v>
      </c>
      <c r="D22">
        <f t="shared" si="2"/>
        <v>-1.6627499999999795E-2</v>
      </c>
      <c r="E22">
        <f t="shared" si="3"/>
        <v>-1.5009374999999769E-2</v>
      </c>
      <c r="F22">
        <v>251</v>
      </c>
      <c r="G22">
        <v>3239</v>
      </c>
      <c r="H22">
        <f t="shared" si="4"/>
        <v>-3.7673531249999419</v>
      </c>
      <c r="I22">
        <f t="shared" si="0"/>
        <v>-8.1255643749999145</v>
      </c>
      <c r="J22">
        <f t="shared" si="1"/>
        <v>-2.5086645183698408</v>
      </c>
      <c r="K22">
        <f t="shared" si="5"/>
        <v>-2.733749999999979E-4</v>
      </c>
      <c r="L22">
        <f t="shared" si="6"/>
        <v>-1.9919999999999937E-4</v>
      </c>
      <c r="M22">
        <f t="shared" si="7"/>
        <v>-2.3628749999999864E-4</v>
      </c>
      <c r="N22">
        <f t="shared" si="8"/>
        <v>-2.2954287208252597E-3</v>
      </c>
      <c r="O22" s="3">
        <f t="shared" si="9"/>
        <v>-22.954287208252598</v>
      </c>
    </row>
    <row r="23" spans="1:15" x14ac:dyDescent="0.25">
      <c r="A23">
        <v>600</v>
      </c>
      <c r="B23" s="3">
        <v>3.4106312499999998</v>
      </c>
      <c r="C23" s="3">
        <v>3.39724</v>
      </c>
      <c r="D23">
        <f t="shared" si="2"/>
        <v>-1.3391249999999744E-2</v>
      </c>
      <c r="E23">
        <f t="shared" si="3"/>
        <v>-1.1025624999999817E-2</v>
      </c>
      <c r="F23">
        <v>240</v>
      </c>
      <c r="G23">
        <v>2767</v>
      </c>
      <c r="H23">
        <f t="shared" si="4"/>
        <v>-2.646149999999956</v>
      </c>
      <c r="I23">
        <f>I24+H23</f>
        <v>-4.3582112499999726</v>
      </c>
      <c r="J23">
        <f t="shared" si="1"/>
        <v>-1.5750673111673192</v>
      </c>
      <c r="K23">
        <f t="shared" si="5"/>
        <v>-2.1287500000000126E-4</v>
      </c>
      <c r="L23">
        <f t="shared" si="6"/>
        <v>-1.3320000000000221E-4</v>
      </c>
      <c r="M23">
        <f t="shared" si="7"/>
        <v>-1.7303750000000173E-4</v>
      </c>
      <c r="N23">
        <f t="shared" si="8"/>
        <v>-1.9679808028032438E-3</v>
      </c>
      <c r="O23" s="3">
        <f t="shared" si="9"/>
        <v>-19.67980802803244</v>
      </c>
    </row>
    <row r="24" spans="1:15" x14ac:dyDescent="0.25">
      <c r="A24">
        <v>650</v>
      </c>
      <c r="B24" s="3">
        <v>3.4011999999999993</v>
      </c>
      <c r="C24" s="3">
        <v>3.3925399999999994</v>
      </c>
      <c r="D24">
        <f t="shared" si="2"/>
        <v>-8.65999999999989E-3</v>
      </c>
      <c r="E24">
        <f t="shared" si="3"/>
        <v>-7.4762500000000731E-3</v>
      </c>
      <c r="F24">
        <v>229</v>
      </c>
      <c r="G24">
        <v>2129</v>
      </c>
      <c r="H24">
        <f t="shared" si="4"/>
        <v>-1.7120612500000167</v>
      </c>
      <c r="I24">
        <f>H24</f>
        <v>-1.7120612500000167</v>
      </c>
      <c r="J24">
        <f>(I24/G24)*1000</f>
        <v>-0.80416216533584639</v>
      </c>
      <c r="K24">
        <f t="shared" si="5"/>
        <v>-1.5218749999999835E-4</v>
      </c>
      <c r="L24">
        <f t="shared" si="6"/>
        <v>-8.1200000000003492E-5</v>
      </c>
      <c r="M24">
        <f t="shared" si="7"/>
        <v>-1.1669375000000092E-4</v>
      </c>
      <c r="N24">
        <f t="shared" si="8"/>
        <v>-1.4899030572845641E-3</v>
      </c>
      <c r="O24" s="3">
        <f t="shared" si="9"/>
        <v>-14.899030572845641</v>
      </c>
    </row>
    <row r="25" spans="1:15" x14ac:dyDescent="0.25">
      <c r="A25">
        <v>700</v>
      </c>
      <c r="B25" s="3">
        <v>3.3954124999999999</v>
      </c>
      <c r="C25" s="3">
        <v>3.3891199999999997</v>
      </c>
      <c r="D25">
        <f t="shared" si="2"/>
        <v>-6.2925000000002562E-3</v>
      </c>
      <c r="E25">
        <f t="shared" si="3"/>
        <v>-6.5462499999999757E-3</v>
      </c>
      <c r="F25" s="3">
        <v>216</v>
      </c>
      <c r="G25">
        <v>2130</v>
      </c>
      <c r="H25">
        <f t="shared" si="4"/>
        <v>-1.4139899999999948</v>
      </c>
      <c r="I25">
        <f t="shared" ref="I25:I38" si="10">H25</f>
        <v>-1.4139899999999948</v>
      </c>
      <c r="J25">
        <f t="shared" ref="J25:J38" si="11">(I25/G25)*1000</f>
        <v>-0.66384507042253271</v>
      </c>
      <c r="K25">
        <f t="shared" si="5"/>
        <v>-1.0199999999999765E-4</v>
      </c>
      <c r="L25">
        <f t="shared" si="6"/>
        <v>-8.3399999999995698E-5</v>
      </c>
      <c r="M25">
        <f t="shared" si="7"/>
        <v>-9.269999999999667E-5</v>
      </c>
      <c r="N25">
        <f t="shared" si="8"/>
        <v>-1.5482781033058996E-3</v>
      </c>
      <c r="O25" s="3">
        <f t="shared" si="9"/>
        <v>-15.482781033058997</v>
      </c>
    </row>
    <row r="26" spans="1:15" x14ac:dyDescent="0.25">
      <c r="A26">
        <v>750</v>
      </c>
      <c r="B26" s="3">
        <v>3.3909999999999996</v>
      </c>
      <c r="C26" s="3">
        <v>3.3841999999999999</v>
      </c>
      <c r="D26">
        <f t="shared" si="2"/>
        <v>-6.7999999999996952E-3</v>
      </c>
      <c r="E26">
        <f t="shared" si="3"/>
        <v>-7.0062499999998806E-3</v>
      </c>
      <c r="F26" s="3">
        <v>205</v>
      </c>
      <c r="G26">
        <v>2131</v>
      </c>
      <c r="H26">
        <f t="shared" si="4"/>
        <v>-1.4362812499999755</v>
      </c>
      <c r="I26">
        <f t="shared" si="10"/>
        <v>-1.4362812499999755</v>
      </c>
      <c r="J26">
        <f t="shared" si="11"/>
        <v>-0.67399401689346572</v>
      </c>
      <c r="K26">
        <f t="shared" si="5"/>
        <v>-1.0199999999999765E-4</v>
      </c>
      <c r="L26">
        <f t="shared" si="6"/>
        <v>-1.1119999999999575E-4</v>
      </c>
      <c r="M26">
        <f t="shared" si="7"/>
        <v>-1.0659999999999671E-4</v>
      </c>
      <c r="N26">
        <f t="shared" si="8"/>
        <v>-1.3669757424096813E-3</v>
      </c>
      <c r="O26" s="3">
        <f t="shared" si="9"/>
        <v>-13.669757424096813</v>
      </c>
    </row>
    <row r="27" spans="1:15" x14ac:dyDescent="0.25">
      <c r="A27">
        <v>800</v>
      </c>
      <c r="B27" s="3">
        <v>3.3852125000000002</v>
      </c>
      <c r="C27" s="3">
        <v>3.3780000000000001</v>
      </c>
      <c r="D27">
        <f t="shared" si="2"/>
        <v>-7.2125000000000661E-3</v>
      </c>
      <c r="E27">
        <f t="shared" si="3"/>
        <v>-6.1212500000003001E-3</v>
      </c>
      <c r="F27" s="3">
        <v>192</v>
      </c>
      <c r="G27">
        <v>2132</v>
      </c>
      <c r="H27">
        <f t="shared" si="4"/>
        <v>-1.1752800000000576</v>
      </c>
      <c r="I27">
        <f t="shared" si="10"/>
        <v>-1.1752800000000576</v>
      </c>
      <c r="J27">
        <f t="shared" si="11"/>
        <v>-0.55125703564730655</v>
      </c>
      <c r="K27">
        <f t="shared" si="5"/>
        <v>-1.1749999999999261E-4</v>
      </c>
      <c r="L27">
        <f t="shared" si="6"/>
        <v>-9.9800000000001003E-5</v>
      </c>
      <c r="M27">
        <f t="shared" si="7"/>
        <v>-1.0864999999999681E-4</v>
      </c>
      <c r="N27">
        <f t="shared" si="8"/>
        <v>-1.0969488723149895E-3</v>
      </c>
      <c r="O27" s="3">
        <f t="shared" si="9"/>
        <v>-10.969488723149896</v>
      </c>
    </row>
    <row r="28" spans="1:15" x14ac:dyDescent="0.25">
      <c r="A28">
        <v>850</v>
      </c>
      <c r="B28" s="3">
        <v>3.3792500000000003</v>
      </c>
      <c r="C28" s="3">
        <v>3.3742199999999998</v>
      </c>
      <c r="D28">
        <f t="shared" si="2"/>
        <v>-5.030000000000534E-3</v>
      </c>
      <c r="E28">
        <f t="shared" si="3"/>
        <v>-3.8816666666670052E-3</v>
      </c>
      <c r="F28" s="3">
        <v>181</v>
      </c>
      <c r="G28">
        <v>2133</v>
      </c>
      <c r="H28">
        <f t="shared" si="4"/>
        <v>-0.70258166666672794</v>
      </c>
      <c r="I28">
        <f t="shared" si="10"/>
        <v>-0.70258166666672794</v>
      </c>
      <c r="J28">
        <f t="shared" si="11"/>
        <v>-0.32938662290985837</v>
      </c>
      <c r="K28">
        <f t="shared" si="5"/>
        <v>-1.115916666666683E-4</v>
      </c>
      <c r="L28">
        <f t="shared" si="6"/>
        <v>-6.680000000000241E-5</v>
      </c>
      <c r="M28">
        <f t="shared" si="7"/>
        <v>-8.9195833333335364E-5</v>
      </c>
      <c r="N28">
        <f t="shared" si="8"/>
        <v>-7.9840520859664058E-4</v>
      </c>
      <c r="O28" s="3">
        <f t="shared" si="9"/>
        <v>-7.9840520859664057</v>
      </c>
    </row>
    <row r="29" spans="1:15" x14ac:dyDescent="0.25">
      <c r="A29">
        <v>900</v>
      </c>
      <c r="B29" s="3">
        <v>3.3740533333333333</v>
      </c>
      <c r="C29" s="3">
        <v>3.3713199999999999</v>
      </c>
      <c r="D29">
        <f t="shared" si="2"/>
        <v>-2.7333333333334764E-3</v>
      </c>
      <c r="E29">
        <f t="shared" si="3"/>
        <v>-1.5766666666667817E-3</v>
      </c>
      <c r="F29" s="3">
        <v>177</v>
      </c>
      <c r="G29">
        <v>2134</v>
      </c>
      <c r="H29">
        <f t="shared" si="4"/>
        <v>-0.27907000000002036</v>
      </c>
      <c r="I29">
        <f t="shared" si="10"/>
        <v>-0.27907000000002036</v>
      </c>
      <c r="J29">
        <f t="shared" si="11"/>
        <v>-0.13077319587629818</v>
      </c>
      <c r="K29">
        <f t="shared" si="5"/>
        <v>-1.1030000000000317E-4</v>
      </c>
      <c r="L29">
        <f t="shared" si="6"/>
        <v>-6.4199999999998701E-5</v>
      </c>
      <c r="M29">
        <f t="shared" si="7"/>
        <v>-8.7250000000000928E-5</v>
      </c>
      <c r="N29">
        <f t="shared" si="8"/>
        <v>-3.2405242289316305E-4</v>
      </c>
      <c r="O29" s="3">
        <f t="shared" si="9"/>
        <v>-3.2405242289316307</v>
      </c>
    </row>
    <row r="30" spans="1:15" x14ac:dyDescent="0.25">
      <c r="A30">
        <v>950</v>
      </c>
      <c r="B30" s="3">
        <v>3.36822</v>
      </c>
      <c r="C30" s="3">
        <v>3.3677999999999999</v>
      </c>
      <c r="D30">
        <f t="shared" si="2"/>
        <v>-4.2000000000008697E-4</v>
      </c>
      <c r="E30">
        <f t="shared" si="3"/>
        <v>-2.1260714285713522E-3</v>
      </c>
      <c r="F30" s="3">
        <v>172</v>
      </c>
      <c r="G30">
        <v>2135</v>
      </c>
      <c r="H30">
        <f t="shared" si="4"/>
        <v>-0.36568428571427258</v>
      </c>
      <c r="I30">
        <f t="shared" si="10"/>
        <v>-0.36568428571427258</v>
      </c>
      <c r="J30">
        <f t="shared" si="11"/>
        <v>-0.17128069588490519</v>
      </c>
      <c r="K30">
        <f t="shared" si="5"/>
        <v>-7.746190476190851E-5</v>
      </c>
      <c r="L30">
        <f t="shared" si="6"/>
        <v>-8.8449999999999914E-5</v>
      </c>
      <c r="M30">
        <f t="shared" si="7"/>
        <v>-8.2955952380954219E-5</v>
      </c>
      <c r="N30">
        <f t="shared" si="8"/>
        <v>-4.4639861287769036E-4</v>
      </c>
      <c r="O30" s="3">
        <f t="shared" si="9"/>
        <v>-4.463986128776904</v>
      </c>
    </row>
    <row r="31" spans="1:15" x14ac:dyDescent="0.25">
      <c r="A31">
        <v>1000</v>
      </c>
      <c r="B31" s="3">
        <v>3.3663071428571425</v>
      </c>
      <c r="C31" s="3">
        <v>3.3624749999999999</v>
      </c>
      <c r="D31">
        <f t="shared" si="2"/>
        <v>-3.8321428571426175E-3</v>
      </c>
      <c r="E31">
        <f t="shared" si="3"/>
        <v>-3.7603021978021012E-3</v>
      </c>
      <c r="F31" s="3">
        <v>167</v>
      </c>
      <c r="G31">
        <v>2136</v>
      </c>
      <c r="H31">
        <f t="shared" si="4"/>
        <v>-0.6279704670329509</v>
      </c>
      <c r="I31">
        <f t="shared" si="10"/>
        <v>-0.6279704670329509</v>
      </c>
      <c r="J31">
        <f t="shared" si="11"/>
        <v>-0.29399366434126917</v>
      </c>
      <c r="K31">
        <f t="shared" si="5"/>
        <v>-5.0815384615385819E-5</v>
      </c>
      <c r="L31">
        <f t="shared" si="6"/>
        <v>-8.3500000000000796E-5</v>
      </c>
      <c r="M31">
        <f t="shared" si="7"/>
        <v>-6.7157692307693304E-5</v>
      </c>
      <c r="N31">
        <f t="shared" si="8"/>
        <v>-9.464641712997945E-4</v>
      </c>
      <c r="O31" s="3">
        <f t="shared" si="9"/>
        <v>-9.4646417129979454</v>
      </c>
    </row>
    <row r="32" spans="1:15" x14ac:dyDescent="0.25">
      <c r="A32">
        <v>1050</v>
      </c>
      <c r="B32" s="3">
        <v>3.3631384615384614</v>
      </c>
      <c r="C32" s="3">
        <v>3.3594499999999998</v>
      </c>
      <c r="D32">
        <f t="shared" si="2"/>
        <v>-3.6884615384615849E-3</v>
      </c>
      <c r="E32">
        <f t="shared" si="3"/>
        <v>-3.6423076923075559E-3</v>
      </c>
      <c r="F32" s="3">
        <v>160</v>
      </c>
      <c r="G32">
        <v>2137</v>
      </c>
      <c r="H32">
        <f t="shared" si="4"/>
        <v>-0.58276923076920895</v>
      </c>
      <c r="I32">
        <f t="shared" si="10"/>
        <v>-0.58276923076920895</v>
      </c>
      <c r="J32">
        <f t="shared" si="11"/>
        <v>-0.27270436629349976</v>
      </c>
      <c r="K32">
        <f t="shared" si="5"/>
        <v>-6.0609890109888373E-5</v>
      </c>
      <c r="L32">
        <f t="shared" si="6"/>
        <v>-5.8249999999997472E-5</v>
      </c>
      <c r="M32">
        <f t="shared" si="7"/>
        <v>-5.9429945054942922E-5</v>
      </c>
      <c r="N32">
        <f t="shared" si="8"/>
        <v>-9.9208465915435703E-4</v>
      </c>
      <c r="O32" s="3">
        <f t="shared" si="9"/>
        <v>-9.9208465915435706</v>
      </c>
    </row>
    <row r="33" spans="1:15" x14ac:dyDescent="0.25">
      <c r="A33">
        <v>1100</v>
      </c>
      <c r="B33" s="3">
        <v>3.3602461538461537</v>
      </c>
      <c r="C33" s="3">
        <v>3.3566500000000001</v>
      </c>
      <c r="D33">
        <f t="shared" si="2"/>
        <v>-3.596153846153527E-3</v>
      </c>
      <c r="E33">
        <f t="shared" si="3"/>
        <v>-4.6153846153844658E-3</v>
      </c>
      <c r="F33" s="3">
        <v>151</v>
      </c>
      <c r="G33">
        <v>2138</v>
      </c>
      <c r="H33">
        <f t="shared" si="4"/>
        <v>-0.69692307692305433</v>
      </c>
      <c r="I33">
        <f t="shared" si="10"/>
        <v>-0.69692307692305433</v>
      </c>
      <c r="J33">
        <f t="shared" si="11"/>
        <v>-0.32596963373388882</v>
      </c>
      <c r="K33">
        <f t="shared" si="5"/>
        <v>-5.4538461538458092E-5</v>
      </c>
      <c r="L33">
        <f t="shared" si="6"/>
        <v>-7.3999999999996296E-5</v>
      </c>
      <c r="M33">
        <f t="shared" si="7"/>
        <v>-6.4269230769227191E-5</v>
      </c>
      <c r="N33">
        <f t="shared" si="8"/>
        <v>-1.0965691253749044E-3</v>
      </c>
      <c r="O33" s="3">
        <f t="shared" si="9"/>
        <v>-10.965691253749045</v>
      </c>
    </row>
    <row r="34" spans="1:15" x14ac:dyDescent="0.25">
      <c r="A34">
        <v>1150</v>
      </c>
      <c r="B34" s="3">
        <v>3.3576846153846156</v>
      </c>
      <c r="C34" s="3">
        <v>3.3520500000000002</v>
      </c>
      <c r="D34">
        <f t="shared" si="2"/>
        <v>-5.6346153846154046E-3</v>
      </c>
      <c r="E34">
        <f t="shared" si="3"/>
        <v>-6.3548076923078956E-3</v>
      </c>
      <c r="F34" s="3">
        <v>145</v>
      </c>
      <c r="G34">
        <v>2139</v>
      </c>
      <c r="H34">
        <f t="shared" si="4"/>
        <v>-0.92144711538464485</v>
      </c>
      <c r="I34">
        <f t="shared" si="10"/>
        <v>-0.92144711538464485</v>
      </c>
      <c r="J34">
        <f t="shared" si="11"/>
        <v>-0.43078406516346185</v>
      </c>
      <c r="K34">
        <f t="shared" si="5"/>
        <v>-4.9211538461531033E-5</v>
      </c>
      <c r="L34">
        <f t="shared" si="6"/>
        <v>-8.3999999999999629E-5</v>
      </c>
      <c r="M34">
        <f t="shared" si="7"/>
        <v>-6.6605769230765338E-5</v>
      </c>
      <c r="N34">
        <f t="shared" si="8"/>
        <v>-1.3983302512013244E-3</v>
      </c>
      <c r="O34" s="3">
        <f t="shared" si="9"/>
        <v>-13.983302512013244</v>
      </c>
    </row>
    <row r="35" spans="1:15" x14ac:dyDescent="0.25">
      <c r="A35">
        <v>1200</v>
      </c>
      <c r="B35" s="3">
        <v>3.3553250000000006</v>
      </c>
      <c r="C35" s="3">
        <v>3.3482500000000002</v>
      </c>
      <c r="D35">
        <f t="shared" si="2"/>
        <v>-7.0750000000003865E-3</v>
      </c>
      <c r="E35">
        <f t="shared" si="3"/>
        <v>-5.6900000000004169E-3</v>
      </c>
      <c r="F35" s="3">
        <v>137</v>
      </c>
      <c r="G35">
        <v>2140</v>
      </c>
      <c r="H35">
        <f t="shared" si="4"/>
        <v>-0.77953000000005712</v>
      </c>
      <c r="I35">
        <f t="shared" si="10"/>
        <v>-0.77953000000005712</v>
      </c>
      <c r="J35">
        <f t="shared" si="11"/>
        <v>-0.3642663551402136</v>
      </c>
      <c r="K35">
        <f t="shared" si="5"/>
        <v>-7.6546153846153152E-5</v>
      </c>
      <c r="L35">
        <f t="shared" si="6"/>
        <v>-6.3250000000003584E-5</v>
      </c>
      <c r="M35">
        <f t="shared" si="7"/>
        <v>-6.9898076923078368E-5</v>
      </c>
      <c r="N35">
        <f t="shared" si="8"/>
        <v>-1.1267194831110884E-3</v>
      </c>
      <c r="O35" s="3">
        <f t="shared" si="9"/>
        <v>-11.267194831110885</v>
      </c>
    </row>
    <row r="36" spans="1:15" x14ac:dyDescent="0.25">
      <c r="A36">
        <v>1250</v>
      </c>
      <c r="B36" s="3">
        <v>3.3500300000000003</v>
      </c>
      <c r="C36" s="3">
        <v>3.3457249999999998</v>
      </c>
      <c r="D36">
        <f t="shared" si="2"/>
        <v>-4.3050000000004474E-3</v>
      </c>
      <c r="E36">
        <f t="shared" si="3"/>
        <v>-1.7983333333333462E-3</v>
      </c>
      <c r="F36" s="3">
        <v>124</v>
      </c>
      <c r="G36">
        <v>2141</v>
      </c>
      <c r="H36">
        <f t="shared" si="4"/>
        <v>-0.22299333333333493</v>
      </c>
      <c r="I36">
        <f t="shared" si="10"/>
        <v>-0.22299333333333493</v>
      </c>
      <c r="J36">
        <f t="shared" si="11"/>
        <v>-0.10415382220146424</v>
      </c>
      <c r="K36">
        <f t="shared" si="5"/>
        <v>-1.5058333333334062E-4</v>
      </c>
      <c r="L36">
        <f t="shared" si="6"/>
        <v>-7.2749999999999207E-5</v>
      </c>
      <c r="M36">
        <f t="shared" si="7"/>
        <v>-1.116666666666699E-4</v>
      </c>
      <c r="N36">
        <f t="shared" si="8"/>
        <v>-2.0165715282836704E-4</v>
      </c>
      <c r="O36" s="3">
        <f t="shared" si="9"/>
        <v>-2.0165715282836705</v>
      </c>
    </row>
    <row r="37" spans="1:15" x14ac:dyDescent="0.25">
      <c r="A37">
        <v>1300</v>
      </c>
      <c r="B37" s="3">
        <v>3.3402666666666665</v>
      </c>
      <c r="C37" s="3">
        <v>3.3409750000000003</v>
      </c>
      <c r="D37">
        <f t="shared" si="2"/>
        <v>7.0833333333375492E-4</v>
      </c>
      <c r="E37">
        <f t="shared" si="3"/>
        <v>4.0791666666666337E-3</v>
      </c>
      <c r="F37" s="3">
        <v>101</v>
      </c>
      <c r="G37">
        <v>2142</v>
      </c>
      <c r="H37">
        <f t="shared" si="4"/>
        <v>0.41199583333333001</v>
      </c>
      <c r="I37">
        <f t="shared" si="10"/>
        <v>0.41199583333333001</v>
      </c>
      <c r="J37">
        <f t="shared" si="11"/>
        <v>0.19234165888577498</v>
      </c>
      <c r="K37">
        <f t="shared" si="5"/>
        <v>-2.40800000000001E-4</v>
      </c>
      <c r="L37">
        <f t="shared" si="6"/>
        <v>-1.2325000000000142E-4</v>
      </c>
      <c r="M37">
        <f t="shared" si="7"/>
        <v>-1.8202500000000121E-4</v>
      </c>
      <c r="N37">
        <f t="shared" si="8"/>
        <v>2.2845690501105534E-4</v>
      </c>
      <c r="O37" s="3">
        <f t="shared" si="9"/>
        <v>2.2845690501105533</v>
      </c>
    </row>
    <row r="38" spans="1:15" x14ac:dyDescent="0.25">
      <c r="A38">
        <v>1350</v>
      </c>
      <c r="B38" s="3">
        <v>3.3259500000000002</v>
      </c>
      <c r="C38" s="3">
        <v>3.3333999999999997</v>
      </c>
      <c r="D38">
        <f t="shared" si="2"/>
        <v>7.4499999999995126E-3</v>
      </c>
      <c r="E38">
        <f t="shared" si="3"/>
        <v>3.7249999999997563E-3</v>
      </c>
      <c r="F38" s="3">
        <v>67</v>
      </c>
      <c r="G38">
        <v>2143</v>
      </c>
      <c r="H38">
        <f t="shared" si="4"/>
        <v>0.24957499999998367</v>
      </c>
      <c r="I38">
        <f t="shared" si="10"/>
        <v>0.24957499999998367</v>
      </c>
      <c r="J38">
        <f t="shared" si="11"/>
        <v>0.11646056929537268</v>
      </c>
      <c r="K38">
        <f t="shared" si="5"/>
        <v>-3.069166666666634E-4</v>
      </c>
      <c r="L38">
        <f t="shared" si="6"/>
        <v>-2.5275000000000156E-4</v>
      </c>
      <c r="M38">
        <f t="shared" si="7"/>
        <v>-2.7983333333333246E-4</v>
      </c>
      <c r="N38">
        <f t="shared" si="8"/>
        <v>8.9979056364730158E-5</v>
      </c>
      <c r="O38" s="3">
        <f t="shared" si="9"/>
        <v>0.89979056364730159</v>
      </c>
    </row>
    <row r="39" spans="1:15" x14ac:dyDescent="0.25">
      <c r="A39">
        <v>1400</v>
      </c>
      <c r="B39" s="3">
        <v>3.3095750000000002</v>
      </c>
      <c r="C39" s="3">
        <v>3.3157000000000001</v>
      </c>
      <c r="F39" s="3">
        <v>25.9</v>
      </c>
      <c r="O39" s="3"/>
    </row>
    <row r="40" spans="1:15" x14ac:dyDescent="0.25">
      <c r="B40" s="3"/>
      <c r="C40" s="3"/>
      <c r="D40" s="8"/>
      <c r="E40" s="8"/>
      <c r="F40" s="3"/>
      <c r="G40" s="9"/>
      <c r="O40" s="3"/>
    </row>
    <row r="41" spans="1:15" x14ac:dyDescent="0.25">
      <c r="B41" s="3"/>
      <c r="C41" s="3"/>
      <c r="D41" s="8"/>
      <c r="E41" s="8"/>
      <c r="F41" s="3"/>
      <c r="G41" s="9"/>
      <c r="O41" s="3"/>
    </row>
    <row r="42" spans="1:15" x14ac:dyDescent="0.25">
      <c r="B42" s="3"/>
      <c r="C42" s="3"/>
      <c r="D42" s="8"/>
      <c r="E42" s="8"/>
      <c r="F42" s="3"/>
      <c r="G42" s="9"/>
      <c r="O42" s="3"/>
    </row>
    <row r="43" spans="1:15" x14ac:dyDescent="0.25">
      <c r="B43" s="3"/>
      <c r="C43" s="3"/>
      <c r="D43" s="8"/>
      <c r="E43" s="8"/>
      <c r="F43" s="3"/>
      <c r="G43" s="9"/>
      <c r="O43" s="3"/>
    </row>
    <row r="44" spans="1:15" x14ac:dyDescent="0.25">
      <c r="B44" s="3"/>
      <c r="C44" s="3"/>
      <c r="D44" s="8"/>
      <c r="E44" s="8"/>
      <c r="F44" s="3"/>
      <c r="G44" s="9"/>
      <c r="O44" s="3"/>
    </row>
    <row r="45" spans="1:15" x14ac:dyDescent="0.25">
      <c r="B45" s="3"/>
      <c r="C45" s="3"/>
      <c r="D45" s="8"/>
      <c r="E45" s="8"/>
      <c r="F45" s="3"/>
      <c r="G45" s="9"/>
      <c r="O45" s="3"/>
    </row>
    <row r="46" spans="1:15" x14ac:dyDescent="0.25">
      <c r="B46" s="3"/>
      <c r="C46" s="3"/>
      <c r="D46" s="8"/>
      <c r="E46" s="8"/>
      <c r="F46" s="3"/>
      <c r="G46" s="9"/>
      <c r="O46" s="3"/>
    </row>
    <row r="47" spans="1:15" x14ac:dyDescent="0.25">
      <c r="B47" s="3"/>
      <c r="C47" s="3"/>
      <c r="D47" s="8"/>
      <c r="E47" s="8"/>
      <c r="F47" s="3"/>
      <c r="G47" s="9"/>
      <c r="O47" s="3"/>
    </row>
    <row r="48" spans="1:15" x14ac:dyDescent="0.25">
      <c r="B48" s="3"/>
      <c r="C48" s="3"/>
      <c r="D48" s="8"/>
      <c r="E48" s="8"/>
      <c r="F48" s="3"/>
      <c r="G48" s="9"/>
      <c r="O48" s="3"/>
    </row>
    <row r="49" spans="2:15" x14ac:dyDescent="0.25">
      <c r="B49" s="3"/>
      <c r="C49" s="3"/>
      <c r="D49" s="8"/>
      <c r="E49" s="8"/>
      <c r="F49" s="3"/>
      <c r="G49" s="9"/>
      <c r="O49" s="3"/>
    </row>
    <row r="50" spans="2:15" x14ac:dyDescent="0.25">
      <c r="B50" s="3"/>
      <c r="C50" s="3"/>
      <c r="D50" s="8"/>
      <c r="E50" s="8"/>
      <c r="F50" s="3"/>
      <c r="G50" s="9"/>
      <c r="O50" s="3"/>
    </row>
    <row r="51" spans="2:15" x14ac:dyDescent="0.25">
      <c r="B51" s="3"/>
      <c r="C51" s="3"/>
      <c r="D51" s="8"/>
      <c r="E51" s="8"/>
      <c r="F51" s="3"/>
      <c r="G51" s="9"/>
      <c r="O51" s="3"/>
    </row>
    <row r="52" spans="2:15" x14ac:dyDescent="0.25">
      <c r="B52" s="3"/>
      <c r="C52" s="3"/>
      <c r="D52" s="8"/>
      <c r="E52" s="8"/>
      <c r="F52" s="3"/>
      <c r="O52" s="3"/>
    </row>
    <row r="53" spans="2:15" x14ac:dyDescent="0.25">
      <c r="B53" s="3"/>
      <c r="C53" s="3"/>
      <c r="D53" s="8"/>
      <c r="E53" s="8"/>
      <c r="F53" s="3"/>
      <c r="G53" s="9"/>
      <c r="O53" s="3"/>
    </row>
    <row r="54" spans="2:15" x14ac:dyDescent="0.25">
      <c r="B54" s="3"/>
      <c r="C54" s="3"/>
      <c r="D54" s="8"/>
      <c r="E54" s="8"/>
      <c r="F54" s="3"/>
      <c r="G54" s="9"/>
      <c r="O54" s="3"/>
    </row>
    <row r="55" spans="2:15" x14ac:dyDescent="0.25">
      <c r="B55" s="3"/>
      <c r="C55" s="3"/>
      <c r="D55" s="8"/>
      <c r="E55" s="8"/>
      <c r="F55" s="3"/>
      <c r="G55" s="9"/>
      <c r="O55" s="3"/>
    </row>
    <row r="56" spans="2:15" x14ac:dyDescent="0.25">
      <c r="B56" s="3"/>
      <c r="C56" s="3"/>
      <c r="D56" s="8"/>
      <c r="E56" s="8"/>
      <c r="F56" s="3"/>
      <c r="G56" s="9"/>
      <c r="O56" s="3"/>
    </row>
    <row r="57" spans="2:15" x14ac:dyDescent="0.25">
      <c r="B57" s="3"/>
      <c r="C57" s="3"/>
      <c r="D57" s="8"/>
      <c r="E57" s="8"/>
      <c r="F57" s="3"/>
      <c r="G57" s="9"/>
      <c r="O57" s="3"/>
    </row>
    <row r="58" spans="2:15" x14ac:dyDescent="0.25">
      <c r="B58" s="3"/>
      <c r="D58" s="8"/>
      <c r="E58" s="8"/>
      <c r="F58" s="3"/>
      <c r="G58" s="9"/>
      <c r="O58" s="3"/>
    </row>
    <row r="59" spans="2:15" x14ac:dyDescent="0.25">
      <c r="B59" s="3"/>
      <c r="D59" s="8"/>
      <c r="E59" s="8"/>
      <c r="F59" s="3"/>
      <c r="G59" s="9"/>
      <c r="O59" s="3"/>
    </row>
    <row r="60" spans="2:15" x14ac:dyDescent="0.25">
      <c r="B60" s="3"/>
      <c r="D60" s="8"/>
      <c r="E60" s="8"/>
      <c r="F60" s="3"/>
      <c r="G60" s="9"/>
      <c r="O60" s="3"/>
    </row>
    <row r="61" spans="2:15" x14ac:dyDescent="0.25">
      <c r="B61" s="3"/>
      <c r="D61" s="8"/>
      <c r="E61" s="8"/>
      <c r="F61" s="3"/>
      <c r="G61" s="9"/>
      <c r="O61" s="3"/>
    </row>
    <row r="62" spans="2:15" x14ac:dyDescent="0.25">
      <c r="B62" s="3"/>
      <c r="D62" s="8"/>
      <c r="E62" s="8"/>
      <c r="F62" s="3"/>
      <c r="G62" s="9"/>
      <c r="O62" s="3"/>
    </row>
    <row r="63" spans="2:15" x14ac:dyDescent="0.25">
      <c r="B63" s="3"/>
      <c r="D63" s="8"/>
      <c r="E63" s="8"/>
      <c r="F63" s="3"/>
      <c r="G63" s="9"/>
      <c r="O63" s="3"/>
    </row>
    <row r="64" spans="2:15" x14ac:dyDescent="0.25">
      <c r="B64" s="3"/>
      <c r="D64" s="8"/>
      <c r="E64" s="8"/>
      <c r="F64" s="3"/>
      <c r="G64" s="9"/>
      <c r="O64" s="3"/>
    </row>
    <row r="65" spans="2:15" x14ac:dyDescent="0.25">
      <c r="B65" s="3"/>
      <c r="D65" s="8"/>
      <c r="E65" s="8"/>
      <c r="F65" s="3"/>
      <c r="G65" s="9"/>
      <c r="O65" s="3"/>
    </row>
    <row r="66" spans="2:15" x14ac:dyDescent="0.25">
      <c r="B66" s="3"/>
      <c r="D66" s="8"/>
      <c r="E66" s="8"/>
      <c r="F66" s="3"/>
      <c r="G66" s="9"/>
      <c r="O66" s="3"/>
    </row>
    <row r="67" spans="2:15" x14ac:dyDescent="0.25">
      <c r="B67" s="3"/>
      <c r="D67" s="8"/>
      <c r="E67" s="8"/>
      <c r="F67" s="3"/>
      <c r="G67" s="9"/>
      <c r="O67" s="3"/>
    </row>
    <row r="68" spans="2:15" x14ac:dyDescent="0.25">
      <c r="B68" s="3"/>
      <c r="D68" s="8"/>
      <c r="E68" s="8"/>
      <c r="F68" s="3"/>
      <c r="G68" s="9"/>
      <c r="O68" s="3"/>
    </row>
    <row r="69" spans="2:15" x14ac:dyDescent="0.25">
      <c r="B69" s="3"/>
      <c r="D69" s="8"/>
      <c r="E69" s="8"/>
      <c r="F69" s="3"/>
      <c r="G69" s="9"/>
      <c r="O69" s="3"/>
    </row>
    <row r="70" spans="2:15" x14ac:dyDescent="0.25">
      <c r="B70" s="3"/>
      <c r="D70" s="8"/>
      <c r="E70" s="8"/>
      <c r="F70" s="3"/>
      <c r="G70" s="9"/>
      <c r="O70" s="3"/>
    </row>
    <row r="71" spans="2:15" x14ac:dyDescent="0.25">
      <c r="B71" s="3"/>
      <c r="D71" s="8"/>
      <c r="E71" s="8"/>
      <c r="F71" s="3"/>
      <c r="G71" s="9"/>
      <c r="O71" s="3"/>
    </row>
    <row r="72" spans="2:15" x14ac:dyDescent="0.25">
      <c r="B72" s="3"/>
      <c r="D72" s="8"/>
      <c r="E72" s="8"/>
      <c r="F72" s="3"/>
      <c r="G72" s="9"/>
      <c r="O72" s="3"/>
    </row>
    <row r="73" spans="2:15" x14ac:dyDescent="0.25">
      <c r="B73" s="3"/>
      <c r="D73" s="8"/>
      <c r="E73" s="8"/>
      <c r="F73" s="3"/>
      <c r="G73" s="9"/>
      <c r="O73" s="3"/>
    </row>
    <row r="74" spans="2:15" x14ac:dyDescent="0.25">
      <c r="B74" s="3"/>
      <c r="D74" s="8"/>
      <c r="E74" s="8"/>
      <c r="F74" s="3"/>
      <c r="G74" s="9"/>
      <c r="O74" s="3"/>
    </row>
    <row r="75" spans="2:15" x14ac:dyDescent="0.25">
      <c r="B75" s="3"/>
      <c r="D75" s="8"/>
      <c r="E75" s="8"/>
      <c r="F75" s="3"/>
      <c r="G75" s="9"/>
      <c r="O75" s="3"/>
    </row>
    <row r="76" spans="2:15" x14ac:dyDescent="0.25">
      <c r="B76" s="3"/>
      <c r="D76" s="8"/>
      <c r="E76" s="8"/>
      <c r="F76" s="3"/>
      <c r="G76" s="9"/>
      <c r="O76" s="3"/>
    </row>
    <row r="77" spans="2:15" x14ac:dyDescent="0.25">
      <c r="B77" s="3"/>
      <c r="D77" s="8"/>
      <c r="E77" s="8"/>
      <c r="F77" s="3"/>
      <c r="O77" s="3"/>
    </row>
    <row r="78" spans="2:15" x14ac:dyDescent="0.25">
      <c r="B78" s="3"/>
      <c r="D78" s="8"/>
      <c r="E78" s="8"/>
      <c r="F78" s="3"/>
      <c r="G78" s="9"/>
      <c r="O78" s="3"/>
    </row>
    <row r="79" spans="2:15" x14ac:dyDescent="0.25">
      <c r="B79" s="3"/>
      <c r="D79" s="8"/>
      <c r="E79" s="8"/>
      <c r="F79" s="3"/>
      <c r="G79" s="9"/>
      <c r="O79" s="3"/>
    </row>
    <row r="80" spans="2:15" x14ac:dyDescent="0.25">
      <c r="B80" s="3"/>
      <c r="D80" s="8"/>
      <c r="E80" s="8"/>
      <c r="F80" s="3"/>
      <c r="G80" s="9"/>
      <c r="O80" s="3"/>
    </row>
    <row r="81" spans="4:15" x14ac:dyDescent="0.25">
      <c r="D81" s="8"/>
      <c r="E81" s="8"/>
      <c r="F81" s="3"/>
      <c r="G81" s="9"/>
      <c r="O81" s="3"/>
    </row>
    <row r="82" spans="4:15" x14ac:dyDescent="0.25">
      <c r="D82" s="8"/>
      <c r="E82" s="8"/>
      <c r="F82" s="3"/>
      <c r="G82" s="9"/>
      <c r="O82" s="3"/>
    </row>
    <row r="83" spans="4:15" x14ac:dyDescent="0.25">
      <c r="D83" s="8"/>
      <c r="E83" s="8"/>
      <c r="F83" s="3"/>
      <c r="G83" s="9"/>
      <c r="O83" s="3"/>
    </row>
    <row r="84" spans="4:15" x14ac:dyDescent="0.25">
      <c r="D84" s="8"/>
      <c r="E84" s="8"/>
      <c r="F84" s="3"/>
      <c r="G84" s="9"/>
      <c r="O84" s="3"/>
    </row>
    <row r="85" spans="4:15" x14ac:dyDescent="0.25">
      <c r="D85" s="8"/>
      <c r="E85" s="8"/>
      <c r="F85" s="3"/>
      <c r="G85" s="9"/>
      <c r="O85" s="3"/>
    </row>
    <row r="86" spans="4:15" x14ac:dyDescent="0.25">
      <c r="D86" s="8"/>
      <c r="E86" s="8"/>
      <c r="F86" s="3"/>
      <c r="G86" s="9"/>
      <c r="O86" s="3"/>
    </row>
    <row r="87" spans="4:15" x14ac:dyDescent="0.25">
      <c r="D87" s="8"/>
      <c r="E87" s="8"/>
      <c r="F87" s="3"/>
      <c r="G87" s="9"/>
      <c r="O87" s="3"/>
    </row>
    <row r="88" spans="4:15" x14ac:dyDescent="0.25">
      <c r="D88" s="8"/>
      <c r="E88" s="8"/>
      <c r="F88" s="3"/>
      <c r="G88" s="9"/>
      <c r="O88" s="3"/>
    </row>
    <row r="89" spans="4:15" x14ac:dyDescent="0.25">
      <c r="D89" s="8"/>
      <c r="E89" s="8"/>
      <c r="F89" s="3"/>
      <c r="G89" s="9"/>
      <c r="O89" s="3"/>
    </row>
    <row r="90" spans="4:15" x14ac:dyDescent="0.25">
      <c r="D90" s="8"/>
      <c r="E90" s="8"/>
      <c r="F90" s="3"/>
      <c r="G90" s="9"/>
      <c r="O90" s="3"/>
    </row>
    <row r="91" spans="4:15" x14ac:dyDescent="0.25">
      <c r="D91" s="8"/>
      <c r="E91" s="8"/>
      <c r="F91" s="3"/>
      <c r="G91" s="9"/>
      <c r="O91" s="3"/>
    </row>
    <row r="92" spans="4:15" x14ac:dyDescent="0.25">
      <c r="D92" s="8"/>
      <c r="E92" s="8"/>
      <c r="F92" s="3"/>
      <c r="G92" s="9"/>
      <c r="O92" s="3"/>
    </row>
    <row r="93" spans="4:15" x14ac:dyDescent="0.25">
      <c r="D93" s="8"/>
      <c r="E93" s="8"/>
      <c r="F93" s="3"/>
      <c r="G93" s="9"/>
      <c r="O93" s="3"/>
    </row>
    <row r="94" spans="4:15" x14ac:dyDescent="0.25">
      <c r="D94" s="8"/>
      <c r="E94" s="8"/>
      <c r="F94" s="3"/>
      <c r="G94" s="9"/>
      <c r="O94" s="3"/>
    </row>
    <row r="95" spans="4:15" x14ac:dyDescent="0.25">
      <c r="D95" s="8"/>
      <c r="E95" s="8"/>
      <c r="F95" s="3"/>
      <c r="G95" s="9"/>
      <c r="O95" s="3"/>
    </row>
    <row r="96" spans="4:15" x14ac:dyDescent="0.25">
      <c r="D96" s="8"/>
      <c r="E96" s="8"/>
      <c r="F96" s="3"/>
      <c r="G96" s="9"/>
      <c r="O96" s="3"/>
    </row>
    <row r="97" spans="4:15" x14ac:dyDescent="0.25">
      <c r="D97" s="8"/>
      <c r="E97" s="8"/>
      <c r="F97" s="3"/>
      <c r="G97" s="9"/>
      <c r="O97" s="3"/>
    </row>
    <row r="98" spans="4:15" x14ac:dyDescent="0.25">
      <c r="D98" s="8"/>
      <c r="E98" s="8"/>
      <c r="F98" s="3"/>
      <c r="G98" s="9"/>
      <c r="O98" s="3"/>
    </row>
    <row r="99" spans="4:15" x14ac:dyDescent="0.25">
      <c r="D99" s="8"/>
      <c r="E99" s="8"/>
      <c r="F99" s="3"/>
      <c r="G99" s="9"/>
      <c r="O99" s="3"/>
    </row>
    <row r="100" spans="4:15" x14ac:dyDescent="0.25">
      <c r="D100" s="8"/>
      <c r="E100" s="8"/>
      <c r="F100" s="3"/>
      <c r="G100" s="9"/>
      <c r="O100" s="3"/>
    </row>
    <row r="101" spans="4:15" x14ac:dyDescent="0.25">
      <c r="D101" s="8"/>
      <c r="E101" s="8"/>
      <c r="F101" s="3"/>
      <c r="G101" s="9"/>
      <c r="O101" s="3"/>
    </row>
    <row r="102" spans="4:15" x14ac:dyDescent="0.25">
      <c r="D102" s="8"/>
      <c r="E102" s="8"/>
      <c r="F102" s="3"/>
      <c r="O102" s="3"/>
    </row>
    <row r="103" spans="4:15" x14ac:dyDescent="0.25">
      <c r="D103" s="8"/>
      <c r="E103" s="8"/>
      <c r="F103" s="3"/>
      <c r="G103" s="9"/>
      <c r="O103" s="3"/>
    </row>
    <row r="104" spans="4:15" x14ac:dyDescent="0.25">
      <c r="D104" s="8"/>
      <c r="E104" s="8"/>
      <c r="F104" s="3"/>
      <c r="G104" s="9"/>
      <c r="O104" s="3"/>
    </row>
    <row r="105" spans="4:15" x14ac:dyDescent="0.25">
      <c r="D105" s="8"/>
      <c r="E105" s="8"/>
      <c r="F105" s="3"/>
      <c r="G105" s="9"/>
      <c r="O105" s="3"/>
    </row>
    <row r="106" spans="4:15" x14ac:dyDescent="0.25">
      <c r="D106" s="8"/>
      <c r="E106" s="8"/>
      <c r="F106" s="3"/>
      <c r="G106" s="9"/>
      <c r="O106" s="3"/>
    </row>
    <row r="107" spans="4:15" x14ac:dyDescent="0.25">
      <c r="D107" s="8"/>
      <c r="E107" s="8"/>
      <c r="F107" s="3"/>
      <c r="G107" s="9"/>
      <c r="O107" s="3"/>
    </row>
    <row r="108" spans="4:15" x14ac:dyDescent="0.25">
      <c r="D108" s="8"/>
      <c r="E108" s="8"/>
      <c r="F108" s="3"/>
      <c r="G108" s="9"/>
      <c r="O108" s="3"/>
    </row>
    <row r="109" spans="4:15" x14ac:dyDescent="0.25">
      <c r="D109" s="8"/>
      <c r="E109" s="8"/>
      <c r="F109" s="3"/>
      <c r="G109" s="9"/>
      <c r="O109" s="3"/>
    </row>
    <row r="110" spans="4:15" x14ac:dyDescent="0.25">
      <c r="D110" s="8"/>
      <c r="E110" s="8"/>
      <c r="F110" s="3"/>
      <c r="G110" s="9"/>
      <c r="O110" s="3"/>
    </row>
    <row r="111" spans="4:15" x14ac:dyDescent="0.25">
      <c r="D111" s="8"/>
      <c r="E111" s="8"/>
      <c r="F111" s="3"/>
      <c r="G111" s="9"/>
      <c r="O111" s="3"/>
    </row>
    <row r="112" spans="4:15" x14ac:dyDescent="0.25">
      <c r="D112" s="8"/>
      <c r="E112" s="8"/>
      <c r="F112" s="3"/>
      <c r="G112" s="9"/>
      <c r="O112" s="3"/>
    </row>
    <row r="113" spans="4:15" x14ac:dyDescent="0.25">
      <c r="D113" s="8"/>
      <c r="E113" s="8"/>
      <c r="F113" s="3"/>
      <c r="G113" s="9"/>
      <c r="O113" s="3"/>
    </row>
    <row r="114" spans="4:15" x14ac:dyDescent="0.25">
      <c r="D114" s="8"/>
      <c r="E114" s="8"/>
      <c r="F114" s="3"/>
      <c r="G114" s="9"/>
      <c r="O114" s="3"/>
    </row>
    <row r="115" spans="4:15" x14ac:dyDescent="0.25">
      <c r="D115" s="8"/>
      <c r="E115" s="8"/>
      <c r="F115" s="3"/>
      <c r="G115" s="9"/>
      <c r="O115" s="3"/>
    </row>
    <row r="116" spans="4:15" x14ac:dyDescent="0.25">
      <c r="D116" s="8"/>
      <c r="E116" s="8"/>
      <c r="F116" s="3"/>
      <c r="G116" s="9"/>
      <c r="O116" s="3"/>
    </row>
    <row r="117" spans="4:15" x14ac:dyDescent="0.25">
      <c r="D117" s="8"/>
      <c r="E117" s="8"/>
      <c r="F117" s="3"/>
      <c r="G117" s="9"/>
      <c r="O117" s="3"/>
    </row>
    <row r="118" spans="4:15" x14ac:dyDescent="0.25">
      <c r="D118" s="8"/>
      <c r="E118" s="8"/>
      <c r="F118" s="3"/>
      <c r="G118" s="9"/>
      <c r="O118" s="3"/>
    </row>
    <row r="119" spans="4:15" x14ac:dyDescent="0.25">
      <c r="D119" s="8"/>
      <c r="E119" s="8"/>
      <c r="F119" s="3"/>
      <c r="G119" s="9"/>
      <c r="O119" s="3"/>
    </row>
    <row r="120" spans="4:15" x14ac:dyDescent="0.25">
      <c r="D120" s="8"/>
      <c r="E120" s="8"/>
      <c r="F120" s="3"/>
      <c r="G120" s="9"/>
      <c r="O120" s="3"/>
    </row>
    <row r="121" spans="4:15" x14ac:dyDescent="0.25">
      <c r="D121" s="8"/>
      <c r="E121" s="8"/>
      <c r="F121" s="3"/>
      <c r="G121" s="9"/>
      <c r="O121" s="3"/>
    </row>
    <row r="122" spans="4:15" x14ac:dyDescent="0.25">
      <c r="D122" s="8"/>
      <c r="E122" s="8"/>
      <c r="F122" s="3"/>
      <c r="G122" s="9"/>
      <c r="O122" s="3"/>
    </row>
    <row r="123" spans="4:15" x14ac:dyDescent="0.25">
      <c r="D123" s="8"/>
      <c r="E123" s="8"/>
      <c r="F123" s="3"/>
      <c r="G123" s="9"/>
      <c r="O123" s="3"/>
    </row>
    <row r="124" spans="4:15" x14ac:dyDescent="0.25">
      <c r="D124" s="8"/>
      <c r="E124" s="8"/>
      <c r="F124" s="3"/>
      <c r="G124" s="9"/>
      <c r="O124" s="3"/>
    </row>
    <row r="125" spans="4:15" x14ac:dyDescent="0.25">
      <c r="D125" s="8"/>
      <c r="E125" s="8"/>
      <c r="F125" s="3"/>
      <c r="G125" s="9"/>
      <c r="O125" s="3"/>
    </row>
    <row r="126" spans="4:15" x14ac:dyDescent="0.25">
      <c r="D126" s="8"/>
      <c r="E126" s="8"/>
      <c r="F126" s="3"/>
      <c r="G126" s="9"/>
      <c r="O126" s="3"/>
    </row>
    <row r="127" spans="4:15" x14ac:dyDescent="0.25">
      <c r="D127" s="8"/>
      <c r="E127" s="8"/>
      <c r="F127" s="3"/>
      <c r="O127" s="3"/>
    </row>
    <row r="128" spans="4:15" x14ac:dyDescent="0.25">
      <c r="D128" s="8"/>
      <c r="E128" s="8"/>
      <c r="F128" s="3"/>
      <c r="G128" s="9"/>
      <c r="O128" s="3"/>
    </row>
    <row r="129" spans="4:15" x14ac:dyDescent="0.25">
      <c r="D129" s="8"/>
      <c r="E129" s="8"/>
      <c r="F129" s="3"/>
      <c r="G129" s="9"/>
      <c r="O129" s="3"/>
    </row>
    <row r="130" spans="4:15" x14ac:dyDescent="0.25">
      <c r="D130" s="8"/>
      <c r="E130" s="8"/>
      <c r="F130" s="3"/>
      <c r="G130" s="9"/>
      <c r="O130" s="3"/>
    </row>
    <row r="131" spans="4:15" x14ac:dyDescent="0.25">
      <c r="D131" s="8"/>
      <c r="E131" s="8"/>
      <c r="F131" s="3"/>
      <c r="G131" s="9"/>
      <c r="O131" s="3"/>
    </row>
    <row r="132" spans="4:15" x14ac:dyDescent="0.25">
      <c r="D132" s="8"/>
      <c r="E132" s="8"/>
      <c r="F132" s="3"/>
      <c r="G132" s="9"/>
      <c r="O132" s="3"/>
    </row>
    <row r="133" spans="4:15" x14ac:dyDescent="0.25">
      <c r="D133" s="8"/>
      <c r="E133" s="8"/>
      <c r="F133" s="3"/>
      <c r="G133" s="9"/>
      <c r="O133" s="3"/>
    </row>
    <row r="134" spans="4:15" x14ac:dyDescent="0.25">
      <c r="D134" s="8"/>
      <c r="E134" s="8"/>
      <c r="F134" s="3"/>
      <c r="G134" s="9"/>
      <c r="O134" s="3"/>
    </row>
    <row r="135" spans="4:15" x14ac:dyDescent="0.25">
      <c r="D135" s="8"/>
      <c r="E135" s="8"/>
      <c r="F135" s="3"/>
      <c r="G135" s="9"/>
      <c r="O135" s="3"/>
    </row>
    <row r="136" spans="4:15" x14ac:dyDescent="0.25">
      <c r="D136" s="8"/>
      <c r="E136" s="8"/>
      <c r="F136" s="3"/>
      <c r="G136" s="9"/>
      <c r="O136" s="3"/>
    </row>
    <row r="137" spans="4:15" x14ac:dyDescent="0.25">
      <c r="D137" s="8"/>
      <c r="E137" s="8"/>
      <c r="F137" s="3"/>
      <c r="G137" s="9"/>
      <c r="O137" s="3"/>
    </row>
    <row r="138" spans="4:15" x14ac:dyDescent="0.25">
      <c r="D138" s="8"/>
      <c r="E138" s="8"/>
      <c r="F138" s="3"/>
      <c r="G138" s="9"/>
      <c r="O138" s="3"/>
    </row>
    <row r="139" spans="4:15" x14ac:dyDescent="0.25">
      <c r="D139" s="8"/>
      <c r="E139" s="8"/>
      <c r="F139" s="3"/>
      <c r="G139" s="9"/>
      <c r="O139" s="3"/>
    </row>
    <row r="140" spans="4:15" x14ac:dyDescent="0.25">
      <c r="D140" s="8"/>
      <c r="E140" s="8"/>
      <c r="F140" s="3"/>
      <c r="G140" s="9"/>
      <c r="O140" s="3"/>
    </row>
    <row r="141" spans="4:15" x14ac:dyDescent="0.25">
      <c r="D141" s="8"/>
      <c r="E141" s="8"/>
      <c r="F141" s="3"/>
      <c r="G141" s="9"/>
      <c r="O141" s="3"/>
    </row>
    <row r="142" spans="4:15" x14ac:dyDescent="0.25">
      <c r="D142" s="8"/>
      <c r="E142" s="8"/>
      <c r="F142" s="3"/>
      <c r="G142" s="9"/>
      <c r="O142" s="3"/>
    </row>
    <row r="143" spans="4:15" x14ac:dyDescent="0.25">
      <c r="D143" s="8"/>
      <c r="E143" s="8"/>
      <c r="F143" s="3"/>
      <c r="G143" s="9"/>
      <c r="O143" s="3"/>
    </row>
    <row r="144" spans="4:15" x14ac:dyDescent="0.25">
      <c r="D144" s="8"/>
      <c r="E144" s="8"/>
      <c r="F144" s="3"/>
      <c r="G144" s="9"/>
      <c r="O144" s="3"/>
    </row>
    <row r="145" spans="4:15" x14ac:dyDescent="0.25">
      <c r="D145" s="8"/>
      <c r="E145" s="8"/>
      <c r="F145" s="3"/>
      <c r="G145" s="9"/>
      <c r="O145" s="3"/>
    </row>
    <row r="146" spans="4:15" x14ac:dyDescent="0.25">
      <c r="D146" s="8"/>
      <c r="E146" s="8"/>
      <c r="F146" s="3"/>
      <c r="G146" s="9"/>
      <c r="O146" s="3"/>
    </row>
    <row r="147" spans="4:15" x14ac:dyDescent="0.25">
      <c r="D147" s="8"/>
      <c r="E147" s="8"/>
      <c r="F147" s="3"/>
      <c r="G147" s="9"/>
      <c r="O147" s="3"/>
    </row>
    <row r="148" spans="4:15" x14ac:dyDescent="0.25">
      <c r="D148" s="8"/>
      <c r="E148" s="8"/>
      <c r="F148" s="3"/>
      <c r="G148" s="9"/>
      <c r="O148" s="3"/>
    </row>
    <row r="149" spans="4:15" x14ac:dyDescent="0.25">
      <c r="D149" s="8"/>
      <c r="E149" s="8"/>
      <c r="F149" s="3"/>
      <c r="G149" s="9"/>
      <c r="O149" s="3"/>
    </row>
    <row r="150" spans="4:15" x14ac:dyDescent="0.25">
      <c r="D150" s="8"/>
      <c r="E150" s="8"/>
      <c r="F150" s="3"/>
      <c r="G150" s="9"/>
      <c r="O150" s="3"/>
    </row>
    <row r="151" spans="4:15" x14ac:dyDescent="0.25">
      <c r="D151" s="8"/>
      <c r="E151" s="8"/>
      <c r="F151" s="3"/>
      <c r="G151" s="9"/>
      <c r="O151" s="3"/>
    </row>
    <row r="152" spans="4:15" x14ac:dyDescent="0.25">
      <c r="D152" s="8"/>
      <c r="E152" s="8"/>
      <c r="F152" s="3"/>
      <c r="O152" s="3"/>
    </row>
    <row r="153" spans="4:15" x14ac:dyDescent="0.25">
      <c r="D153" s="8"/>
      <c r="E153" s="8"/>
      <c r="F153" s="3"/>
      <c r="G153" s="9"/>
      <c r="O153" s="3"/>
    </row>
    <row r="154" spans="4:15" x14ac:dyDescent="0.25">
      <c r="D154" s="8"/>
      <c r="E154" s="8"/>
      <c r="F154" s="3"/>
      <c r="G154" s="9"/>
      <c r="O154" s="3"/>
    </row>
    <row r="155" spans="4:15" x14ac:dyDescent="0.25">
      <c r="D155" s="8"/>
      <c r="E155" s="8"/>
      <c r="F155" s="3"/>
      <c r="G155" s="9"/>
      <c r="O155" s="3"/>
    </row>
    <row r="156" spans="4:15" x14ac:dyDescent="0.25">
      <c r="D156" s="8"/>
      <c r="E156" s="8"/>
      <c r="F156" s="3"/>
      <c r="G156" s="9"/>
      <c r="O156" s="3"/>
    </row>
    <row r="157" spans="4:15" x14ac:dyDescent="0.25">
      <c r="D157" s="8"/>
      <c r="E157" s="8"/>
      <c r="F157" s="3"/>
      <c r="G157" s="9"/>
      <c r="O157" s="3"/>
    </row>
    <row r="158" spans="4:15" x14ac:dyDescent="0.25">
      <c r="D158" s="8"/>
      <c r="E158" s="8"/>
      <c r="F158" s="3"/>
      <c r="G158" s="9"/>
      <c r="O158" s="3"/>
    </row>
    <row r="159" spans="4:15" x14ac:dyDescent="0.25">
      <c r="D159" s="8"/>
      <c r="E159" s="8"/>
      <c r="F159" s="3"/>
      <c r="G159" s="9"/>
      <c r="O159" s="3"/>
    </row>
    <row r="160" spans="4:15" x14ac:dyDescent="0.25">
      <c r="D160" s="8"/>
      <c r="E160" s="8"/>
      <c r="F160" s="3"/>
      <c r="G160" s="9"/>
      <c r="O160" s="3"/>
    </row>
    <row r="161" spans="4:15" x14ac:dyDescent="0.25">
      <c r="D161" s="8"/>
      <c r="E161" s="8"/>
      <c r="F161" s="3"/>
      <c r="G161" s="9"/>
      <c r="O161" s="3"/>
    </row>
    <row r="162" spans="4:15" x14ac:dyDescent="0.25">
      <c r="D162" s="8"/>
      <c r="E162" s="8"/>
      <c r="F162" s="3"/>
      <c r="G162" s="9"/>
      <c r="O162" s="3"/>
    </row>
    <row r="163" spans="4:15" x14ac:dyDescent="0.25">
      <c r="D163" s="8"/>
      <c r="E163" s="8"/>
      <c r="F163" s="3"/>
      <c r="G163" s="9"/>
      <c r="O163" s="3"/>
    </row>
    <row r="164" spans="4:15" x14ac:dyDescent="0.25">
      <c r="D164" s="8"/>
      <c r="E164" s="8"/>
      <c r="F164" s="3"/>
      <c r="G164" s="9"/>
      <c r="O164" s="3"/>
    </row>
    <row r="165" spans="4:15" x14ac:dyDescent="0.25">
      <c r="D165" s="8"/>
      <c r="E165" s="8"/>
      <c r="F165" s="3"/>
      <c r="G165" s="9"/>
      <c r="O165" s="3"/>
    </row>
    <row r="166" spans="4:15" x14ac:dyDescent="0.25">
      <c r="D166" s="8"/>
      <c r="E166" s="8"/>
      <c r="F166" s="3"/>
      <c r="G166" s="9"/>
      <c r="O166" s="3"/>
    </row>
    <row r="167" spans="4:15" x14ac:dyDescent="0.25">
      <c r="D167" s="8"/>
      <c r="E167" s="8"/>
      <c r="F167" s="3"/>
      <c r="G167" s="9"/>
      <c r="O167" s="3"/>
    </row>
    <row r="168" spans="4:15" x14ac:dyDescent="0.25">
      <c r="D168" s="8"/>
      <c r="E168" s="8"/>
      <c r="F168" s="3"/>
      <c r="G168" s="9"/>
      <c r="O168" s="3"/>
    </row>
    <row r="169" spans="4:15" x14ac:dyDescent="0.25">
      <c r="D169" s="8"/>
      <c r="E169" s="8"/>
      <c r="F169" s="3"/>
      <c r="G169" s="9"/>
      <c r="O169" s="3"/>
    </row>
    <row r="170" spans="4:15" x14ac:dyDescent="0.25">
      <c r="D170" s="8"/>
      <c r="E170" s="8"/>
      <c r="F170" s="3"/>
      <c r="G170" s="9"/>
      <c r="O170" s="3"/>
    </row>
    <row r="171" spans="4:15" x14ac:dyDescent="0.25">
      <c r="D171" s="8"/>
      <c r="E171" s="8"/>
      <c r="F171" s="3"/>
      <c r="G171" s="9"/>
      <c r="O171" s="3"/>
    </row>
    <row r="172" spans="4:15" x14ac:dyDescent="0.25">
      <c r="D172" s="8"/>
      <c r="E172" s="8"/>
      <c r="F172" s="3"/>
      <c r="G172" s="9"/>
      <c r="O172" s="3"/>
    </row>
    <row r="173" spans="4:15" x14ac:dyDescent="0.25">
      <c r="D173" s="8"/>
      <c r="E173" s="8"/>
      <c r="F173" s="3"/>
      <c r="G173" s="9"/>
      <c r="O173" s="3"/>
    </row>
    <row r="174" spans="4:15" x14ac:dyDescent="0.25">
      <c r="D174" s="8"/>
      <c r="E174" s="8"/>
      <c r="F174" s="3"/>
      <c r="G174" s="9"/>
      <c r="O174" s="3"/>
    </row>
    <row r="175" spans="4:15" x14ac:dyDescent="0.25">
      <c r="D175" s="8"/>
      <c r="E175" s="8"/>
      <c r="F175" s="3"/>
      <c r="G175" s="9"/>
      <c r="O175" s="3"/>
    </row>
    <row r="176" spans="4:15" x14ac:dyDescent="0.25">
      <c r="D176" s="8"/>
      <c r="E176" s="8"/>
      <c r="F176" s="3"/>
      <c r="G176" s="9"/>
      <c r="O176" s="3"/>
    </row>
    <row r="177" spans="4:15" x14ac:dyDescent="0.25">
      <c r="D177" s="8"/>
      <c r="E177" s="8"/>
      <c r="F177" s="3"/>
      <c r="O177" s="3"/>
    </row>
    <row r="178" spans="4:15" x14ac:dyDescent="0.25">
      <c r="D178" s="8"/>
      <c r="E178" s="8"/>
      <c r="F178" s="3"/>
      <c r="G178" s="9"/>
      <c r="O178" s="3"/>
    </row>
    <row r="179" spans="4:15" x14ac:dyDescent="0.25">
      <c r="D179" s="8"/>
      <c r="E179" s="8"/>
      <c r="F179" s="3"/>
      <c r="G179" s="9"/>
      <c r="O179" s="3"/>
    </row>
    <row r="180" spans="4:15" x14ac:dyDescent="0.25">
      <c r="D180" s="8"/>
      <c r="E180" s="8"/>
      <c r="F180" s="3"/>
      <c r="G180" s="9"/>
      <c r="O180" s="3"/>
    </row>
    <row r="181" spans="4:15" x14ac:dyDescent="0.25">
      <c r="D181" s="8"/>
      <c r="E181" s="8"/>
      <c r="F181" s="3"/>
      <c r="G181" s="9"/>
      <c r="O181" s="3"/>
    </row>
    <row r="182" spans="4:15" x14ac:dyDescent="0.25">
      <c r="D182" s="8"/>
      <c r="E182" s="8"/>
      <c r="F182" s="3"/>
      <c r="G182" s="9"/>
      <c r="O182" s="3"/>
    </row>
    <row r="183" spans="4:15" x14ac:dyDescent="0.25">
      <c r="D183" s="8"/>
      <c r="E183" s="8"/>
      <c r="F183" s="3"/>
      <c r="G183" s="9"/>
      <c r="O183" s="3"/>
    </row>
    <row r="184" spans="4:15" x14ac:dyDescent="0.25">
      <c r="D184" s="8"/>
      <c r="E184" s="8"/>
      <c r="F184" s="3"/>
      <c r="G184" s="9"/>
      <c r="O184" s="3"/>
    </row>
    <row r="185" spans="4:15" x14ac:dyDescent="0.25">
      <c r="D185" s="8"/>
      <c r="E185" s="8"/>
      <c r="F185" s="3"/>
      <c r="G185" s="9"/>
      <c r="O185" s="3"/>
    </row>
    <row r="186" spans="4:15" x14ac:dyDescent="0.25">
      <c r="D186" s="8"/>
      <c r="E186" s="8"/>
      <c r="F186" s="3"/>
      <c r="G186" s="9"/>
      <c r="O186" s="3"/>
    </row>
    <row r="187" spans="4:15" x14ac:dyDescent="0.25">
      <c r="D187" s="8"/>
      <c r="E187" s="8"/>
      <c r="F187" s="3"/>
      <c r="G187" s="9"/>
      <c r="O187" s="3"/>
    </row>
    <row r="188" spans="4:15" x14ac:dyDescent="0.25">
      <c r="D188" s="8"/>
      <c r="E188" s="8"/>
      <c r="F188" s="3"/>
      <c r="G188" s="9"/>
      <c r="O188" s="3"/>
    </row>
    <row r="189" spans="4:15" x14ac:dyDescent="0.25">
      <c r="D189" s="8"/>
      <c r="E189" s="8"/>
      <c r="F189" s="3"/>
      <c r="G189" s="9"/>
      <c r="O189" s="3"/>
    </row>
    <row r="190" spans="4:15" x14ac:dyDescent="0.25">
      <c r="D190" s="8"/>
      <c r="E190" s="8"/>
      <c r="F190" s="3"/>
      <c r="G190" s="9"/>
      <c r="O190" s="3"/>
    </row>
    <row r="191" spans="4:15" x14ac:dyDescent="0.25">
      <c r="D191" s="8"/>
      <c r="E191" s="8"/>
      <c r="F191" s="3"/>
      <c r="G191" s="9"/>
      <c r="O191" s="3"/>
    </row>
    <row r="192" spans="4:15" x14ac:dyDescent="0.25">
      <c r="D192" s="8"/>
      <c r="E192" s="8"/>
      <c r="F192" s="3"/>
      <c r="G192" s="9"/>
      <c r="O192" s="3"/>
    </row>
    <row r="193" spans="4:15" x14ac:dyDescent="0.25">
      <c r="D193" s="8"/>
      <c r="E193" s="8"/>
      <c r="F193" s="3"/>
      <c r="G193" s="9"/>
      <c r="O193" s="3"/>
    </row>
    <row r="194" spans="4:15" x14ac:dyDescent="0.25">
      <c r="D194" s="8"/>
      <c r="E194" s="8"/>
      <c r="F194" s="3"/>
      <c r="G194" s="9"/>
      <c r="O194" s="3"/>
    </row>
    <row r="195" spans="4:15" x14ac:dyDescent="0.25">
      <c r="D195" s="8"/>
      <c r="E195" s="8"/>
      <c r="F195" s="3"/>
      <c r="G195" s="9"/>
      <c r="O195" s="3"/>
    </row>
    <row r="196" spans="4:15" x14ac:dyDescent="0.25">
      <c r="D196" s="8"/>
      <c r="E196" s="8"/>
      <c r="F196" s="3"/>
      <c r="G196" s="9"/>
      <c r="O196" s="3"/>
    </row>
    <row r="197" spans="4:15" x14ac:dyDescent="0.25">
      <c r="D197" s="8"/>
      <c r="E197" s="8"/>
      <c r="F197" s="3"/>
      <c r="G197" s="9"/>
      <c r="O197" s="3"/>
    </row>
    <row r="198" spans="4:15" x14ac:dyDescent="0.25">
      <c r="D198" s="8"/>
      <c r="E198" s="8"/>
      <c r="F198" s="3"/>
      <c r="G198" s="9"/>
      <c r="O198" s="3"/>
    </row>
    <row r="199" spans="4:15" x14ac:dyDescent="0.25">
      <c r="D199" s="8"/>
      <c r="E199" s="8"/>
      <c r="F199" s="3"/>
      <c r="G199" s="9"/>
      <c r="O199" s="3"/>
    </row>
    <row r="200" spans="4:15" x14ac:dyDescent="0.25">
      <c r="D200" s="8"/>
      <c r="E200" s="8"/>
      <c r="F200" s="3"/>
      <c r="G200" s="9"/>
      <c r="O200" s="3"/>
    </row>
    <row r="201" spans="4:15" x14ac:dyDescent="0.25">
      <c r="D201" s="8"/>
      <c r="E201" s="8"/>
      <c r="F201" s="3"/>
      <c r="G201" s="9"/>
      <c r="O201" s="3"/>
    </row>
    <row r="202" spans="4:15" x14ac:dyDescent="0.25">
      <c r="D202" s="8"/>
      <c r="E202" s="8"/>
      <c r="F202" s="3"/>
      <c r="O202" s="3"/>
    </row>
    <row r="203" spans="4:15" x14ac:dyDescent="0.25">
      <c r="D203" s="8"/>
      <c r="E203" s="8"/>
      <c r="F203" s="3"/>
      <c r="G203" s="9"/>
      <c r="O203" s="3"/>
    </row>
    <row r="204" spans="4:15" x14ac:dyDescent="0.25">
      <c r="D204" s="8"/>
      <c r="E204" s="8"/>
      <c r="F204" s="3"/>
      <c r="G204" s="9"/>
      <c r="O204" s="3"/>
    </row>
    <row r="205" spans="4:15" x14ac:dyDescent="0.25">
      <c r="D205" s="8"/>
      <c r="E205" s="8"/>
      <c r="F205" s="3"/>
      <c r="G205" s="9"/>
      <c r="O205" s="3"/>
    </row>
    <row r="206" spans="4:15" x14ac:dyDescent="0.25">
      <c r="D206" s="8"/>
      <c r="E206" s="8"/>
      <c r="F206" s="3"/>
      <c r="G206" s="9"/>
      <c r="O206" s="3"/>
    </row>
    <row r="207" spans="4:15" x14ac:dyDescent="0.25">
      <c r="D207" s="8"/>
      <c r="E207" s="8"/>
      <c r="F207" s="3"/>
      <c r="G207" s="9"/>
      <c r="O207" s="3"/>
    </row>
    <row r="208" spans="4:15" x14ac:dyDescent="0.25">
      <c r="D208" s="8"/>
      <c r="E208" s="8"/>
      <c r="F208" s="3"/>
      <c r="G208" s="9"/>
      <c r="O208" s="3"/>
    </row>
    <row r="209" spans="4:15" x14ac:dyDescent="0.25">
      <c r="D209" s="8"/>
      <c r="E209" s="8"/>
      <c r="F209" s="3"/>
      <c r="G209" s="9"/>
      <c r="O209" s="3"/>
    </row>
    <row r="210" spans="4:15" x14ac:dyDescent="0.25">
      <c r="D210" s="8"/>
      <c r="E210" s="8"/>
      <c r="F210" s="3"/>
      <c r="G210" s="9"/>
      <c r="O210" s="3"/>
    </row>
    <row r="211" spans="4:15" x14ac:dyDescent="0.25">
      <c r="D211" s="8"/>
      <c r="E211" s="8"/>
      <c r="F211" s="3"/>
      <c r="G211" s="9"/>
      <c r="O211" s="3"/>
    </row>
    <row r="212" spans="4:15" x14ac:dyDescent="0.25">
      <c r="D212" s="8"/>
      <c r="E212" s="8"/>
      <c r="F212" s="3"/>
      <c r="G212" s="9"/>
      <c r="O212" s="3"/>
    </row>
    <row r="213" spans="4:15" x14ac:dyDescent="0.25">
      <c r="D213" s="8"/>
      <c r="E213" s="8"/>
      <c r="F213" s="3"/>
      <c r="G213" s="9"/>
      <c r="O213" s="3"/>
    </row>
    <row r="214" spans="4:15" x14ac:dyDescent="0.25">
      <c r="D214" s="8"/>
      <c r="E214" s="8"/>
      <c r="F214" s="3"/>
      <c r="G214" s="9"/>
      <c r="O214" s="3"/>
    </row>
    <row r="215" spans="4:15" x14ac:dyDescent="0.25">
      <c r="D215" s="8"/>
      <c r="E215" s="8"/>
      <c r="F215" s="3"/>
      <c r="G215" s="9"/>
      <c r="O215" s="3"/>
    </row>
    <row r="216" spans="4:15" x14ac:dyDescent="0.25">
      <c r="D216" s="8"/>
      <c r="E216" s="8"/>
      <c r="F216" s="3"/>
      <c r="G216" s="9"/>
      <c r="O216" s="3"/>
    </row>
    <row r="217" spans="4:15" x14ac:dyDescent="0.25">
      <c r="D217" s="8"/>
      <c r="E217" s="8"/>
      <c r="F217" s="3"/>
      <c r="G217" s="9"/>
      <c r="O217" s="3"/>
    </row>
    <row r="218" spans="4:15" x14ac:dyDescent="0.25">
      <c r="D218" s="8"/>
      <c r="E218" s="8"/>
      <c r="F218" s="3"/>
      <c r="G218" s="9"/>
      <c r="O218" s="3"/>
    </row>
    <row r="219" spans="4:15" x14ac:dyDescent="0.25">
      <c r="D219" s="8"/>
      <c r="E219" s="8"/>
      <c r="F219" s="3"/>
      <c r="G219" s="9"/>
      <c r="O219" s="3"/>
    </row>
    <row r="220" spans="4:15" x14ac:dyDescent="0.25">
      <c r="D220" s="8"/>
      <c r="E220" s="8"/>
      <c r="F220" s="3"/>
      <c r="G220" s="9"/>
      <c r="O220" s="3"/>
    </row>
    <row r="221" spans="4:15" x14ac:dyDescent="0.25">
      <c r="D221" s="8"/>
      <c r="E221" s="8"/>
      <c r="F221" s="3"/>
      <c r="G221" s="9"/>
      <c r="O221" s="3"/>
    </row>
    <row r="222" spans="4:15" x14ac:dyDescent="0.25">
      <c r="D222" s="8"/>
      <c r="E222" s="8"/>
      <c r="F222" s="3"/>
      <c r="G222" s="9"/>
      <c r="O222" s="3"/>
    </row>
    <row r="223" spans="4:15" x14ac:dyDescent="0.25">
      <c r="D223" s="8"/>
      <c r="E223" s="8"/>
      <c r="F223" s="3"/>
      <c r="G223" s="9"/>
      <c r="O223" s="3"/>
    </row>
    <row r="224" spans="4:15" x14ac:dyDescent="0.25">
      <c r="D224" s="8"/>
      <c r="E224" s="8"/>
      <c r="F224" s="3"/>
      <c r="G224" s="9"/>
      <c r="O224" s="3"/>
    </row>
    <row r="225" spans="4:15" x14ac:dyDescent="0.25">
      <c r="D225" s="8"/>
      <c r="E225" s="8"/>
      <c r="F225" s="3"/>
      <c r="G225" s="9"/>
      <c r="O225" s="3"/>
    </row>
    <row r="226" spans="4:15" x14ac:dyDescent="0.25">
      <c r="D226" s="8"/>
      <c r="E226" s="8"/>
      <c r="F226" s="3"/>
      <c r="G226" s="9"/>
      <c r="O226" s="3"/>
    </row>
    <row r="227" spans="4:15" x14ac:dyDescent="0.25">
      <c r="D227" s="8"/>
      <c r="E227" s="8"/>
      <c r="F227" s="3"/>
      <c r="O227" s="3"/>
    </row>
    <row r="228" spans="4:15" x14ac:dyDescent="0.25">
      <c r="D228" s="8"/>
      <c r="E228" s="8"/>
      <c r="F228" s="3"/>
      <c r="G228" s="9"/>
      <c r="O228" s="3"/>
    </row>
    <row r="229" spans="4:15" x14ac:dyDescent="0.25">
      <c r="D229" s="8"/>
      <c r="E229" s="8"/>
      <c r="F229" s="3"/>
      <c r="G229" s="9"/>
      <c r="O229" s="3"/>
    </row>
    <row r="230" spans="4:15" x14ac:dyDescent="0.25">
      <c r="D230" s="8"/>
      <c r="E230" s="8"/>
      <c r="F230" s="3"/>
      <c r="G230" s="9"/>
      <c r="O230" s="3"/>
    </row>
    <row r="231" spans="4:15" x14ac:dyDescent="0.25">
      <c r="D231" s="8"/>
      <c r="E231" s="8"/>
      <c r="F231" s="3"/>
      <c r="G231" s="9"/>
      <c r="O231" s="3"/>
    </row>
    <row r="232" spans="4:15" x14ac:dyDescent="0.25">
      <c r="D232" s="8"/>
      <c r="E232" s="8"/>
      <c r="F232" s="3"/>
      <c r="G232" s="9"/>
      <c r="O232" s="3"/>
    </row>
    <row r="233" spans="4:15" x14ac:dyDescent="0.25">
      <c r="D233" s="8"/>
      <c r="E233" s="8"/>
      <c r="F233" s="3"/>
      <c r="G233" s="9"/>
      <c r="O233" s="3"/>
    </row>
    <row r="234" spans="4:15" x14ac:dyDescent="0.25">
      <c r="D234" s="8"/>
      <c r="E234" s="8"/>
      <c r="F234" s="3"/>
      <c r="G234" s="9"/>
      <c r="O234" s="3"/>
    </row>
    <row r="235" spans="4:15" x14ac:dyDescent="0.25">
      <c r="D235" s="8"/>
      <c r="E235" s="8"/>
      <c r="F235" s="3"/>
      <c r="G235" s="9"/>
      <c r="O235" s="3"/>
    </row>
    <row r="236" spans="4:15" x14ac:dyDescent="0.25">
      <c r="D236" s="8"/>
      <c r="E236" s="8"/>
      <c r="F236" s="3"/>
      <c r="G236" s="9"/>
      <c r="O236" s="3"/>
    </row>
    <row r="237" spans="4:15" x14ac:dyDescent="0.25">
      <c r="D237" s="8"/>
      <c r="E237" s="8"/>
      <c r="F237" s="3"/>
      <c r="G237" s="9"/>
      <c r="O237" s="3"/>
    </row>
    <row r="238" spans="4:15" x14ac:dyDescent="0.25">
      <c r="D238" s="8"/>
      <c r="E238" s="8"/>
      <c r="F238" s="3"/>
      <c r="G238" s="9"/>
      <c r="O238" s="3"/>
    </row>
    <row r="239" spans="4:15" x14ac:dyDescent="0.25">
      <c r="D239" s="8"/>
      <c r="E239" s="8"/>
      <c r="F239" s="3"/>
      <c r="G239" s="9"/>
      <c r="O239" s="3"/>
    </row>
    <row r="240" spans="4:15" x14ac:dyDescent="0.25">
      <c r="D240" s="8"/>
      <c r="E240" s="8"/>
      <c r="F240" s="3"/>
      <c r="G240" s="9"/>
      <c r="O240" s="3"/>
    </row>
    <row r="241" spans="4:15" x14ac:dyDescent="0.25">
      <c r="D241" s="8"/>
      <c r="E241" s="8"/>
      <c r="F241" s="3"/>
      <c r="G241" s="9"/>
      <c r="O241" s="3"/>
    </row>
    <row r="242" spans="4:15" x14ac:dyDescent="0.25">
      <c r="D242" s="8"/>
      <c r="E242" s="8"/>
      <c r="F242" s="3"/>
      <c r="G242" s="9"/>
      <c r="O242" s="3"/>
    </row>
    <row r="243" spans="4:15" x14ac:dyDescent="0.25">
      <c r="D243" s="8"/>
      <c r="E243" s="8"/>
      <c r="F243" s="3"/>
      <c r="G243" s="9"/>
      <c r="O243" s="3"/>
    </row>
    <row r="244" spans="4:15" x14ac:dyDescent="0.25">
      <c r="D244" s="8"/>
      <c r="E244" s="8"/>
      <c r="F244" s="3"/>
      <c r="G244" s="9"/>
      <c r="O244" s="3"/>
    </row>
    <row r="245" spans="4:15" x14ac:dyDescent="0.25">
      <c r="D245" s="8"/>
      <c r="E245" s="8"/>
      <c r="F245" s="3"/>
      <c r="G245" s="9"/>
      <c r="O245" s="3"/>
    </row>
    <row r="246" spans="4:15" x14ac:dyDescent="0.25">
      <c r="D246" s="8"/>
      <c r="E246" s="8"/>
      <c r="F246" s="3"/>
      <c r="G246" s="9"/>
      <c r="O246" s="3"/>
    </row>
    <row r="247" spans="4:15" x14ac:dyDescent="0.25">
      <c r="D247" s="8"/>
      <c r="E247" s="8"/>
      <c r="F247" s="3"/>
      <c r="G247" s="9"/>
      <c r="O247" s="3"/>
    </row>
    <row r="248" spans="4:15" x14ac:dyDescent="0.25">
      <c r="D248" s="8"/>
      <c r="E248" s="8"/>
      <c r="F248" s="3"/>
      <c r="G248" s="9"/>
      <c r="O248" s="3"/>
    </row>
    <row r="249" spans="4:15" x14ac:dyDescent="0.25">
      <c r="D249" s="8"/>
      <c r="E249" s="8"/>
      <c r="F249" s="3"/>
      <c r="G249" s="9"/>
      <c r="O249" s="3"/>
    </row>
    <row r="250" spans="4:15" x14ac:dyDescent="0.25">
      <c r="D250" s="8"/>
      <c r="E250" s="8"/>
      <c r="F250" s="3"/>
      <c r="G250" s="9"/>
      <c r="O250" s="3"/>
    </row>
    <row r="251" spans="4:15" x14ac:dyDescent="0.25">
      <c r="D251" s="8"/>
      <c r="E251" s="8"/>
      <c r="F251" s="3"/>
      <c r="G251" s="9"/>
      <c r="O251" s="3"/>
    </row>
    <row r="252" spans="4:15" x14ac:dyDescent="0.25">
      <c r="D252" s="8"/>
      <c r="E252" s="8"/>
      <c r="F252" s="3"/>
      <c r="O252" s="3"/>
    </row>
    <row r="253" spans="4:15" x14ac:dyDescent="0.25">
      <c r="D253" s="8"/>
      <c r="E253" s="8"/>
      <c r="F253" s="3"/>
      <c r="G253" s="9"/>
      <c r="O253" s="3"/>
    </row>
    <row r="254" spans="4:15" x14ac:dyDescent="0.25">
      <c r="D254" s="8"/>
      <c r="E254" s="8"/>
      <c r="F254" s="3"/>
      <c r="G254" s="9"/>
      <c r="O254" s="3"/>
    </row>
    <row r="255" spans="4:15" x14ac:dyDescent="0.25">
      <c r="D255" s="8"/>
      <c r="E255" s="8"/>
      <c r="F255" s="3"/>
      <c r="G255" s="9"/>
      <c r="O255" s="3"/>
    </row>
    <row r="256" spans="4:15" x14ac:dyDescent="0.25">
      <c r="D256" s="8"/>
      <c r="E256" s="8"/>
      <c r="F256" s="3"/>
      <c r="G256" s="9"/>
      <c r="O256" s="3"/>
    </row>
    <row r="257" spans="4:15" x14ac:dyDescent="0.25">
      <c r="D257" s="8"/>
      <c r="E257" s="8"/>
      <c r="F257" s="3"/>
      <c r="G257" s="9"/>
      <c r="O257" s="3"/>
    </row>
    <row r="258" spans="4:15" x14ac:dyDescent="0.25">
      <c r="D258" s="8"/>
      <c r="E258" s="8"/>
      <c r="F258" s="3"/>
      <c r="G258" s="9"/>
      <c r="O258" s="3"/>
    </row>
    <row r="259" spans="4:15" x14ac:dyDescent="0.25">
      <c r="D259" s="8"/>
      <c r="E259" s="8"/>
      <c r="F259" s="3"/>
      <c r="G259" s="9"/>
      <c r="O259" s="3"/>
    </row>
    <row r="260" spans="4:15" x14ac:dyDescent="0.25">
      <c r="D260" s="8"/>
      <c r="E260" s="8"/>
      <c r="F260" s="3"/>
      <c r="G260" s="9"/>
      <c r="O260" s="3"/>
    </row>
    <row r="261" spans="4:15" x14ac:dyDescent="0.25">
      <c r="D261" s="8"/>
      <c r="E261" s="8"/>
      <c r="F261" s="3"/>
      <c r="G261" s="9"/>
      <c r="O261" s="3"/>
    </row>
    <row r="262" spans="4:15" x14ac:dyDescent="0.25">
      <c r="D262" s="8"/>
      <c r="E262" s="8"/>
      <c r="F262" s="3"/>
      <c r="G262" s="9"/>
      <c r="O262" s="3"/>
    </row>
    <row r="263" spans="4:15" x14ac:dyDescent="0.25">
      <c r="D263" s="8"/>
      <c r="E263" s="8"/>
      <c r="F263" s="3"/>
      <c r="G263" s="9"/>
      <c r="O263" s="3"/>
    </row>
    <row r="264" spans="4:15" x14ac:dyDescent="0.25">
      <c r="D264" s="8"/>
      <c r="E264" s="8"/>
      <c r="F264" s="3"/>
      <c r="G264" s="9"/>
      <c r="O264" s="3"/>
    </row>
    <row r="265" spans="4:15" x14ac:dyDescent="0.25">
      <c r="D265" s="8"/>
      <c r="E265" s="8"/>
      <c r="F265" s="3"/>
      <c r="G265" s="9"/>
      <c r="O265" s="3"/>
    </row>
    <row r="266" spans="4:15" x14ac:dyDescent="0.25">
      <c r="D266" s="8"/>
      <c r="E266" s="8"/>
      <c r="F266" s="3"/>
      <c r="G266" s="9"/>
      <c r="O266" s="3"/>
    </row>
    <row r="267" spans="4:15" x14ac:dyDescent="0.25">
      <c r="D267" s="8"/>
      <c r="E267" s="8"/>
      <c r="F267" s="3"/>
      <c r="G267" s="9"/>
      <c r="O267" s="3"/>
    </row>
    <row r="268" spans="4:15" x14ac:dyDescent="0.25">
      <c r="D268" s="8"/>
      <c r="E268" s="8"/>
      <c r="F268" s="3"/>
      <c r="G268" s="9"/>
      <c r="O268" s="3"/>
    </row>
    <row r="269" spans="4:15" x14ac:dyDescent="0.25">
      <c r="D269" s="8"/>
      <c r="E269" s="8"/>
      <c r="F269" s="3"/>
      <c r="G269" s="9"/>
      <c r="O269" s="3"/>
    </row>
    <row r="270" spans="4:15" x14ac:dyDescent="0.25">
      <c r="D270" s="8"/>
      <c r="E270" s="8"/>
      <c r="F270" s="3"/>
      <c r="G270" s="9"/>
      <c r="O270" s="3"/>
    </row>
    <row r="271" spans="4:15" x14ac:dyDescent="0.25">
      <c r="D271" s="8"/>
      <c r="E271" s="8"/>
      <c r="F271" s="3"/>
      <c r="G271" s="9"/>
      <c r="O271" s="3"/>
    </row>
    <row r="272" spans="4:15" x14ac:dyDescent="0.25">
      <c r="D272" s="8"/>
      <c r="E272" s="8"/>
      <c r="F272" s="3"/>
      <c r="G272" s="9"/>
      <c r="O272" s="3"/>
    </row>
    <row r="273" spans="4:15" x14ac:dyDescent="0.25">
      <c r="D273" s="8"/>
      <c r="E273" s="8"/>
      <c r="F273" s="3"/>
      <c r="G273" s="9"/>
      <c r="O273" s="3"/>
    </row>
    <row r="274" spans="4:15" x14ac:dyDescent="0.25">
      <c r="D274" s="8"/>
      <c r="E274" s="8"/>
      <c r="F274" s="3"/>
      <c r="G274" s="9"/>
      <c r="O274" s="3"/>
    </row>
    <row r="275" spans="4:15" x14ac:dyDescent="0.25">
      <c r="D275" s="8"/>
      <c r="E275" s="8"/>
      <c r="F275" s="3"/>
      <c r="G275" s="9"/>
      <c r="O275" s="3"/>
    </row>
    <row r="276" spans="4:15" x14ac:dyDescent="0.25">
      <c r="D276" s="8"/>
      <c r="E276" s="8"/>
      <c r="F276" s="3"/>
      <c r="G276" s="9"/>
      <c r="O276" s="3"/>
    </row>
    <row r="277" spans="4:15" x14ac:dyDescent="0.25">
      <c r="D277" s="8"/>
      <c r="E277" s="8"/>
      <c r="F277" s="3"/>
      <c r="O277" s="3"/>
    </row>
    <row r="278" spans="4:15" x14ac:dyDescent="0.25">
      <c r="D278" s="8"/>
      <c r="E278" s="8"/>
      <c r="F278" s="3"/>
      <c r="G278" s="9"/>
      <c r="O278" s="3"/>
    </row>
    <row r="279" spans="4:15" x14ac:dyDescent="0.25">
      <c r="D279" s="8"/>
      <c r="E279" s="8"/>
      <c r="F279" s="3"/>
      <c r="G279" s="9"/>
      <c r="O279" s="3"/>
    </row>
    <row r="280" spans="4:15" x14ac:dyDescent="0.25">
      <c r="D280" s="8"/>
      <c r="E280" s="8"/>
      <c r="F280" s="3"/>
      <c r="G280" s="9"/>
      <c r="O280" s="3"/>
    </row>
    <row r="281" spans="4:15" x14ac:dyDescent="0.25">
      <c r="D281" s="8"/>
      <c r="E281" s="8"/>
      <c r="F281" s="3"/>
      <c r="G281" s="9"/>
      <c r="O281" s="3"/>
    </row>
    <row r="282" spans="4:15" x14ac:dyDescent="0.25">
      <c r="D282" s="8"/>
      <c r="E282" s="8"/>
      <c r="F282" s="3"/>
      <c r="G282" s="9"/>
      <c r="O282" s="3"/>
    </row>
    <row r="283" spans="4:15" x14ac:dyDescent="0.25">
      <c r="D283" s="8"/>
      <c r="E283" s="8"/>
      <c r="F283" s="3"/>
      <c r="G283" s="9"/>
      <c r="O283" s="3"/>
    </row>
    <row r="284" spans="4:15" x14ac:dyDescent="0.25">
      <c r="D284" s="8"/>
      <c r="E284" s="8"/>
      <c r="F284" s="3"/>
      <c r="G284" s="9"/>
      <c r="O284" s="3"/>
    </row>
    <row r="285" spans="4:15" x14ac:dyDescent="0.25">
      <c r="D285" s="8"/>
      <c r="E285" s="8"/>
      <c r="F285" s="3"/>
      <c r="G285" s="9"/>
      <c r="O285" s="3"/>
    </row>
    <row r="286" spans="4:15" x14ac:dyDescent="0.25">
      <c r="D286" s="8"/>
      <c r="E286" s="8"/>
      <c r="F286" s="3"/>
      <c r="G286" s="9"/>
      <c r="O286" s="3"/>
    </row>
    <row r="287" spans="4:15" x14ac:dyDescent="0.25">
      <c r="D287" s="8"/>
      <c r="E287" s="8"/>
      <c r="F287" s="3"/>
      <c r="G287" s="9"/>
      <c r="O287" s="3"/>
    </row>
    <row r="288" spans="4:15" x14ac:dyDescent="0.25">
      <c r="D288" s="8"/>
      <c r="E288" s="8"/>
      <c r="F288" s="3"/>
      <c r="G288" s="9"/>
      <c r="O288" s="3"/>
    </row>
    <row r="289" spans="4:15" x14ac:dyDescent="0.25">
      <c r="D289" s="8"/>
      <c r="E289" s="8"/>
      <c r="F289" s="3"/>
      <c r="G289" s="9"/>
      <c r="O289" s="3"/>
    </row>
    <row r="290" spans="4:15" x14ac:dyDescent="0.25">
      <c r="D290" s="8"/>
      <c r="E290" s="8"/>
      <c r="F290" s="3"/>
      <c r="G290" s="9"/>
      <c r="O290" s="3"/>
    </row>
    <row r="291" spans="4:15" x14ac:dyDescent="0.25">
      <c r="D291" s="8"/>
      <c r="E291" s="8"/>
      <c r="F291" s="3"/>
      <c r="G291" s="9"/>
      <c r="O291" s="3"/>
    </row>
    <row r="292" spans="4:15" x14ac:dyDescent="0.25">
      <c r="D292" s="8"/>
      <c r="E292" s="8"/>
      <c r="F292" s="3"/>
      <c r="G292" s="9"/>
      <c r="O292" s="3"/>
    </row>
    <row r="293" spans="4:15" x14ac:dyDescent="0.25">
      <c r="D293" s="8"/>
      <c r="E293" s="8"/>
      <c r="F293" s="3"/>
      <c r="G293" s="9"/>
      <c r="O293" s="3"/>
    </row>
    <row r="294" spans="4:15" x14ac:dyDescent="0.25">
      <c r="D294" s="8"/>
      <c r="E294" s="8"/>
      <c r="F294" s="3"/>
      <c r="G294" s="9"/>
      <c r="O294" s="3"/>
    </row>
    <row r="295" spans="4:15" x14ac:dyDescent="0.25">
      <c r="D295" s="8"/>
      <c r="E295" s="8"/>
      <c r="F295" s="3"/>
      <c r="G295" s="9"/>
      <c r="O295" s="3"/>
    </row>
    <row r="296" spans="4:15" x14ac:dyDescent="0.25">
      <c r="D296" s="8"/>
      <c r="E296" s="8"/>
      <c r="F296" s="3"/>
      <c r="G296" s="9"/>
      <c r="O296" s="3"/>
    </row>
    <row r="297" spans="4:15" x14ac:dyDescent="0.25">
      <c r="D297" s="8"/>
      <c r="E297" s="8"/>
      <c r="F297" s="3"/>
      <c r="G297" s="9"/>
      <c r="O297" s="3"/>
    </row>
    <row r="298" spans="4:15" x14ac:dyDescent="0.25">
      <c r="D298" s="8"/>
      <c r="E298" s="8"/>
      <c r="F298" s="3"/>
      <c r="G298" s="9"/>
      <c r="O298" s="3"/>
    </row>
    <row r="299" spans="4:15" x14ac:dyDescent="0.25">
      <c r="D299" s="8"/>
      <c r="E299" s="8"/>
      <c r="F299" s="3"/>
      <c r="G299" s="9"/>
      <c r="O299" s="3"/>
    </row>
    <row r="300" spans="4:15" x14ac:dyDescent="0.25">
      <c r="D300" s="8"/>
      <c r="E300" s="8"/>
      <c r="F300" s="3"/>
      <c r="G300" s="9"/>
      <c r="O300" s="3"/>
    </row>
    <row r="301" spans="4:15" x14ac:dyDescent="0.25">
      <c r="D301" s="8"/>
      <c r="E301" s="8"/>
      <c r="F301" s="3"/>
      <c r="G301" s="9"/>
      <c r="O301" s="3"/>
    </row>
    <row r="302" spans="4:15" x14ac:dyDescent="0.25">
      <c r="D302" s="8"/>
      <c r="E302" s="8"/>
      <c r="F302" s="3"/>
      <c r="O302" s="3"/>
    </row>
    <row r="303" spans="4:15" x14ac:dyDescent="0.25">
      <c r="D303" s="8"/>
      <c r="E303" s="8"/>
      <c r="F303" s="3"/>
      <c r="G303" s="9"/>
      <c r="O303" s="3"/>
    </row>
    <row r="304" spans="4:15" x14ac:dyDescent="0.25">
      <c r="D304" s="8"/>
      <c r="E304" s="8"/>
      <c r="F304" s="3"/>
      <c r="G304" s="9"/>
      <c r="O304" s="3"/>
    </row>
    <row r="305" spans="4:15" x14ac:dyDescent="0.25">
      <c r="D305" s="8"/>
      <c r="E305" s="8"/>
      <c r="F305" s="3"/>
      <c r="G305" s="9"/>
      <c r="O305" s="3"/>
    </row>
    <row r="306" spans="4:15" x14ac:dyDescent="0.25">
      <c r="D306" s="8"/>
      <c r="E306" s="8"/>
      <c r="F306" s="3"/>
      <c r="G306" s="9"/>
      <c r="O306" s="3"/>
    </row>
    <row r="307" spans="4:15" x14ac:dyDescent="0.25">
      <c r="D307" s="8"/>
      <c r="E307" s="8"/>
      <c r="F307" s="3"/>
      <c r="G307" s="9"/>
      <c r="O307" s="3"/>
    </row>
    <row r="308" spans="4:15" x14ac:dyDescent="0.25">
      <c r="D308" s="8"/>
      <c r="E308" s="8"/>
      <c r="F308" s="3"/>
      <c r="G308" s="9"/>
      <c r="O308" s="3"/>
    </row>
    <row r="309" spans="4:15" x14ac:dyDescent="0.25">
      <c r="D309" s="8"/>
      <c r="E309" s="8"/>
      <c r="F309" s="3"/>
      <c r="G309" s="9"/>
      <c r="O309" s="3"/>
    </row>
    <row r="310" spans="4:15" x14ac:dyDescent="0.25">
      <c r="D310" s="8"/>
      <c r="E310" s="8"/>
      <c r="F310" s="3"/>
      <c r="G310" s="9"/>
      <c r="O310" s="3"/>
    </row>
    <row r="311" spans="4:15" x14ac:dyDescent="0.25">
      <c r="D311" s="8"/>
      <c r="E311" s="8"/>
      <c r="F311" s="3"/>
      <c r="G311" s="9"/>
      <c r="O311" s="3"/>
    </row>
    <row r="312" spans="4:15" x14ac:dyDescent="0.25">
      <c r="D312" s="8"/>
      <c r="E312" s="8"/>
      <c r="F312" s="3"/>
      <c r="G312" s="9"/>
      <c r="O312" s="3"/>
    </row>
    <row r="313" spans="4:15" x14ac:dyDescent="0.25">
      <c r="D313" s="8"/>
      <c r="E313" s="8"/>
      <c r="F313" s="3"/>
      <c r="G313" s="9"/>
      <c r="O313" s="3"/>
    </row>
    <row r="314" spans="4:15" x14ac:dyDescent="0.25">
      <c r="D314" s="8"/>
      <c r="E314" s="8"/>
      <c r="F314" s="3"/>
      <c r="G314" s="9"/>
      <c r="O314" s="3"/>
    </row>
    <row r="315" spans="4:15" x14ac:dyDescent="0.25">
      <c r="D315" s="8"/>
      <c r="E315" s="8"/>
      <c r="F315" s="3"/>
      <c r="G315" s="9"/>
      <c r="O315" s="3"/>
    </row>
    <row r="316" spans="4:15" x14ac:dyDescent="0.25">
      <c r="D316" s="8"/>
      <c r="E316" s="8"/>
      <c r="F316" s="3"/>
      <c r="G316" s="9"/>
      <c r="O316" s="3"/>
    </row>
    <row r="317" spans="4:15" x14ac:dyDescent="0.25">
      <c r="D317" s="8"/>
      <c r="E317" s="8"/>
      <c r="F317" s="3"/>
      <c r="G317" s="9"/>
      <c r="O317" s="3"/>
    </row>
    <row r="318" spans="4:15" x14ac:dyDescent="0.25">
      <c r="D318" s="8"/>
      <c r="E318" s="8"/>
      <c r="F318" s="3"/>
      <c r="G318" s="9"/>
      <c r="O318" s="3"/>
    </row>
    <row r="319" spans="4:15" x14ac:dyDescent="0.25">
      <c r="D319" s="8"/>
      <c r="E319" s="8"/>
      <c r="F319" s="3"/>
      <c r="G319" s="9"/>
      <c r="O319" s="3"/>
    </row>
    <row r="320" spans="4:15" x14ac:dyDescent="0.25">
      <c r="D320" s="8"/>
      <c r="E320" s="8"/>
      <c r="F320" s="3"/>
      <c r="G320" s="9"/>
      <c r="O320" s="3"/>
    </row>
    <row r="321" spans="4:15" x14ac:dyDescent="0.25">
      <c r="D321" s="8"/>
      <c r="E321" s="8"/>
      <c r="F321" s="3"/>
      <c r="G321" s="9"/>
      <c r="O321" s="3"/>
    </row>
    <row r="322" spans="4:15" x14ac:dyDescent="0.25">
      <c r="D322" s="8"/>
      <c r="E322" s="8"/>
      <c r="F322" s="3"/>
      <c r="G322" s="9"/>
      <c r="O322" s="3"/>
    </row>
    <row r="323" spans="4:15" x14ac:dyDescent="0.25">
      <c r="D323" s="8"/>
      <c r="E323" s="8"/>
      <c r="F323" s="3"/>
      <c r="G323" s="9"/>
      <c r="O323" s="3"/>
    </row>
    <row r="324" spans="4:15" x14ac:dyDescent="0.25">
      <c r="D324" s="8"/>
      <c r="E324" s="8"/>
      <c r="F324" s="3"/>
      <c r="G324" s="9"/>
      <c r="O324" s="3"/>
    </row>
    <row r="325" spans="4:15" x14ac:dyDescent="0.25">
      <c r="D325" s="8"/>
      <c r="E325" s="8"/>
      <c r="F325" s="3"/>
      <c r="G325" s="9"/>
      <c r="O325" s="3"/>
    </row>
    <row r="326" spans="4:15" x14ac:dyDescent="0.25">
      <c r="D326" s="8"/>
      <c r="E326" s="8"/>
      <c r="F326" s="3"/>
      <c r="G326" s="9"/>
      <c r="O326" s="3"/>
    </row>
    <row r="327" spans="4:15" x14ac:dyDescent="0.25">
      <c r="D327" s="8"/>
      <c r="E327" s="8"/>
      <c r="F327" s="3"/>
      <c r="O327" s="3"/>
    </row>
    <row r="328" spans="4:15" x14ac:dyDescent="0.25">
      <c r="D328" s="8"/>
      <c r="E328" s="8"/>
      <c r="F328" s="3"/>
      <c r="G328" s="9"/>
      <c r="O328" s="3"/>
    </row>
    <row r="329" spans="4:15" x14ac:dyDescent="0.25">
      <c r="D329" s="8"/>
      <c r="E329" s="8"/>
      <c r="F329" s="3"/>
      <c r="G329" s="9"/>
      <c r="O329" s="3"/>
    </row>
    <row r="330" spans="4:15" x14ac:dyDescent="0.25">
      <c r="D330" s="8"/>
      <c r="E330" s="8"/>
      <c r="F330" s="3"/>
      <c r="G330" s="9"/>
      <c r="O330" s="3"/>
    </row>
    <row r="331" spans="4:15" x14ac:dyDescent="0.25">
      <c r="D331" s="8"/>
      <c r="E331" s="8"/>
      <c r="F331" s="3"/>
      <c r="G331" s="9"/>
      <c r="O331" s="3"/>
    </row>
    <row r="332" spans="4:15" x14ac:dyDescent="0.25">
      <c r="D332" s="8"/>
      <c r="E332" s="8"/>
      <c r="F332" s="3"/>
      <c r="G332" s="9"/>
      <c r="O332" s="3"/>
    </row>
    <row r="333" spans="4:15" x14ac:dyDescent="0.25">
      <c r="D333" s="8"/>
      <c r="E333" s="8"/>
      <c r="F333" s="3"/>
      <c r="G333" s="9"/>
      <c r="O333" s="3"/>
    </row>
    <row r="334" spans="4:15" x14ac:dyDescent="0.25">
      <c r="D334" s="8"/>
      <c r="E334" s="8"/>
      <c r="F334" s="3"/>
      <c r="G334" s="9"/>
      <c r="O334" s="3"/>
    </row>
    <row r="335" spans="4:15" x14ac:dyDescent="0.25">
      <c r="D335" s="8"/>
      <c r="E335" s="8"/>
      <c r="F335" s="3"/>
      <c r="G335" s="9"/>
      <c r="O335" s="3"/>
    </row>
    <row r="336" spans="4:15" x14ac:dyDescent="0.25">
      <c r="D336" s="8"/>
      <c r="E336" s="8"/>
      <c r="F336" s="3"/>
      <c r="G336" s="9"/>
      <c r="O336" s="3"/>
    </row>
    <row r="337" spans="4:15" x14ac:dyDescent="0.25">
      <c r="D337" s="8"/>
      <c r="E337" s="8"/>
      <c r="F337" s="3"/>
      <c r="G337" s="9"/>
      <c r="O337" s="3"/>
    </row>
    <row r="338" spans="4:15" x14ac:dyDescent="0.25">
      <c r="D338" s="8"/>
      <c r="E338" s="8"/>
      <c r="F338" s="3"/>
      <c r="G338" s="9"/>
      <c r="O338" s="3"/>
    </row>
    <row r="339" spans="4:15" x14ac:dyDescent="0.25">
      <c r="D339" s="8"/>
      <c r="E339" s="8"/>
      <c r="F339" s="3"/>
      <c r="G339" s="9"/>
      <c r="O339" s="3"/>
    </row>
    <row r="340" spans="4:15" x14ac:dyDescent="0.25">
      <c r="D340" s="8"/>
      <c r="E340" s="8"/>
      <c r="F340" s="3"/>
      <c r="G340" s="9"/>
      <c r="O340" s="3"/>
    </row>
    <row r="341" spans="4:15" x14ac:dyDescent="0.25">
      <c r="D341" s="8"/>
      <c r="E341" s="8"/>
      <c r="F341" s="3"/>
      <c r="G341" s="9"/>
      <c r="O341" s="3"/>
    </row>
    <row r="342" spans="4:15" x14ac:dyDescent="0.25">
      <c r="D342" s="8"/>
      <c r="E342" s="8"/>
      <c r="F342" s="3"/>
      <c r="G342" s="9"/>
      <c r="O342" s="3"/>
    </row>
    <row r="343" spans="4:15" x14ac:dyDescent="0.25">
      <c r="D343" s="8"/>
      <c r="E343" s="8"/>
      <c r="F343" s="3"/>
      <c r="G343" s="9"/>
      <c r="O343" s="3"/>
    </row>
    <row r="344" spans="4:15" x14ac:dyDescent="0.25">
      <c r="D344" s="8"/>
      <c r="E344" s="8"/>
      <c r="F344" s="3"/>
      <c r="G344" s="9"/>
      <c r="O344" s="3"/>
    </row>
    <row r="345" spans="4:15" x14ac:dyDescent="0.25">
      <c r="D345" s="8"/>
      <c r="E345" s="8"/>
      <c r="F345" s="3"/>
      <c r="G345" s="9"/>
      <c r="O345" s="3"/>
    </row>
    <row r="346" spans="4:15" x14ac:dyDescent="0.25">
      <c r="D346" s="8"/>
      <c r="E346" s="8"/>
      <c r="F346" s="3"/>
      <c r="G346" s="9"/>
      <c r="O346" s="3"/>
    </row>
    <row r="347" spans="4:15" x14ac:dyDescent="0.25">
      <c r="D347" s="8"/>
      <c r="E347" s="8"/>
      <c r="F347" s="3"/>
      <c r="G347" s="9"/>
      <c r="O347" s="3"/>
    </row>
    <row r="348" spans="4:15" x14ac:dyDescent="0.25">
      <c r="D348" s="8"/>
      <c r="E348" s="8"/>
      <c r="F348" s="3"/>
      <c r="G348" s="9"/>
      <c r="O348" s="3"/>
    </row>
    <row r="349" spans="4:15" x14ac:dyDescent="0.25">
      <c r="D349" s="8"/>
      <c r="E349" s="8"/>
      <c r="F349" s="3"/>
      <c r="G349" s="9"/>
      <c r="O349" s="3"/>
    </row>
    <row r="350" spans="4:15" x14ac:dyDescent="0.25">
      <c r="D350" s="8"/>
      <c r="E350" s="8"/>
      <c r="F350" s="3"/>
      <c r="G350" s="9"/>
      <c r="O350" s="3"/>
    </row>
    <row r="351" spans="4:15" x14ac:dyDescent="0.25">
      <c r="D351" s="8"/>
      <c r="E351" s="8"/>
      <c r="F351" s="3"/>
      <c r="G351" s="9"/>
      <c r="O351" s="3"/>
    </row>
    <row r="352" spans="4:15" x14ac:dyDescent="0.25">
      <c r="D352" s="8"/>
      <c r="E352" s="8"/>
      <c r="F352" s="3"/>
      <c r="O352" s="3"/>
    </row>
    <row r="353" spans="4:15" x14ac:dyDescent="0.25">
      <c r="D353" s="8"/>
      <c r="E353" s="8"/>
      <c r="F353" s="3"/>
      <c r="G353" s="9"/>
      <c r="O353" s="3"/>
    </row>
    <row r="354" spans="4:15" x14ac:dyDescent="0.25">
      <c r="D354" s="8"/>
      <c r="E354" s="8"/>
      <c r="F354" s="3"/>
      <c r="G354" s="9"/>
      <c r="O354" s="3"/>
    </row>
    <row r="355" spans="4:15" x14ac:dyDescent="0.25">
      <c r="D355" s="8"/>
      <c r="E355" s="8"/>
      <c r="F355" s="3"/>
      <c r="G355" s="9"/>
      <c r="O355" s="3"/>
    </row>
    <row r="356" spans="4:15" x14ac:dyDescent="0.25">
      <c r="D356" s="8"/>
      <c r="E356" s="8"/>
      <c r="F356" s="3"/>
      <c r="G356" s="9"/>
      <c r="O356" s="3"/>
    </row>
    <row r="357" spans="4:15" x14ac:dyDescent="0.25">
      <c r="D357" s="8"/>
      <c r="E357" s="8"/>
      <c r="F357" s="3"/>
      <c r="G357" s="9"/>
      <c r="O357" s="3"/>
    </row>
    <row r="358" spans="4:15" x14ac:dyDescent="0.25">
      <c r="D358" s="8"/>
      <c r="E358" s="8"/>
      <c r="F358" s="3"/>
      <c r="G358" s="9"/>
      <c r="O358" s="3"/>
    </row>
    <row r="359" spans="4:15" x14ac:dyDescent="0.25">
      <c r="D359" s="8"/>
      <c r="E359" s="8"/>
      <c r="F359" s="3"/>
      <c r="G359" s="9"/>
      <c r="O359" s="3"/>
    </row>
    <row r="360" spans="4:15" x14ac:dyDescent="0.25">
      <c r="D360" s="8"/>
      <c r="E360" s="8"/>
      <c r="F360" s="3"/>
      <c r="G360" s="9"/>
      <c r="O360" s="3"/>
    </row>
    <row r="361" spans="4:15" x14ac:dyDescent="0.25">
      <c r="D361" s="8"/>
      <c r="E361" s="8"/>
      <c r="F361" s="3"/>
      <c r="G361" s="9"/>
      <c r="O361" s="3"/>
    </row>
    <row r="362" spans="4:15" x14ac:dyDescent="0.25">
      <c r="D362" s="8"/>
      <c r="E362" s="8"/>
      <c r="F362" s="3"/>
      <c r="G362" s="9"/>
      <c r="O362" s="3"/>
    </row>
    <row r="363" spans="4:15" x14ac:dyDescent="0.25">
      <c r="D363" s="8"/>
      <c r="E363" s="8"/>
      <c r="F363" s="3"/>
      <c r="G363" s="9"/>
      <c r="O363" s="3"/>
    </row>
    <row r="364" spans="4:15" x14ac:dyDescent="0.25">
      <c r="D364" s="8"/>
      <c r="E364" s="8"/>
      <c r="F364" s="3"/>
      <c r="G364" s="9"/>
      <c r="O364" s="3"/>
    </row>
    <row r="365" spans="4:15" x14ac:dyDescent="0.25">
      <c r="D365" s="8"/>
      <c r="E365" s="8"/>
      <c r="F365" s="3"/>
      <c r="G365" s="9"/>
      <c r="O365" s="3"/>
    </row>
    <row r="366" spans="4:15" x14ac:dyDescent="0.25">
      <c r="D366" s="8"/>
      <c r="E366" s="8"/>
      <c r="F366" s="3"/>
      <c r="G366" s="9"/>
      <c r="O366" s="3"/>
    </row>
    <row r="367" spans="4:15" x14ac:dyDescent="0.25">
      <c r="D367" s="8"/>
      <c r="E367" s="8"/>
      <c r="F367" s="3"/>
      <c r="G367" s="9"/>
      <c r="O367" s="3"/>
    </row>
    <row r="368" spans="4:15" x14ac:dyDescent="0.25">
      <c r="D368" s="8"/>
      <c r="E368" s="8"/>
      <c r="F368" s="3"/>
      <c r="G368" s="9"/>
      <c r="O368" s="3"/>
    </row>
    <row r="369" spans="4:15" x14ac:dyDescent="0.25">
      <c r="D369" s="8"/>
      <c r="E369" s="8"/>
      <c r="F369" s="3"/>
      <c r="G369" s="9"/>
      <c r="O369" s="3"/>
    </row>
    <row r="370" spans="4:15" x14ac:dyDescent="0.25">
      <c r="D370" s="8"/>
      <c r="E370" s="8"/>
      <c r="F370" s="3"/>
      <c r="G370" s="9"/>
      <c r="O370" s="3"/>
    </row>
    <row r="371" spans="4:15" x14ac:dyDescent="0.25">
      <c r="D371" s="8"/>
      <c r="E371" s="8"/>
      <c r="F371" s="3"/>
      <c r="G371" s="9"/>
      <c r="O371" s="3"/>
    </row>
    <row r="372" spans="4:15" x14ac:dyDescent="0.25">
      <c r="D372" s="8"/>
      <c r="E372" s="8"/>
      <c r="F372" s="3"/>
      <c r="G372" s="9"/>
      <c r="O372" s="3"/>
    </row>
    <row r="373" spans="4:15" x14ac:dyDescent="0.25">
      <c r="D373" s="8"/>
      <c r="E373" s="8"/>
      <c r="F373" s="3"/>
      <c r="G373" s="9"/>
      <c r="O373" s="3"/>
    </row>
    <row r="374" spans="4:15" x14ac:dyDescent="0.25">
      <c r="D374" s="8"/>
      <c r="E374" s="8"/>
      <c r="F374" s="3"/>
      <c r="G374" s="9"/>
      <c r="O374" s="3"/>
    </row>
    <row r="375" spans="4:15" x14ac:dyDescent="0.25">
      <c r="D375" s="8"/>
      <c r="E375" s="8"/>
      <c r="F375" s="3"/>
      <c r="G375" s="9"/>
      <c r="O375" s="3"/>
    </row>
    <row r="376" spans="4:15" x14ac:dyDescent="0.25">
      <c r="D376" s="8"/>
      <c r="E376" s="8"/>
      <c r="F376" s="3"/>
      <c r="G376" s="9"/>
      <c r="O376" s="3"/>
    </row>
    <row r="377" spans="4:15" x14ac:dyDescent="0.25">
      <c r="D377" s="8"/>
      <c r="E377" s="8"/>
      <c r="F377" s="3"/>
      <c r="O377" s="3"/>
    </row>
    <row r="378" spans="4:15" x14ac:dyDescent="0.25">
      <c r="D378" s="8"/>
      <c r="E378" s="8"/>
      <c r="F378" s="3"/>
      <c r="G378" s="9"/>
      <c r="O378" s="3"/>
    </row>
    <row r="379" spans="4:15" x14ac:dyDescent="0.25">
      <c r="D379" s="8"/>
      <c r="E379" s="8"/>
      <c r="F379" s="3"/>
      <c r="G379" s="9"/>
      <c r="O379" s="3"/>
    </row>
    <row r="380" spans="4:15" x14ac:dyDescent="0.25">
      <c r="D380" s="8"/>
      <c r="E380" s="8"/>
      <c r="F380" s="3"/>
      <c r="G380" s="9"/>
      <c r="O380" s="3"/>
    </row>
    <row r="381" spans="4:15" x14ac:dyDescent="0.25">
      <c r="D381" s="8"/>
      <c r="E381" s="8"/>
      <c r="F381" s="3"/>
      <c r="G381" s="9"/>
      <c r="O381" s="3"/>
    </row>
    <row r="382" spans="4:15" x14ac:dyDescent="0.25">
      <c r="D382" s="8"/>
      <c r="E382" s="8"/>
      <c r="F382" s="3"/>
      <c r="G382" s="9"/>
      <c r="O382" s="3"/>
    </row>
    <row r="383" spans="4:15" x14ac:dyDescent="0.25">
      <c r="D383" s="8"/>
      <c r="E383" s="8"/>
      <c r="F383" s="3"/>
      <c r="G383" s="9"/>
      <c r="O383" s="3"/>
    </row>
    <row r="384" spans="4:15" x14ac:dyDescent="0.25">
      <c r="D384" s="8"/>
      <c r="E384" s="8"/>
      <c r="F384" s="3"/>
      <c r="G384" s="9"/>
      <c r="O384" s="3"/>
    </row>
    <row r="385" spans="4:15" x14ac:dyDescent="0.25">
      <c r="D385" s="8"/>
      <c r="E385" s="8"/>
      <c r="F385" s="3"/>
      <c r="G385" s="9"/>
      <c r="O385" s="3"/>
    </row>
    <row r="386" spans="4:15" x14ac:dyDescent="0.25">
      <c r="D386" s="8"/>
      <c r="E386" s="8"/>
      <c r="F386" s="3"/>
      <c r="G386" s="9"/>
      <c r="O386" s="3"/>
    </row>
    <row r="387" spans="4:15" x14ac:dyDescent="0.25">
      <c r="D387" s="8"/>
      <c r="E387" s="8"/>
      <c r="F387" s="3"/>
      <c r="G387" s="9"/>
      <c r="O387" s="3"/>
    </row>
    <row r="388" spans="4:15" x14ac:dyDescent="0.25">
      <c r="D388" s="8"/>
      <c r="E388" s="8"/>
      <c r="F388" s="3"/>
      <c r="G388" s="9"/>
      <c r="O388" s="3"/>
    </row>
    <row r="389" spans="4:15" x14ac:dyDescent="0.25">
      <c r="D389" s="8"/>
      <c r="E389" s="8"/>
      <c r="F389" s="3"/>
      <c r="G389" s="9"/>
      <c r="O389" s="3"/>
    </row>
    <row r="390" spans="4:15" x14ac:dyDescent="0.25">
      <c r="D390" s="8"/>
      <c r="E390" s="8"/>
      <c r="F390" s="3"/>
      <c r="G390" s="9"/>
      <c r="O390" s="3"/>
    </row>
    <row r="391" spans="4:15" x14ac:dyDescent="0.25">
      <c r="D391" s="8"/>
      <c r="E391" s="8"/>
      <c r="F391" s="3"/>
      <c r="G391" s="9"/>
      <c r="O391" s="3"/>
    </row>
    <row r="392" spans="4:15" x14ac:dyDescent="0.25">
      <c r="D392" s="8"/>
      <c r="E392" s="8"/>
      <c r="F392" s="3"/>
      <c r="G392" s="9"/>
      <c r="O392" s="3"/>
    </row>
    <row r="393" spans="4:15" x14ac:dyDescent="0.25">
      <c r="D393" s="8"/>
      <c r="E393" s="8"/>
      <c r="F393" s="3"/>
      <c r="G393" s="9"/>
      <c r="O393" s="3"/>
    </row>
    <row r="394" spans="4:15" x14ac:dyDescent="0.25">
      <c r="D394" s="8"/>
      <c r="E394" s="8"/>
      <c r="F394" s="3"/>
      <c r="G394" s="9"/>
      <c r="O394" s="3"/>
    </row>
    <row r="395" spans="4:15" x14ac:dyDescent="0.25">
      <c r="D395" s="8"/>
      <c r="E395" s="8"/>
      <c r="F395" s="3"/>
      <c r="G395" s="9"/>
      <c r="O395" s="3"/>
    </row>
    <row r="396" spans="4:15" x14ac:dyDescent="0.25">
      <c r="D396" s="8"/>
      <c r="E396" s="8"/>
      <c r="F396" s="3"/>
      <c r="G396" s="9"/>
      <c r="O396" s="3"/>
    </row>
    <row r="397" spans="4:15" x14ac:dyDescent="0.25">
      <c r="D397" s="8"/>
      <c r="E397" s="8"/>
      <c r="F397" s="3"/>
      <c r="G397" s="9"/>
      <c r="O397" s="3"/>
    </row>
    <row r="398" spans="4:15" x14ac:dyDescent="0.25">
      <c r="D398" s="8"/>
      <c r="E398" s="8"/>
      <c r="F398" s="3"/>
      <c r="G398" s="9"/>
      <c r="O398" s="3"/>
    </row>
    <row r="399" spans="4:15" x14ac:dyDescent="0.25">
      <c r="D399" s="8"/>
      <c r="E399" s="8"/>
      <c r="F399" s="3"/>
      <c r="G399" s="9"/>
      <c r="O399" s="3"/>
    </row>
    <row r="400" spans="4:15" x14ac:dyDescent="0.25">
      <c r="D400" s="8"/>
      <c r="E400" s="8"/>
      <c r="F400" s="3"/>
      <c r="G400" s="9"/>
      <c r="O400" s="3"/>
    </row>
    <row r="401" spans="4:15" x14ac:dyDescent="0.25">
      <c r="D401" s="8"/>
      <c r="E401" s="8"/>
      <c r="F401" s="3"/>
      <c r="G401" s="9"/>
      <c r="O401" s="3"/>
    </row>
    <row r="402" spans="4:15" x14ac:dyDescent="0.25">
      <c r="D402" s="8"/>
      <c r="E402" s="8"/>
      <c r="F402" s="3"/>
      <c r="O402" s="3"/>
    </row>
    <row r="403" spans="4:15" x14ac:dyDescent="0.25">
      <c r="D403" s="8"/>
      <c r="E403" s="8"/>
      <c r="F403" s="3"/>
      <c r="G403" s="9"/>
      <c r="O403" s="3"/>
    </row>
    <row r="404" spans="4:15" x14ac:dyDescent="0.25">
      <c r="D404" s="8"/>
      <c r="E404" s="8"/>
      <c r="F404" s="3"/>
      <c r="G404" s="9"/>
      <c r="O404" s="3"/>
    </row>
    <row r="405" spans="4:15" x14ac:dyDescent="0.25">
      <c r="D405" s="8"/>
      <c r="E405" s="8"/>
      <c r="F405" s="3"/>
      <c r="G405" s="9"/>
      <c r="O405" s="3"/>
    </row>
    <row r="406" spans="4:15" x14ac:dyDescent="0.25">
      <c r="D406" s="8"/>
      <c r="E406" s="8"/>
      <c r="F406" s="3"/>
      <c r="G406" s="9"/>
      <c r="O406" s="3"/>
    </row>
    <row r="407" spans="4:15" x14ac:dyDescent="0.25">
      <c r="D407" s="8"/>
      <c r="E407" s="8"/>
      <c r="F407" s="3"/>
      <c r="G407" s="9"/>
      <c r="O407" s="3"/>
    </row>
    <row r="408" spans="4:15" x14ac:dyDescent="0.25">
      <c r="D408" s="8"/>
      <c r="E408" s="8"/>
      <c r="F408" s="3"/>
      <c r="G408" s="9"/>
      <c r="O408" s="3"/>
    </row>
    <row r="409" spans="4:15" x14ac:dyDescent="0.25">
      <c r="D409" s="8"/>
      <c r="E409" s="8"/>
      <c r="F409" s="3"/>
      <c r="G409" s="9"/>
      <c r="O409" s="3"/>
    </row>
    <row r="410" spans="4:15" x14ac:dyDescent="0.25">
      <c r="D410" s="8"/>
      <c r="E410" s="8"/>
      <c r="F410" s="3"/>
      <c r="G410" s="9"/>
      <c r="O410" s="3"/>
    </row>
    <row r="411" spans="4:15" x14ac:dyDescent="0.25">
      <c r="D411" s="8"/>
      <c r="E411" s="8"/>
      <c r="F411" s="3"/>
      <c r="G411" s="9"/>
      <c r="O411" s="3"/>
    </row>
    <row r="412" spans="4:15" x14ac:dyDescent="0.25">
      <c r="D412" s="8"/>
      <c r="E412" s="8"/>
      <c r="F412" s="3"/>
      <c r="G412" s="9"/>
      <c r="O412" s="3"/>
    </row>
    <row r="413" spans="4:15" x14ac:dyDescent="0.25">
      <c r="D413" s="8"/>
      <c r="E413" s="8"/>
      <c r="F413" s="3"/>
      <c r="G413" s="9"/>
      <c r="O413" s="3"/>
    </row>
    <row r="414" spans="4:15" x14ac:dyDescent="0.25">
      <c r="D414" s="8"/>
      <c r="E414" s="8"/>
      <c r="F414" s="3"/>
      <c r="G414" s="9"/>
      <c r="O414" s="3"/>
    </row>
    <row r="415" spans="4:15" x14ac:dyDescent="0.25">
      <c r="D415" s="8"/>
      <c r="E415" s="8"/>
      <c r="F415" s="3"/>
      <c r="G415" s="9"/>
      <c r="O415" s="3"/>
    </row>
    <row r="416" spans="4:15" x14ac:dyDescent="0.25">
      <c r="D416" s="8"/>
      <c r="E416" s="8"/>
      <c r="F416" s="3"/>
      <c r="G416" s="9"/>
      <c r="O416" s="3"/>
    </row>
    <row r="417" spans="4:15" x14ac:dyDescent="0.25">
      <c r="D417" s="8"/>
      <c r="E417" s="8"/>
      <c r="F417" s="3"/>
      <c r="G417" s="9"/>
      <c r="O417" s="3"/>
    </row>
    <row r="418" spans="4:15" x14ac:dyDescent="0.25">
      <c r="D418" s="8"/>
      <c r="E418" s="8"/>
      <c r="F418" s="3"/>
      <c r="G418" s="9"/>
      <c r="O418" s="3"/>
    </row>
    <row r="419" spans="4:15" x14ac:dyDescent="0.25">
      <c r="D419" s="8"/>
      <c r="E419" s="8"/>
      <c r="F419" s="3"/>
      <c r="G419" s="9"/>
      <c r="O419" s="3"/>
    </row>
    <row r="420" spans="4:15" x14ac:dyDescent="0.25">
      <c r="D420" s="8"/>
      <c r="E420" s="8"/>
      <c r="F420" s="3"/>
      <c r="G420" s="9"/>
      <c r="O420" s="3"/>
    </row>
    <row r="421" spans="4:15" x14ac:dyDescent="0.25">
      <c r="D421" s="8"/>
      <c r="E421" s="8"/>
      <c r="F421" s="3"/>
      <c r="G421" s="9"/>
      <c r="O421" s="3"/>
    </row>
    <row r="422" spans="4:15" x14ac:dyDescent="0.25">
      <c r="D422" s="8"/>
      <c r="E422" s="8"/>
      <c r="F422" s="3"/>
      <c r="G422" s="9"/>
      <c r="O422" s="3"/>
    </row>
    <row r="423" spans="4:15" x14ac:dyDescent="0.25">
      <c r="D423" s="8"/>
      <c r="E423" s="8"/>
      <c r="F423" s="3"/>
      <c r="G423" s="9"/>
      <c r="O423" s="3"/>
    </row>
    <row r="424" spans="4:15" x14ac:dyDescent="0.25">
      <c r="D424" s="8"/>
      <c r="E424" s="8"/>
      <c r="F424" s="3"/>
      <c r="G424" s="9"/>
      <c r="O424" s="3"/>
    </row>
    <row r="425" spans="4:15" x14ac:dyDescent="0.25">
      <c r="D425" s="8"/>
      <c r="E425" s="8"/>
      <c r="F425" s="3"/>
      <c r="G425" s="9"/>
      <c r="O425" s="3"/>
    </row>
    <row r="426" spans="4:15" x14ac:dyDescent="0.25">
      <c r="D426" s="8"/>
      <c r="E426" s="8"/>
      <c r="F426" s="3"/>
      <c r="G426" s="9"/>
      <c r="O426" s="3"/>
    </row>
    <row r="427" spans="4:15" x14ac:dyDescent="0.25">
      <c r="D427" s="8"/>
      <c r="E427" s="8"/>
      <c r="F427" s="3"/>
      <c r="O427" s="3"/>
    </row>
    <row r="428" spans="4:15" x14ac:dyDescent="0.25">
      <c r="D428" s="8"/>
      <c r="E428" s="8"/>
      <c r="F428" s="3"/>
      <c r="G428" s="9"/>
      <c r="O428" s="3"/>
    </row>
    <row r="429" spans="4:15" x14ac:dyDescent="0.25">
      <c r="D429" s="8"/>
      <c r="E429" s="8"/>
      <c r="F429" s="3"/>
      <c r="G429" s="9"/>
      <c r="O429" s="3"/>
    </row>
    <row r="430" spans="4:15" x14ac:dyDescent="0.25">
      <c r="D430" s="8"/>
      <c r="E430" s="8"/>
      <c r="F430" s="3"/>
      <c r="G430" s="9"/>
      <c r="O430" s="3"/>
    </row>
    <row r="431" spans="4:15" x14ac:dyDescent="0.25">
      <c r="D431" s="8"/>
      <c r="E431" s="8"/>
      <c r="F431" s="3"/>
      <c r="G431" s="9"/>
      <c r="O431" s="3"/>
    </row>
    <row r="432" spans="4:15" x14ac:dyDescent="0.25">
      <c r="D432" s="8"/>
      <c r="E432" s="8"/>
      <c r="F432" s="3"/>
      <c r="G432" s="9"/>
      <c r="O432" s="3"/>
    </row>
    <row r="433" spans="4:15" x14ac:dyDescent="0.25">
      <c r="D433" s="8"/>
      <c r="E433" s="8"/>
      <c r="F433" s="3"/>
      <c r="G433" s="9"/>
      <c r="O433" s="3"/>
    </row>
    <row r="434" spans="4:15" x14ac:dyDescent="0.25">
      <c r="D434" s="8"/>
      <c r="E434" s="8"/>
      <c r="F434" s="3"/>
      <c r="G434" s="9"/>
      <c r="O434" s="3"/>
    </row>
    <row r="435" spans="4:15" x14ac:dyDescent="0.25">
      <c r="D435" s="8"/>
      <c r="E435" s="8"/>
      <c r="F435" s="3"/>
      <c r="G435" s="9"/>
      <c r="O435" s="3"/>
    </row>
    <row r="436" spans="4:15" x14ac:dyDescent="0.25">
      <c r="D436" s="8"/>
      <c r="E436" s="8"/>
      <c r="F436" s="3"/>
      <c r="G436" s="9"/>
      <c r="O436" s="3"/>
    </row>
    <row r="437" spans="4:15" x14ac:dyDescent="0.25">
      <c r="D437" s="8"/>
      <c r="E437" s="8"/>
      <c r="F437" s="3"/>
      <c r="G437" s="9"/>
      <c r="O437" s="3"/>
    </row>
    <row r="438" spans="4:15" x14ac:dyDescent="0.25">
      <c r="D438" s="8"/>
      <c r="E438" s="8"/>
      <c r="F438" s="3"/>
      <c r="G438" s="9"/>
      <c r="O438" s="3"/>
    </row>
    <row r="439" spans="4:15" x14ac:dyDescent="0.25">
      <c r="D439" s="8"/>
      <c r="E439" s="8"/>
      <c r="F439" s="3"/>
      <c r="G439" s="9"/>
      <c r="O439" s="3"/>
    </row>
    <row r="440" spans="4:15" x14ac:dyDescent="0.25">
      <c r="D440" s="8"/>
      <c r="E440" s="8"/>
      <c r="F440" s="3"/>
      <c r="G440" s="9"/>
      <c r="O440" s="3"/>
    </row>
    <row r="441" spans="4:15" x14ac:dyDescent="0.25">
      <c r="D441" s="8"/>
      <c r="E441" s="8"/>
      <c r="F441" s="3"/>
      <c r="G441" s="9"/>
      <c r="O441" s="3"/>
    </row>
    <row r="442" spans="4:15" x14ac:dyDescent="0.25">
      <c r="D442" s="8"/>
      <c r="E442" s="8"/>
      <c r="F442" s="3"/>
      <c r="G442" s="9"/>
      <c r="O442" s="3"/>
    </row>
    <row r="443" spans="4:15" x14ac:dyDescent="0.25">
      <c r="D443" s="8"/>
      <c r="E443" s="8"/>
      <c r="F443" s="3"/>
      <c r="G443" s="9"/>
      <c r="O443" s="3"/>
    </row>
    <row r="444" spans="4:15" x14ac:dyDescent="0.25">
      <c r="D444" s="8"/>
      <c r="E444" s="8"/>
      <c r="F444" s="3"/>
      <c r="G444" s="9"/>
      <c r="O444" s="3"/>
    </row>
    <row r="445" spans="4:15" x14ac:dyDescent="0.25">
      <c r="D445" s="8"/>
      <c r="E445" s="8"/>
      <c r="F445" s="3"/>
      <c r="G445" s="9"/>
      <c r="O445" s="3"/>
    </row>
    <row r="446" spans="4:15" x14ac:dyDescent="0.25">
      <c r="D446" s="8"/>
      <c r="E446" s="8"/>
      <c r="F446" s="3"/>
      <c r="G446" s="9"/>
      <c r="O446" s="3"/>
    </row>
    <row r="447" spans="4:15" x14ac:dyDescent="0.25">
      <c r="D447" s="8"/>
      <c r="E447" s="8"/>
      <c r="F447" s="3"/>
      <c r="G447" s="9"/>
      <c r="O447" s="3"/>
    </row>
    <row r="448" spans="4:15" x14ac:dyDescent="0.25">
      <c r="D448" s="8"/>
      <c r="E448" s="8"/>
      <c r="F448" s="3"/>
      <c r="G448" s="9"/>
      <c r="O448" s="3"/>
    </row>
    <row r="449" spans="4:15" x14ac:dyDescent="0.25">
      <c r="D449" s="8"/>
      <c r="E449" s="8"/>
      <c r="F449" s="3"/>
      <c r="G449" s="9"/>
      <c r="O449" s="3"/>
    </row>
    <row r="450" spans="4:15" x14ac:dyDescent="0.25">
      <c r="D450" s="8"/>
      <c r="E450" s="8"/>
      <c r="F450" s="3"/>
      <c r="G450" s="9"/>
      <c r="O450" s="3"/>
    </row>
    <row r="451" spans="4:15" x14ac:dyDescent="0.25">
      <c r="D451" s="8"/>
      <c r="E451" s="8"/>
      <c r="F451" s="3"/>
      <c r="G451" s="9"/>
      <c r="O451" s="3"/>
    </row>
    <row r="452" spans="4:15" x14ac:dyDescent="0.25">
      <c r="D452" s="8"/>
      <c r="E452" s="8"/>
      <c r="F452" s="3"/>
      <c r="O452" s="3"/>
    </row>
    <row r="453" spans="4:15" x14ac:dyDescent="0.25">
      <c r="D453" s="8"/>
      <c r="E453" s="8"/>
      <c r="F453" s="3"/>
      <c r="G453" s="9"/>
      <c r="O453" s="3"/>
    </row>
    <row r="454" spans="4:15" x14ac:dyDescent="0.25">
      <c r="D454" s="8"/>
      <c r="E454" s="8"/>
      <c r="F454" s="3"/>
      <c r="G454" s="9"/>
      <c r="O454" s="3"/>
    </row>
    <row r="455" spans="4:15" x14ac:dyDescent="0.25">
      <c r="D455" s="8"/>
      <c r="E455" s="8"/>
      <c r="F455" s="3"/>
      <c r="G455" s="9"/>
      <c r="O455" s="3"/>
    </row>
    <row r="456" spans="4:15" x14ac:dyDescent="0.25">
      <c r="D456" s="8"/>
      <c r="E456" s="8"/>
      <c r="F456" s="3"/>
      <c r="G456" s="9"/>
      <c r="O456" s="3"/>
    </row>
    <row r="457" spans="4:15" x14ac:dyDescent="0.25">
      <c r="D457" s="8"/>
      <c r="E457" s="8"/>
      <c r="F457" s="3"/>
      <c r="G457" s="9"/>
      <c r="O457" s="3"/>
    </row>
    <row r="458" spans="4:15" x14ac:dyDescent="0.25">
      <c r="D458" s="8"/>
      <c r="E458" s="8"/>
      <c r="F458" s="3"/>
      <c r="G458" s="9"/>
      <c r="O458" s="3"/>
    </row>
    <row r="459" spans="4:15" x14ac:dyDescent="0.25">
      <c r="D459" s="8"/>
      <c r="E459" s="8"/>
      <c r="F459" s="3"/>
      <c r="G459" s="9"/>
      <c r="O459" s="3"/>
    </row>
    <row r="460" spans="4:15" x14ac:dyDescent="0.25">
      <c r="D460" s="8"/>
      <c r="E460" s="8"/>
      <c r="F460" s="3"/>
      <c r="G460" s="9"/>
      <c r="O460" s="3"/>
    </row>
    <row r="461" spans="4:15" x14ac:dyDescent="0.25">
      <c r="D461" s="8"/>
      <c r="E461" s="8"/>
      <c r="F461" s="3"/>
      <c r="G461" s="9"/>
      <c r="O461" s="3"/>
    </row>
    <row r="462" spans="4:15" x14ac:dyDescent="0.25">
      <c r="D462" s="8"/>
      <c r="E462" s="8"/>
      <c r="F462" s="3"/>
      <c r="G462" s="9"/>
      <c r="O462" s="3"/>
    </row>
    <row r="463" spans="4:15" x14ac:dyDescent="0.25">
      <c r="D463" s="8"/>
      <c r="E463" s="8"/>
      <c r="F463" s="3"/>
      <c r="G463" s="9"/>
      <c r="O463" s="3"/>
    </row>
    <row r="464" spans="4:15" x14ac:dyDescent="0.25">
      <c r="D464" s="8"/>
      <c r="E464" s="8"/>
      <c r="F464" s="3"/>
      <c r="G464" s="9"/>
      <c r="O464" s="3"/>
    </row>
    <row r="465" spans="4:15" x14ac:dyDescent="0.25">
      <c r="D465" s="8"/>
      <c r="E465" s="8"/>
      <c r="F465" s="3"/>
      <c r="G465" s="9"/>
      <c r="O465" s="3"/>
    </row>
    <row r="466" spans="4:15" x14ac:dyDescent="0.25">
      <c r="D466" s="8"/>
      <c r="E466" s="8"/>
      <c r="F466" s="3"/>
      <c r="G466" s="9"/>
      <c r="O466" s="3"/>
    </row>
    <row r="467" spans="4:15" x14ac:dyDescent="0.25">
      <c r="D467" s="8"/>
      <c r="E467" s="8"/>
      <c r="F467" s="3"/>
      <c r="G467" s="9"/>
      <c r="O467" s="3"/>
    </row>
    <row r="468" spans="4:15" x14ac:dyDescent="0.25">
      <c r="D468" s="8"/>
      <c r="E468" s="8"/>
      <c r="F468" s="3"/>
      <c r="G468" s="9"/>
      <c r="O468" s="3"/>
    </row>
    <row r="469" spans="4:15" x14ac:dyDescent="0.25">
      <c r="D469" s="8"/>
      <c r="E469" s="8"/>
      <c r="F469" s="3"/>
      <c r="G469" s="9"/>
      <c r="O469" s="3"/>
    </row>
    <row r="470" spans="4:15" x14ac:dyDescent="0.25">
      <c r="D470" s="8"/>
      <c r="E470" s="8"/>
      <c r="F470" s="3"/>
      <c r="G470" s="9"/>
      <c r="O470" s="3"/>
    </row>
    <row r="471" spans="4:15" x14ac:dyDescent="0.25">
      <c r="D471" s="8"/>
      <c r="E471" s="8"/>
      <c r="F471" s="3"/>
      <c r="G471" s="9"/>
      <c r="O471" s="3"/>
    </row>
    <row r="472" spans="4:15" x14ac:dyDescent="0.25">
      <c r="D472" s="8"/>
      <c r="E472" s="8"/>
      <c r="F472" s="3"/>
      <c r="G472" s="9"/>
      <c r="O472" s="3"/>
    </row>
    <row r="473" spans="4:15" x14ac:dyDescent="0.25">
      <c r="D473" s="8"/>
      <c r="E473" s="8"/>
      <c r="F473" s="3"/>
      <c r="G473" s="9"/>
      <c r="O473" s="3"/>
    </row>
    <row r="474" spans="4:15" x14ac:dyDescent="0.25">
      <c r="D474" s="8"/>
      <c r="E474" s="8"/>
      <c r="F474" s="3"/>
      <c r="G474" s="9"/>
      <c r="O474" s="3"/>
    </row>
    <row r="475" spans="4:15" x14ac:dyDescent="0.25">
      <c r="D475" s="8"/>
      <c r="E475" s="8"/>
      <c r="F475" s="3"/>
      <c r="G475" s="9"/>
      <c r="O475" s="3"/>
    </row>
    <row r="476" spans="4:15" x14ac:dyDescent="0.25">
      <c r="D476" s="8"/>
      <c r="E476" s="8"/>
      <c r="F476" s="3"/>
      <c r="G476" s="9"/>
      <c r="O476" s="3"/>
    </row>
    <row r="477" spans="4:15" x14ac:dyDescent="0.25">
      <c r="D477" s="8"/>
      <c r="E477" s="8"/>
      <c r="F477" s="3"/>
      <c r="O477" s="3"/>
    </row>
    <row r="478" spans="4:15" x14ac:dyDescent="0.25">
      <c r="D478" s="8"/>
      <c r="E478" s="8"/>
      <c r="F478" s="3"/>
      <c r="G478" s="9"/>
      <c r="O478" s="3"/>
    </row>
    <row r="479" spans="4:15" x14ac:dyDescent="0.25">
      <c r="D479" s="8"/>
      <c r="E479" s="8"/>
      <c r="F479" s="3"/>
      <c r="G479" s="9"/>
      <c r="O479" s="3"/>
    </row>
    <row r="480" spans="4:15" x14ac:dyDescent="0.25">
      <c r="D480" s="8"/>
      <c r="E480" s="8"/>
      <c r="F480" s="3"/>
      <c r="G480" s="9"/>
      <c r="O480" s="3"/>
    </row>
    <row r="481" spans="4:15" x14ac:dyDescent="0.25">
      <c r="D481" s="8"/>
      <c r="E481" s="8"/>
      <c r="F481" s="3"/>
      <c r="G481" s="9"/>
      <c r="O481" s="3"/>
    </row>
    <row r="482" spans="4:15" x14ac:dyDescent="0.25">
      <c r="D482" s="8"/>
      <c r="E482" s="8"/>
      <c r="F482" s="3"/>
      <c r="G482" s="9"/>
      <c r="O482" s="3"/>
    </row>
    <row r="483" spans="4:15" x14ac:dyDescent="0.25">
      <c r="D483" s="8"/>
      <c r="E483" s="8"/>
      <c r="F483" s="3"/>
      <c r="G483" s="9"/>
      <c r="O483" s="3"/>
    </row>
    <row r="484" spans="4:15" x14ac:dyDescent="0.25">
      <c r="D484" s="8"/>
      <c r="E484" s="8"/>
      <c r="F484" s="3"/>
      <c r="G484" s="9"/>
      <c r="O484" s="3"/>
    </row>
    <row r="485" spans="4:15" x14ac:dyDescent="0.25">
      <c r="D485" s="8"/>
      <c r="E485" s="8"/>
      <c r="F485" s="3"/>
      <c r="G485" s="9"/>
      <c r="O485" s="3"/>
    </row>
    <row r="486" spans="4:15" x14ac:dyDescent="0.25">
      <c r="D486" s="8"/>
      <c r="E486" s="8"/>
      <c r="F486" s="3"/>
      <c r="G486" s="9"/>
      <c r="O486" s="3"/>
    </row>
    <row r="487" spans="4:15" x14ac:dyDescent="0.25">
      <c r="D487" s="8"/>
      <c r="E487" s="8"/>
      <c r="F487" s="3"/>
      <c r="G487" s="9"/>
      <c r="O487" s="3"/>
    </row>
    <row r="488" spans="4:15" x14ac:dyDescent="0.25">
      <c r="D488" s="8"/>
      <c r="E488" s="8"/>
      <c r="F488" s="3"/>
      <c r="G488" s="9"/>
      <c r="O488" s="3"/>
    </row>
    <row r="489" spans="4:15" x14ac:dyDescent="0.25">
      <c r="D489" s="8"/>
      <c r="E489" s="8"/>
      <c r="F489" s="3"/>
      <c r="G489" s="9"/>
      <c r="O489" s="3"/>
    </row>
    <row r="490" spans="4:15" x14ac:dyDescent="0.25">
      <c r="D490" s="8"/>
      <c r="E490" s="8"/>
      <c r="F490" s="3"/>
      <c r="G490" s="9"/>
      <c r="O490" s="3"/>
    </row>
    <row r="491" spans="4:15" x14ac:dyDescent="0.25">
      <c r="D491" s="8"/>
      <c r="E491" s="8"/>
      <c r="F491" s="3"/>
      <c r="G491" s="9"/>
      <c r="O491" s="3"/>
    </row>
    <row r="492" spans="4:15" x14ac:dyDescent="0.25">
      <c r="D492" s="8"/>
      <c r="E492" s="8"/>
      <c r="F492" s="3"/>
      <c r="G492" s="9"/>
      <c r="O492" s="3"/>
    </row>
    <row r="493" spans="4:15" x14ac:dyDescent="0.25">
      <c r="D493" s="8"/>
      <c r="E493" s="8"/>
      <c r="F493" s="3"/>
      <c r="G493" s="9"/>
      <c r="O493" s="3"/>
    </row>
    <row r="494" spans="4:15" x14ac:dyDescent="0.25">
      <c r="D494" s="8"/>
      <c r="E494" s="8"/>
      <c r="F494" s="3"/>
      <c r="G494" s="9"/>
      <c r="O494" s="3"/>
    </row>
    <row r="495" spans="4:15" x14ac:dyDescent="0.25">
      <c r="D495" s="8"/>
      <c r="E495" s="8"/>
      <c r="F495" s="3"/>
      <c r="G495" s="9"/>
      <c r="O495" s="3"/>
    </row>
    <row r="496" spans="4:15" x14ac:dyDescent="0.25">
      <c r="D496" s="8"/>
      <c r="E496" s="8"/>
      <c r="F496" s="3"/>
      <c r="G496" s="9"/>
      <c r="O496" s="3"/>
    </row>
    <row r="497" spans="4:15" x14ac:dyDescent="0.25">
      <c r="D497" s="8"/>
      <c r="E497" s="8"/>
      <c r="F497" s="3"/>
      <c r="G497" s="9"/>
      <c r="O497" s="3"/>
    </row>
    <row r="498" spans="4:15" x14ac:dyDescent="0.25">
      <c r="D498" s="8"/>
      <c r="E498" s="8"/>
      <c r="F498" s="3"/>
      <c r="G498" s="9"/>
      <c r="O498" s="3"/>
    </row>
    <row r="499" spans="4:15" x14ac:dyDescent="0.25">
      <c r="D499" s="8"/>
      <c r="E499" s="8"/>
      <c r="F499" s="3"/>
      <c r="G499" s="9"/>
      <c r="O499" s="3"/>
    </row>
    <row r="500" spans="4:15" x14ac:dyDescent="0.25">
      <c r="D500" s="8"/>
      <c r="E500" s="8"/>
      <c r="F500" s="3"/>
      <c r="G500" s="9"/>
      <c r="O500" s="3"/>
    </row>
    <row r="501" spans="4:15" x14ac:dyDescent="0.25">
      <c r="D501" s="8"/>
      <c r="E501" s="8"/>
      <c r="F501" s="3"/>
      <c r="G501" s="9"/>
      <c r="O501" s="3"/>
    </row>
    <row r="502" spans="4:15" x14ac:dyDescent="0.25">
      <c r="D502" s="8"/>
      <c r="E502" s="8"/>
      <c r="F502" s="3"/>
      <c r="O502" s="3"/>
    </row>
    <row r="503" spans="4:15" x14ac:dyDescent="0.25">
      <c r="D503" s="8"/>
      <c r="E503" s="8"/>
      <c r="F503" s="3"/>
      <c r="G503" s="9"/>
      <c r="O503" s="3"/>
    </row>
    <row r="504" spans="4:15" x14ac:dyDescent="0.25">
      <c r="D504" s="8"/>
      <c r="E504" s="8"/>
      <c r="F504" s="3"/>
      <c r="G504" s="9"/>
      <c r="O504" s="3"/>
    </row>
    <row r="505" spans="4:15" x14ac:dyDescent="0.25">
      <c r="D505" s="8"/>
      <c r="E505" s="8"/>
      <c r="F505" s="3"/>
      <c r="G505" s="9"/>
      <c r="O505" s="3"/>
    </row>
    <row r="506" spans="4:15" x14ac:dyDescent="0.25">
      <c r="D506" s="8"/>
      <c r="E506" s="8"/>
      <c r="F506" s="3"/>
      <c r="G506" s="9"/>
      <c r="O506" s="3"/>
    </row>
    <row r="507" spans="4:15" x14ac:dyDescent="0.25">
      <c r="D507" s="8"/>
      <c r="E507" s="8"/>
      <c r="F507" s="3"/>
      <c r="G507" s="9"/>
      <c r="O507" s="3"/>
    </row>
    <row r="508" spans="4:15" x14ac:dyDescent="0.25">
      <c r="D508" s="8"/>
      <c r="E508" s="8"/>
      <c r="F508" s="3"/>
      <c r="G508" s="9"/>
      <c r="O508" s="3"/>
    </row>
    <row r="509" spans="4:15" x14ac:dyDescent="0.25">
      <c r="D509" s="8"/>
      <c r="E509" s="8"/>
      <c r="F509" s="3"/>
      <c r="G509" s="9"/>
      <c r="O509" s="3"/>
    </row>
    <row r="510" spans="4:15" x14ac:dyDescent="0.25">
      <c r="D510" s="8"/>
      <c r="E510" s="8"/>
      <c r="F510" s="3"/>
      <c r="G510" s="9"/>
      <c r="O510" s="3"/>
    </row>
    <row r="511" spans="4:15" x14ac:dyDescent="0.25">
      <c r="D511" s="8"/>
      <c r="E511" s="8"/>
      <c r="F511" s="3"/>
      <c r="G511" s="9"/>
      <c r="O511" s="3"/>
    </row>
    <row r="512" spans="4:15" x14ac:dyDescent="0.25">
      <c r="D512" s="8"/>
      <c r="E512" s="8"/>
      <c r="F512" s="3"/>
      <c r="G512" s="9"/>
      <c r="O512" s="3"/>
    </row>
    <row r="513" spans="4:15" x14ac:dyDescent="0.25">
      <c r="D513" s="8"/>
      <c r="E513" s="8"/>
      <c r="F513" s="3"/>
      <c r="G513" s="9"/>
      <c r="O513" s="3"/>
    </row>
    <row r="514" spans="4:15" x14ac:dyDescent="0.25">
      <c r="D514" s="8"/>
      <c r="E514" s="8"/>
      <c r="F514" s="3"/>
      <c r="G514" s="9"/>
      <c r="O514" s="3"/>
    </row>
    <row r="515" spans="4:15" x14ac:dyDescent="0.25">
      <c r="D515" s="8"/>
      <c r="E515" s="8"/>
      <c r="F515" s="3"/>
      <c r="G515" s="9"/>
      <c r="O515" s="3"/>
    </row>
    <row r="516" spans="4:15" x14ac:dyDescent="0.25">
      <c r="D516" s="8"/>
      <c r="E516" s="8"/>
      <c r="F516" s="3"/>
      <c r="G516" s="9"/>
      <c r="O516" s="3"/>
    </row>
    <row r="517" spans="4:15" x14ac:dyDescent="0.25">
      <c r="D517" s="8"/>
      <c r="E517" s="8"/>
      <c r="F517" s="3"/>
      <c r="G517" s="9"/>
      <c r="O517" s="3"/>
    </row>
    <row r="518" spans="4:15" x14ac:dyDescent="0.25">
      <c r="D518" s="8"/>
      <c r="E518" s="8"/>
      <c r="F518" s="3"/>
      <c r="G518" s="9"/>
      <c r="O518" s="3"/>
    </row>
    <row r="519" spans="4:15" x14ac:dyDescent="0.25">
      <c r="D519" s="8"/>
      <c r="E519" s="8"/>
      <c r="F519" s="3"/>
      <c r="G519" s="9"/>
      <c r="O519" s="3"/>
    </row>
    <row r="520" spans="4:15" x14ac:dyDescent="0.25">
      <c r="D520" s="8"/>
      <c r="E520" s="8"/>
      <c r="F520" s="3"/>
      <c r="G520" s="9"/>
      <c r="O520" s="3"/>
    </row>
    <row r="521" spans="4:15" x14ac:dyDescent="0.25">
      <c r="D521" s="8"/>
      <c r="E521" s="8"/>
      <c r="F521" s="3"/>
      <c r="G521" s="9"/>
      <c r="O521" s="3"/>
    </row>
    <row r="522" spans="4:15" x14ac:dyDescent="0.25">
      <c r="D522" s="8"/>
      <c r="E522" s="8"/>
      <c r="F522" s="3"/>
      <c r="G522" s="9"/>
      <c r="O522" s="3"/>
    </row>
    <row r="523" spans="4:15" x14ac:dyDescent="0.25">
      <c r="D523" s="8"/>
      <c r="E523" s="8"/>
      <c r="F523" s="3"/>
      <c r="G523" s="9"/>
      <c r="O523" s="3"/>
    </row>
    <row r="524" spans="4:15" x14ac:dyDescent="0.25">
      <c r="D524" s="8"/>
      <c r="E524" s="8"/>
      <c r="F524" s="3"/>
      <c r="G524" s="9"/>
      <c r="O524" s="3"/>
    </row>
    <row r="525" spans="4:15" x14ac:dyDescent="0.25">
      <c r="D525" s="8"/>
      <c r="E525" s="8"/>
      <c r="F525" s="3"/>
      <c r="G525" s="9"/>
      <c r="O525" s="3"/>
    </row>
    <row r="526" spans="4:15" x14ac:dyDescent="0.25">
      <c r="D526" s="8"/>
      <c r="E526" s="8"/>
      <c r="F526" s="3"/>
      <c r="G526" s="9"/>
      <c r="O526" s="3"/>
    </row>
    <row r="527" spans="4:15" x14ac:dyDescent="0.25">
      <c r="D527" s="8"/>
      <c r="E527" s="8"/>
      <c r="F527" s="3"/>
      <c r="O527" s="3"/>
    </row>
    <row r="528" spans="4:15" x14ac:dyDescent="0.25">
      <c r="D528" s="8"/>
      <c r="E528" s="8"/>
      <c r="F528" s="3"/>
      <c r="G528" s="9"/>
      <c r="O528" s="3"/>
    </row>
    <row r="529" spans="4:15" x14ac:dyDescent="0.25">
      <c r="D529" s="8"/>
      <c r="E529" s="8"/>
      <c r="F529" s="3"/>
      <c r="G529" s="9"/>
      <c r="O529" s="3"/>
    </row>
    <row r="530" spans="4:15" x14ac:dyDescent="0.25">
      <c r="D530" s="8"/>
      <c r="E530" s="8"/>
      <c r="F530" s="3"/>
      <c r="G530" s="9"/>
      <c r="O530" s="3"/>
    </row>
    <row r="531" spans="4:15" x14ac:dyDescent="0.25">
      <c r="D531" s="8"/>
      <c r="E531" s="8"/>
      <c r="F531" s="3"/>
      <c r="G531" s="9"/>
      <c r="O531" s="3"/>
    </row>
    <row r="532" spans="4:15" x14ac:dyDescent="0.25">
      <c r="D532" s="8"/>
      <c r="E532" s="8"/>
      <c r="F532" s="3"/>
      <c r="G532" s="9"/>
      <c r="O532" s="3"/>
    </row>
    <row r="533" spans="4:15" x14ac:dyDescent="0.25">
      <c r="D533" s="8"/>
      <c r="E533" s="8"/>
      <c r="F533" s="3"/>
      <c r="G533" s="9"/>
      <c r="O533" s="3"/>
    </row>
    <row r="534" spans="4:15" x14ac:dyDescent="0.25">
      <c r="D534" s="8"/>
      <c r="E534" s="8"/>
      <c r="F534" s="3"/>
      <c r="G534" s="9"/>
      <c r="O534" s="3"/>
    </row>
    <row r="535" spans="4:15" x14ac:dyDescent="0.25">
      <c r="D535" s="8"/>
      <c r="E535" s="8"/>
      <c r="F535" s="3"/>
      <c r="G535" s="9"/>
      <c r="O535" s="3"/>
    </row>
    <row r="536" spans="4:15" x14ac:dyDescent="0.25">
      <c r="D536" s="8"/>
      <c r="E536" s="8"/>
      <c r="F536" s="3"/>
      <c r="G536" s="9"/>
      <c r="O536" s="3"/>
    </row>
    <row r="537" spans="4:15" x14ac:dyDescent="0.25">
      <c r="D537" s="8"/>
      <c r="E537" s="8"/>
      <c r="F537" s="3"/>
      <c r="G537" s="9"/>
      <c r="O537" s="3"/>
    </row>
    <row r="538" spans="4:15" x14ac:dyDescent="0.25">
      <c r="D538" s="8"/>
      <c r="E538" s="8"/>
      <c r="F538" s="3"/>
      <c r="G538" s="9"/>
      <c r="O538" s="3"/>
    </row>
    <row r="539" spans="4:15" x14ac:dyDescent="0.25">
      <c r="D539" s="8"/>
      <c r="E539" s="8"/>
      <c r="F539" s="3"/>
      <c r="G539" s="9"/>
      <c r="O539" s="3"/>
    </row>
    <row r="540" spans="4:15" x14ac:dyDescent="0.25">
      <c r="D540" s="8"/>
      <c r="E540" s="8"/>
      <c r="F540" s="3"/>
      <c r="G540" s="9"/>
      <c r="O540" s="3"/>
    </row>
    <row r="541" spans="4:15" x14ac:dyDescent="0.25">
      <c r="D541" s="8"/>
      <c r="E541" s="8"/>
      <c r="F541" s="3"/>
      <c r="G541" s="9"/>
      <c r="O541" s="3"/>
    </row>
    <row r="542" spans="4:15" x14ac:dyDescent="0.25">
      <c r="D542" s="8"/>
      <c r="E542" s="8"/>
      <c r="F542" s="3"/>
      <c r="G542" s="9"/>
      <c r="O542" s="3"/>
    </row>
    <row r="543" spans="4:15" x14ac:dyDescent="0.25">
      <c r="D543" s="8"/>
      <c r="E543" s="8"/>
      <c r="F543" s="3"/>
      <c r="G543" s="9"/>
      <c r="O543" s="3"/>
    </row>
    <row r="544" spans="4:15" x14ac:dyDescent="0.25">
      <c r="D544" s="8"/>
      <c r="E544" s="8"/>
      <c r="F544" s="3"/>
      <c r="G544" s="9"/>
      <c r="O544" s="3"/>
    </row>
    <row r="545" spans="4:15" x14ac:dyDescent="0.25">
      <c r="D545" s="8"/>
      <c r="E545" s="8"/>
      <c r="F545" s="3"/>
      <c r="G545" s="9"/>
      <c r="O545" s="3"/>
    </row>
    <row r="546" spans="4:15" x14ac:dyDescent="0.25">
      <c r="D546" s="8"/>
      <c r="E546" s="8"/>
      <c r="F546" s="3"/>
      <c r="G546" s="9"/>
      <c r="O546" s="3"/>
    </row>
    <row r="547" spans="4:15" x14ac:dyDescent="0.25">
      <c r="D547" s="8"/>
      <c r="E547" s="8"/>
      <c r="F547" s="3"/>
      <c r="G547" s="9"/>
      <c r="O547" s="3"/>
    </row>
    <row r="548" spans="4:15" x14ac:dyDescent="0.25">
      <c r="D548" s="8"/>
      <c r="E548" s="8"/>
      <c r="F548" s="3"/>
      <c r="G548" s="9"/>
      <c r="O548" s="3"/>
    </row>
    <row r="549" spans="4:15" x14ac:dyDescent="0.25">
      <c r="D549" s="8"/>
      <c r="E549" s="8"/>
      <c r="F549" s="3"/>
      <c r="G549" s="9"/>
      <c r="O549" s="3"/>
    </row>
    <row r="550" spans="4:15" x14ac:dyDescent="0.25">
      <c r="D550" s="8"/>
      <c r="E550" s="8"/>
      <c r="F550" s="3"/>
      <c r="G550" s="9"/>
      <c r="O550" s="3"/>
    </row>
    <row r="551" spans="4:15" x14ac:dyDescent="0.25">
      <c r="D551" s="8"/>
      <c r="E551" s="8"/>
      <c r="F551" s="3"/>
      <c r="G551" s="9"/>
      <c r="O551" s="3"/>
    </row>
    <row r="552" spans="4:15" x14ac:dyDescent="0.25">
      <c r="D552" s="8"/>
      <c r="E552" s="8"/>
      <c r="F552" s="3"/>
      <c r="O552" s="3"/>
    </row>
    <row r="553" spans="4:15" x14ac:dyDescent="0.25">
      <c r="D553" s="8"/>
      <c r="E553" s="8"/>
      <c r="F553" s="3"/>
      <c r="G553" s="9"/>
      <c r="O553" s="3"/>
    </row>
    <row r="554" spans="4:15" x14ac:dyDescent="0.25">
      <c r="D554" s="8"/>
      <c r="E554" s="8"/>
      <c r="F554" s="3"/>
      <c r="G554" s="9"/>
      <c r="O554" s="3"/>
    </row>
    <row r="555" spans="4:15" x14ac:dyDescent="0.25">
      <c r="D555" s="8"/>
      <c r="E555" s="8"/>
      <c r="F555" s="3"/>
      <c r="G555" s="9"/>
      <c r="O555" s="3"/>
    </row>
    <row r="556" spans="4:15" x14ac:dyDescent="0.25">
      <c r="D556" s="8"/>
      <c r="E556" s="8"/>
      <c r="F556" s="3"/>
      <c r="G556" s="9"/>
      <c r="O556" s="3"/>
    </row>
    <row r="557" spans="4:15" x14ac:dyDescent="0.25">
      <c r="D557" s="8"/>
      <c r="E557" s="8"/>
      <c r="F557" s="3"/>
      <c r="G557" s="9"/>
      <c r="O557" s="3"/>
    </row>
    <row r="558" spans="4:15" x14ac:dyDescent="0.25">
      <c r="D558" s="8"/>
      <c r="E558" s="8"/>
      <c r="F558" s="3"/>
      <c r="G558" s="9"/>
      <c r="O558" s="3"/>
    </row>
    <row r="559" spans="4:15" x14ac:dyDescent="0.25">
      <c r="D559" s="8"/>
      <c r="E559" s="8"/>
      <c r="F559" s="3"/>
      <c r="G559" s="9"/>
      <c r="O559" s="3"/>
    </row>
    <row r="560" spans="4:15" x14ac:dyDescent="0.25">
      <c r="D560" s="8"/>
      <c r="E560" s="8"/>
      <c r="F560" s="3"/>
      <c r="G560" s="9"/>
      <c r="O560" s="3"/>
    </row>
    <row r="561" spans="4:15" x14ac:dyDescent="0.25">
      <c r="D561" s="8"/>
      <c r="E561" s="8"/>
      <c r="F561" s="3"/>
      <c r="G561" s="9"/>
      <c r="O561" s="3"/>
    </row>
    <row r="562" spans="4:15" x14ac:dyDescent="0.25">
      <c r="D562" s="8"/>
      <c r="E562" s="8"/>
      <c r="F562" s="3"/>
      <c r="G562" s="9"/>
      <c r="O562" s="3"/>
    </row>
    <row r="563" spans="4:15" x14ac:dyDescent="0.25">
      <c r="D563" s="8"/>
      <c r="E563" s="8"/>
      <c r="F563" s="3"/>
      <c r="G563" s="9"/>
      <c r="O563" s="3"/>
    </row>
    <row r="564" spans="4:15" x14ac:dyDescent="0.25">
      <c r="D564" s="8"/>
      <c r="E564" s="8"/>
      <c r="F564" s="3"/>
      <c r="G564" s="9"/>
      <c r="O564" s="3"/>
    </row>
    <row r="565" spans="4:15" x14ac:dyDescent="0.25">
      <c r="D565" s="8"/>
      <c r="E565" s="8"/>
      <c r="F565" s="3"/>
      <c r="G565" s="9"/>
      <c r="O565" s="3"/>
    </row>
    <row r="566" spans="4:15" x14ac:dyDescent="0.25">
      <c r="D566" s="8"/>
      <c r="E566" s="8"/>
      <c r="F566" s="3"/>
      <c r="G566" s="9"/>
      <c r="O566" s="3"/>
    </row>
    <row r="567" spans="4:15" x14ac:dyDescent="0.25">
      <c r="D567" s="8"/>
      <c r="E567" s="8"/>
      <c r="F567" s="3"/>
      <c r="G567" s="9"/>
      <c r="O567" s="3"/>
    </row>
    <row r="568" spans="4:15" x14ac:dyDescent="0.25">
      <c r="D568" s="8"/>
      <c r="E568" s="8"/>
      <c r="F568" s="3"/>
      <c r="G568" s="9"/>
      <c r="O568" s="3"/>
    </row>
    <row r="569" spans="4:15" x14ac:dyDescent="0.25">
      <c r="D569" s="8"/>
      <c r="E569" s="8"/>
      <c r="F569" s="3"/>
      <c r="G569" s="9"/>
      <c r="O569" s="3"/>
    </row>
    <row r="570" spans="4:15" x14ac:dyDescent="0.25">
      <c r="D570" s="8"/>
      <c r="E570" s="8"/>
      <c r="F570" s="3"/>
      <c r="G570" s="9"/>
      <c r="O570" s="3"/>
    </row>
    <row r="571" spans="4:15" x14ac:dyDescent="0.25">
      <c r="D571" s="8"/>
      <c r="E571" s="8"/>
      <c r="F571" s="3"/>
      <c r="G571" s="9"/>
      <c r="O571" s="3"/>
    </row>
    <row r="572" spans="4:15" x14ac:dyDescent="0.25">
      <c r="D572" s="8"/>
      <c r="E572" s="8"/>
      <c r="F572" s="3"/>
      <c r="G572" s="9"/>
      <c r="O572" s="3"/>
    </row>
    <row r="573" spans="4:15" x14ac:dyDescent="0.25">
      <c r="D573" s="8"/>
      <c r="E573" s="8"/>
      <c r="F573" s="3"/>
      <c r="G573" s="9"/>
      <c r="O573" s="3"/>
    </row>
    <row r="574" spans="4:15" x14ac:dyDescent="0.25">
      <c r="D574" s="8"/>
      <c r="E574" s="8"/>
      <c r="F574" s="3"/>
      <c r="G574" s="9"/>
      <c r="O574" s="3"/>
    </row>
    <row r="575" spans="4:15" x14ac:dyDescent="0.25">
      <c r="D575" s="8"/>
      <c r="E575" s="8"/>
      <c r="F575" s="3"/>
      <c r="G575" s="9"/>
      <c r="O575" s="3"/>
    </row>
    <row r="576" spans="4:15" x14ac:dyDescent="0.25">
      <c r="D576" s="8"/>
      <c r="E576" s="8"/>
      <c r="F576" s="3"/>
      <c r="G576" s="9"/>
      <c r="O576" s="3"/>
    </row>
    <row r="577" spans="4:15" x14ac:dyDescent="0.25">
      <c r="D577" s="8"/>
      <c r="E577" s="8"/>
      <c r="F577" s="3"/>
      <c r="O577" s="3"/>
    </row>
    <row r="578" spans="4:15" x14ac:dyDescent="0.25">
      <c r="D578" s="8"/>
      <c r="E578" s="8"/>
      <c r="F578" s="3"/>
      <c r="G578" s="9"/>
      <c r="O578" s="3"/>
    </row>
    <row r="579" spans="4:15" x14ac:dyDescent="0.25">
      <c r="D579" s="8"/>
      <c r="E579" s="8"/>
      <c r="F579" s="3"/>
      <c r="G579" s="9"/>
      <c r="O579" s="3"/>
    </row>
    <row r="580" spans="4:15" x14ac:dyDescent="0.25">
      <c r="D580" s="8"/>
      <c r="E580" s="8"/>
      <c r="F580" s="3"/>
      <c r="G580" s="9"/>
      <c r="O580" s="3"/>
    </row>
    <row r="581" spans="4:15" x14ac:dyDescent="0.25">
      <c r="D581" s="8"/>
      <c r="E581" s="8"/>
      <c r="F581" s="3"/>
      <c r="G581" s="9"/>
      <c r="O581" s="3"/>
    </row>
    <row r="582" spans="4:15" x14ac:dyDescent="0.25">
      <c r="D582" s="8"/>
      <c r="E582" s="8"/>
      <c r="F582" s="3"/>
      <c r="G582" s="9"/>
      <c r="O582" s="3"/>
    </row>
    <row r="583" spans="4:15" x14ac:dyDescent="0.25">
      <c r="D583" s="8"/>
      <c r="E583" s="8"/>
      <c r="F583" s="3"/>
      <c r="G583" s="9"/>
      <c r="O583" s="3"/>
    </row>
    <row r="584" spans="4:15" x14ac:dyDescent="0.25">
      <c r="D584" s="8"/>
      <c r="E584" s="8"/>
      <c r="F584" s="3"/>
      <c r="G584" s="9"/>
      <c r="O584" s="3"/>
    </row>
    <row r="585" spans="4:15" x14ac:dyDescent="0.25">
      <c r="D585" s="8"/>
      <c r="E585" s="8"/>
      <c r="F585" s="3"/>
      <c r="G585" s="9"/>
      <c r="O585" s="3"/>
    </row>
    <row r="586" spans="4:15" x14ac:dyDescent="0.25">
      <c r="D586" s="8"/>
      <c r="E586" s="8"/>
      <c r="F586" s="3"/>
      <c r="G586" s="9"/>
      <c r="O586" s="3"/>
    </row>
    <row r="587" spans="4:15" x14ac:dyDescent="0.25">
      <c r="D587" s="8"/>
      <c r="E587" s="8"/>
      <c r="F587" s="3"/>
      <c r="G587" s="9"/>
      <c r="O587" s="3"/>
    </row>
    <row r="588" spans="4:15" x14ac:dyDescent="0.25">
      <c r="D588" s="8"/>
      <c r="E588" s="8"/>
      <c r="F588" s="3"/>
      <c r="G588" s="9"/>
      <c r="O588" s="3"/>
    </row>
    <row r="589" spans="4:15" x14ac:dyDescent="0.25">
      <c r="D589" s="8"/>
      <c r="E589" s="8"/>
      <c r="F589" s="3"/>
      <c r="G589" s="9"/>
      <c r="O589" s="3"/>
    </row>
    <row r="590" spans="4:15" x14ac:dyDescent="0.25">
      <c r="D590" s="8"/>
      <c r="E590" s="8"/>
      <c r="F590" s="3"/>
      <c r="G590" s="9"/>
      <c r="O590" s="3"/>
    </row>
    <row r="591" spans="4:15" x14ac:dyDescent="0.25">
      <c r="D591" s="8"/>
      <c r="E591" s="8"/>
      <c r="F591" s="3"/>
      <c r="G591" s="9"/>
      <c r="O591" s="3"/>
    </row>
    <row r="592" spans="4:15" x14ac:dyDescent="0.25">
      <c r="D592" s="8"/>
      <c r="E592" s="8"/>
      <c r="F592" s="3"/>
      <c r="G592" s="9"/>
      <c r="O592" s="3"/>
    </row>
    <row r="593" spans="4:15" x14ac:dyDescent="0.25">
      <c r="D593" s="8"/>
      <c r="E593" s="8"/>
      <c r="F593" s="3"/>
      <c r="G593" s="9"/>
      <c r="O593" s="3"/>
    </row>
    <row r="594" spans="4:15" x14ac:dyDescent="0.25">
      <c r="D594" s="8"/>
      <c r="E594" s="8"/>
      <c r="F594" s="3"/>
      <c r="G594" s="9"/>
      <c r="O594" s="3"/>
    </row>
    <row r="595" spans="4:15" x14ac:dyDescent="0.25">
      <c r="D595" s="8"/>
      <c r="E595" s="8"/>
      <c r="F595" s="3"/>
      <c r="G595" s="9"/>
      <c r="O595" s="3"/>
    </row>
    <row r="596" spans="4:15" x14ac:dyDescent="0.25">
      <c r="D596" s="8"/>
      <c r="E596" s="8"/>
      <c r="F596" s="3"/>
      <c r="G596" s="9"/>
      <c r="O596" s="3"/>
    </row>
    <row r="597" spans="4:15" x14ac:dyDescent="0.25">
      <c r="D597" s="8"/>
      <c r="E597" s="8"/>
      <c r="F597" s="3"/>
      <c r="G597" s="9"/>
      <c r="O597" s="3"/>
    </row>
    <row r="598" spans="4:15" x14ac:dyDescent="0.25">
      <c r="D598" s="8"/>
      <c r="E598" s="8"/>
      <c r="F598" s="3"/>
      <c r="G598" s="9"/>
      <c r="O598" s="3"/>
    </row>
    <row r="599" spans="4:15" x14ac:dyDescent="0.25">
      <c r="D599" s="8"/>
      <c r="E599" s="8"/>
      <c r="F599" s="3"/>
      <c r="G599" s="9"/>
      <c r="O599" s="3"/>
    </row>
    <row r="600" spans="4:15" x14ac:dyDescent="0.25">
      <c r="D600" s="8"/>
      <c r="E600" s="8"/>
      <c r="F600" s="3"/>
      <c r="G600" s="9"/>
      <c r="O600" s="3"/>
    </row>
    <row r="601" spans="4:15" x14ac:dyDescent="0.25">
      <c r="D601" s="8"/>
      <c r="E601" s="8"/>
      <c r="F601" s="3"/>
      <c r="G601" s="9"/>
      <c r="O601" s="3"/>
    </row>
    <row r="602" spans="4:15" x14ac:dyDescent="0.25">
      <c r="D602" s="8"/>
      <c r="E602" s="8"/>
      <c r="F602" s="3"/>
      <c r="O602" s="3"/>
    </row>
    <row r="603" spans="4:15" x14ac:dyDescent="0.25">
      <c r="D603" s="8"/>
      <c r="E603" s="8"/>
      <c r="F603" s="3"/>
      <c r="G603" s="9"/>
      <c r="O603" s="3"/>
    </row>
    <row r="604" spans="4:15" x14ac:dyDescent="0.25">
      <c r="D604" s="8"/>
      <c r="E604" s="8"/>
      <c r="F604" s="3"/>
      <c r="G604" s="9"/>
      <c r="O604" s="3"/>
    </row>
    <row r="605" spans="4:15" x14ac:dyDescent="0.25">
      <c r="D605" s="8"/>
      <c r="E605" s="8"/>
      <c r="F605" s="3"/>
      <c r="G605" s="9"/>
      <c r="O605" s="3"/>
    </row>
    <row r="606" spans="4:15" x14ac:dyDescent="0.25">
      <c r="D606" s="8"/>
      <c r="E606" s="8"/>
      <c r="F606" s="3"/>
      <c r="G606" s="9"/>
      <c r="O606" s="3"/>
    </row>
    <row r="607" spans="4:15" x14ac:dyDescent="0.25">
      <c r="D607" s="8"/>
      <c r="E607" s="8"/>
      <c r="F607" s="3"/>
      <c r="G607" s="9"/>
      <c r="O607" s="3"/>
    </row>
    <row r="608" spans="4:15" x14ac:dyDescent="0.25">
      <c r="D608" s="8"/>
      <c r="E608" s="8"/>
      <c r="F608" s="3"/>
      <c r="G608" s="9"/>
      <c r="O608" s="3"/>
    </row>
    <row r="609" spans="4:15" x14ac:dyDescent="0.25">
      <c r="D609" s="8"/>
      <c r="E609" s="8"/>
      <c r="F609" s="3"/>
      <c r="G609" s="9"/>
      <c r="O609" s="3"/>
    </row>
    <row r="610" spans="4:15" x14ac:dyDescent="0.25">
      <c r="D610" s="8"/>
      <c r="E610" s="8"/>
      <c r="F610" s="3"/>
      <c r="G610" s="9"/>
      <c r="O610" s="3"/>
    </row>
    <row r="611" spans="4:15" x14ac:dyDescent="0.25">
      <c r="D611" s="8"/>
      <c r="E611" s="8"/>
      <c r="F611" s="3"/>
      <c r="G611" s="9"/>
      <c r="O611" s="3"/>
    </row>
    <row r="612" spans="4:15" x14ac:dyDescent="0.25">
      <c r="D612" s="8"/>
      <c r="E612" s="8"/>
      <c r="F612" s="3"/>
      <c r="G612" s="9"/>
      <c r="O612" s="3"/>
    </row>
    <row r="613" spans="4:15" x14ac:dyDescent="0.25">
      <c r="D613" s="8"/>
      <c r="E613" s="8"/>
      <c r="F613" s="3"/>
      <c r="G613" s="9"/>
      <c r="O613" s="3"/>
    </row>
    <row r="614" spans="4:15" x14ac:dyDescent="0.25">
      <c r="D614" s="8"/>
      <c r="E614" s="8"/>
      <c r="F614" s="3"/>
      <c r="G614" s="9"/>
      <c r="O614" s="3"/>
    </row>
    <row r="615" spans="4:15" x14ac:dyDescent="0.25">
      <c r="D615" s="8"/>
      <c r="E615" s="8"/>
      <c r="F615" s="3"/>
      <c r="G615" s="9"/>
      <c r="O615" s="3"/>
    </row>
    <row r="616" spans="4:15" x14ac:dyDescent="0.25">
      <c r="D616" s="8"/>
      <c r="E616" s="8"/>
      <c r="F616" s="3"/>
      <c r="G616" s="9"/>
      <c r="O616" s="3"/>
    </row>
    <row r="617" spans="4:15" x14ac:dyDescent="0.25">
      <c r="D617" s="8"/>
      <c r="E617" s="8"/>
      <c r="F617" s="3"/>
      <c r="G617" s="9"/>
      <c r="O617" s="3"/>
    </row>
    <row r="618" spans="4:15" x14ac:dyDescent="0.25">
      <c r="D618" s="8"/>
      <c r="E618" s="8"/>
      <c r="F618" s="3"/>
      <c r="G618" s="9"/>
      <c r="O618" s="3"/>
    </row>
    <row r="619" spans="4:15" x14ac:dyDescent="0.25">
      <c r="D619" s="8"/>
      <c r="E619" s="8"/>
      <c r="F619" s="3"/>
      <c r="G619" s="9"/>
      <c r="O619" s="3"/>
    </row>
    <row r="620" spans="4:15" x14ac:dyDescent="0.25">
      <c r="D620" s="8"/>
      <c r="E620" s="8"/>
      <c r="F620" s="3"/>
      <c r="G620" s="9"/>
      <c r="O620" s="3"/>
    </row>
    <row r="621" spans="4:15" x14ac:dyDescent="0.25">
      <c r="D621" s="8"/>
      <c r="E621" s="8"/>
      <c r="F621" s="3"/>
      <c r="G621" s="9"/>
      <c r="O621" s="3"/>
    </row>
    <row r="622" spans="4:15" x14ac:dyDescent="0.25">
      <c r="D622" s="8"/>
      <c r="E622" s="8"/>
      <c r="F622" s="3"/>
      <c r="G622" s="9"/>
      <c r="O622" s="3"/>
    </row>
    <row r="623" spans="4:15" x14ac:dyDescent="0.25">
      <c r="D623" s="8"/>
      <c r="E623" s="8"/>
      <c r="F623" s="3"/>
      <c r="G623" s="9"/>
      <c r="O623" s="3"/>
    </row>
    <row r="624" spans="4:15" x14ac:dyDescent="0.25">
      <c r="D624" s="8"/>
      <c r="E624" s="8"/>
      <c r="F624" s="3"/>
      <c r="G624" s="9"/>
      <c r="O624" s="3"/>
    </row>
    <row r="625" spans="4:15" x14ac:dyDescent="0.25">
      <c r="D625" s="8"/>
      <c r="E625" s="8"/>
      <c r="F625" s="3"/>
      <c r="G625" s="9"/>
      <c r="O625" s="3"/>
    </row>
    <row r="626" spans="4:15" x14ac:dyDescent="0.25">
      <c r="D626" s="8"/>
      <c r="E626" s="8"/>
      <c r="F626" s="3"/>
      <c r="G626" s="9"/>
      <c r="O626" s="3"/>
    </row>
    <row r="627" spans="4:15" x14ac:dyDescent="0.25">
      <c r="D627" s="8"/>
      <c r="E627" s="8"/>
      <c r="F627" s="3"/>
      <c r="O627" s="3"/>
    </row>
    <row r="628" spans="4:15" x14ac:dyDescent="0.25">
      <c r="D628" s="8"/>
      <c r="E628" s="8"/>
      <c r="F628" s="3"/>
      <c r="G628" s="9"/>
      <c r="O628" s="3"/>
    </row>
    <row r="629" spans="4:15" x14ac:dyDescent="0.25">
      <c r="D629" s="8"/>
      <c r="E629" s="8"/>
      <c r="F629" s="3"/>
      <c r="G629" s="9"/>
      <c r="O629" s="3"/>
    </row>
    <row r="630" spans="4:15" x14ac:dyDescent="0.25">
      <c r="D630" s="8"/>
      <c r="E630" s="8"/>
      <c r="F630" s="3"/>
      <c r="G630" s="9"/>
      <c r="O630" s="3"/>
    </row>
    <row r="631" spans="4:15" x14ac:dyDescent="0.25">
      <c r="D631" s="8"/>
      <c r="E631" s="8"/>
      <c r="F631" s="3"/>
      <c r="G631" s="9"/>
      <c r="O631" s="3"/>
    </row>
    <row r="632" spans="4:15" x14ac:dyDescent="0.25">
      <c r="D632" s="8"/>
      <c r="E632" s="8"/>
      <c r="F632" s="3"/>
      <c r="G632" s="9"/>
      <c r="O632" s="3"/>
    </row>
    <row r="633" spans="4:15" x14ac:dyDescent="0.25">
      <c r="D633" s="8"/>
      <c r="E633" s="8"/>
      <c r="F633" s="3"/>
      <c r="G633" s="9"/>
      <c r="O633" s="3"/>
    </row>
    <row r="634" spans="4:15" x14ac:dyDescent="0.25">
      <c r="D634" s="8"/>
      <c r="E634" s="8"/>
      <c r="F634" s="3"/>
      <c r="G634" s="9"/>
      <c r="O634" s="3"/>
    </row>
    <row r="635" spans="4:15" x14ac:dyDescent="0.25">
      <c r="D635" s="8"/>
      <c r="E635" s="8"/>
      <c r="F635" s="3"/>
      <c r="G635" s="9"/>
      <c r="O635" s="3"/>
    </row>
    <row r="636" spans="4:15" x14ac:dyDescent="0.25">
      <c r="D636" s="8"/>
      <c r="E636" s="8"/>
      <c r="F636" s="3"/>
      <c r="G636" s="9"/>
      <c r="O636" s="3"/>
    </row>
    <row r="637" spans="4:15" x14ac:dyDescent="0.25">
      <c r="D637" s="8"/>
      <c r="E637" s="8"/>
      <c r="F637" s="3"/>
      <c r="G637" s="9"/>
      <c r="O637" s="3"/>
    </row>
    <row r="638" spans="4:15" x14ac:dyDescent="0.25">
      <c r="D638" s="8"/>
      <c r="E638" s="8"/>
      <c r="F638" s="3"/>
      <c r="G638" s="9"/>
      <c r="O638" s="3"/>
    </row>
    <row r="639" spans="4:15" x14ac:dyDescent="0.25">
      <c r="D639" s="8"/>
      <c r="E639" s="8"/>
      <c r="F639" s="3"/>
      <c r="G639" s="9"/>
      <c r="O639" s="3"/>
    </row>
    <row r="640" spans="4:15" x14ac:dyDescent="0.25">
      <c r="D640" s="8"/>
      <c r="E640" s="8"/>
      <c r="F640" s="3"/>
      <c r="G640" s="9"/>
      <c r="O640" s="3"/>
    </row>
    <row r="641" spans="4:15" x14ac:dyDescent="0.25">
      <c r="D641" s="8"/>
      <c r="E641" s="8"/>
      <c r="F641" s="3"/>
      <c r="G641" s="9"/>
      <c r="O641" s="3"/>
    </row>
    <row r="642" spans="4:15" x14ac:dyDescent="0.25">
      <c r="D642" s="8"/>
      <c r="E642" s="8"/>
      <c r="F642" s="3"/>
      <c r="G642" s="9"/>
      <c r="O642" s="3"/>
    </row>
    <row r="643" spans="4:15" x14ac:dyDescent="0.25">
      <c r="D643" s="8"/>
      <c r="E643" s="8"/>
      <c r="F643" s="3"/>
      <c r="G643" s="9"/>
      <c r="O643" s="3"/>
    </row>
    <row r="644" spans="4:15" x14ac:dyDescent="0.25">
      <c r="D644" s="8"/>
      <c r="E644" s="8"/>
      <c r="F644" s="3"/>
      <c r="G644" s="9"/>
      <c r="O644" s="3"/>
    </row>
    <row r="645" spans="4:15" x14ac:dyDescent="0.25">
      <c r="D645" s="8"/>
      <c r="E645" s="8"/>
      <c r="F645" s="3"/>
      <c r="G645" s="9"/>
      <c r="O645" s="3"/>
    </row>
    <row r="646" spans="4:15" x14ac:dyDescent="0.25">
      <c r="D646" s="8"/>
      <c r="E646" s="8"/>
      <c r="F646" s="3"/>
      <c r="G646" s="9"/>
      <c r="O646" s="3"/>
    </row>
    <row r="647" spans="4:15" x14ac:dyDescent="0.25">
      <c r="D647" s="8"/>
      <c r="E647" s="8"/>
      <c r="F647" s="3"/>
      <c r="G647" s="9"/>
      <c r="O647" s="3"/>
    </row>
    <row r="648" spans="4:15" x14ac:dyDescent="0.25">
      <c r="D648" s="8"/>
      <c r="E648" s="8"/>
      <c r="F648" s="3"/>
      <c r="G648" s="9"/>
      <c r="O648" s="3"/>
    </row>
    <row r="649" spans="4:15" x14ac:dyDescent="0.25">
      <c r="D649" s="8"/>
      <c r="E649" s="8"/>
      <c r="F649" s="3"/>
      <c r="G649" s="9"/>
      <c r="O649" s="3"/>
    </row>
    <row r="650" spans="4:15" x14ac:dyDescent="0.25">
      <c r="D650" s="8"/>
      <c r="E650" s="8"/>
      <c r="F650" s="3"/>
      <c r="G650" s="9"/>
      <c r="O650" s="3"/>
    </row>
    <row r="651" spans="4:15" x14ac:dyDescent="0.25">
      <c r="D651" s="8"/>
      <c r="E651" s="8"/>
      <c r="F651" s="3"/>
      <c r="G651" s="9"/>
      <c r="O651" s="3"/>
    </row>
    <row r="652" spans="4:15" x14ac:dyDescent="0.25">
      <c r="D652" s="8"/>
      <c r="E652" s="8"/>
      <c r="F652" s="3"/>
      <c r="O652" s="3"/>
    </row>
    <row r="653" spans="4:15" x14ac:dyDescent="0.25">
      <c r="D653" s="8"/>
      <c r="E653" s="8"/>
      <c r="F653" s="3"/>
      <c r="G653" s="9"/>
      <c r="O653" s="3"/>
    </row>
    <row r="654" spans="4:15" x14ac:dyDescent="0.25">
      <c r="D654" s="8"/>
      <c r="E654" s="8"/>
      <c r="F654" s="3"/>
      <c r="G654" s="9"/>
      <c r="O654" s="3"/>
    </row>
    <row r="655" spans="4:15" x14ac:dyDescent="0.25">
      <c r="D655" s="8"/>
      <c r="E655" s="8"/>
      <c r="F655" s="3"/>
      <c r="G655" s="9"/>
      <c r="O655" s="3"/>
    </row>
    <row r="656" spans="4:15" x14ac:dyDescent="0.25">
      <c r="D656" s="8"/>
      <c r="E656" s="8"/>
      <c r="F656" s="3"/>
      <c r="G656" s="9"/>
      <c r="O656" s="3"/>
    </row>
    <row r="657" spans="4:15" x14ac:dyDescent="0.25">
      <c r="D657" s="8"/>
      <c r="E657" s="8"/>
      <c r="F657" s="3"/>
      <c r="G657" s="9"/>
      <c r="O657" s="3"/>
    </row>
    <row r="658" spans="4:15" x14ac:dyDescent="0.25">
      <c r="D658" s="8"/>
      <c r="E658" s="8"/>
      <c r="F658" s="3"/>
      <c r="G658" s="9"/>
      <c r="O658" s="3"/>
    </row>
    <row r="659" spans="4:15" x14ac:dyDescent="0.25">
      <c r="D659" s="8"/>
      <c r="E659" s="8"/>
      <c r="F659" s="3"/>
      <c r="G659" s="9"/>
      <c r="O659" s="3"/>
    </row>
    <row r="660" spans="4:15" x14ac:dyDescent="0.25">
      <c r="D660" s="8"/>
      <c r="E660" s="8"/>
      <c r="F660" s="3"/>
      <c r="G660" s="9"/>
      <c r="O660" s="3"/>
    </row>
    <row r="661" spans="4:15" x14ac:dyDescent="0.25">
      <c r="D661" s="8"/>
      <c r="E661" s="8"/>
      <c r="F661" s="3"/>
      <c r="G661" s="9"/>
      <c r="O661" s="3"/>
    </row>
    <row r="662" spans="4:15" x14ac:dyDescent="0.25">
      <c r="D662" s="8"/>
      <c r="E662" s="8"/>
      <c r="F662" s="3"/>
      <c r="G662" s="9"/>
      <c r="O662" s="3"/>
    </row>
    <row r="663" spans="4:15" x14ac:dyDescent="0.25">
      <c r="D663" s="8"/>
      <c r="E663" s="8"/>
      <c r="F663" s="3"/>
      <c r="G663" s="9"/>
      <c r="O663" s="3"/>
    </row>
    <row r="664" spans="4:15" x14ac:dyDescent="0.25">
      <c r="D664" s="8"/>
      <c r="E664" s="8"/>
      <c r="F664" s="3"/>
      <c r="G664" s="9"/>
      <c r="O664" s="3"/>
    </row>
    <row r="665" spans="4:15" x14ac:dyDescent="0.25">
      <c r="D665" s="8"/>
      <c r="E665" s="8"/>
      <c r="F665" s="3"/>
      <c r="G665" s="9"/>
      <c r="O665" s="3"/>
    </row>
    <row r="666" spans="4:15" x14ac:dyDescent="0.25">
      <c r="D666" s="8"/>
      <c r="E666" s="8"/>
      <c r="F666" s="3"/>
      <c r="G666" s="9"/>
      <c r="O666" s="3"/>
    </row>
    <row r="667" spans="4:15" x14ac:dyDescent="0.25">
      <c r="D667" s="8"/>
      <c r="E667" s="8"/>
      <c r="F667" s="3"/>
      <c r="G667" s="9"/>
      <c r="O667" s="3"/>
    </row>
    <row r="668" spans="4:15" x14ac:dyDescent="0.25">
      <c r="D668" s="8"/>
      <c r="E668" s="8"/>
      <c r="F668" s="3"/>
      <c r="G668" s="9"/>
      <c r="O668" s="3"/>
    </row>
    <row r="669" spans="4:15" x14ac:dyDescent="0.25">
      <c r="D669" s="8"/>
      <c r="E669" s="8"/>
      <c r="F669" s="3"/>
      <c r="G669" s="9"/>
      <c r="O669" s="3"/>
    </row>
    <row r="670" spans="4:15" x14ac:dyDescent="0.25">
      <c r="D670" s="8"/>
      <c r="E670" s="8"/>
      <c r="F670" s="3"/>
      <c r="G670" s="9"/>
      <c r="O670" s="3"/>
    </row>
    <row r="671" spans="4:15" x14ac:dyDescent="0.25">
      <c r="D671" s="8"/>
      <c r="E671" s="8"/>
      <c r="F671" s="3"/>
      <c r="G671" s="9"/>
      <c r="O671" s="3"/>
    </row>
    <row r="672" spans="4:15" x14ac:dyDescent="0.25">
      <c r="D672" s="8"/>
      <c r="E672" s="8"/>
      <c r="F672" s="3"/>
      <c r="G672" s="9"/>
      <c r="O672" s="3"/>
    </row>
    <row r="673" spans="4:15" x14ac:dyDescent="0.25">
      <c r="D673" s="8"/>
      <c r="E673" s="8"/>
      <c r="F673" s="3"/>
      <c r="G673" s="9"/>
      <c r="O673" s="3"/>
    </row>
    <row r="674" spans="4:15" x14ac:dyDescent="0.25">
      <c r="D674" s="8"/>
      <c r="E674" s="8"/>
      <c r="F674" s="3"/>
      <c r="G674" s="9"/>
      <c r="O674" s="3"/>
    </row>
    <row r="675" spans="4:15" x14ac:dyDescent="0.25">
      <c r="D675" s="8"/>
      <c r="E675" s="8"/>
      <c r="F675" s="3"/>
      <c r="G675" s="9"/>
      <c r="O675" s="3"/>
    </row>
    <row r="676" spans="4:15" x14ac:dyDescent="0.25">
      <c r="D676" s="8"/>
      <c r="E676" s="8"/>
      <c r="F676" s="3"/>
      <c r="G676" s="9"/>
      <c r="O676" s="3"/>
    </row>
    <row r="677" spans="4:15" x14ac:dyDescent="0.25">
      <c r="D677" s="8"/>
      <c r="E677" s="8"/>
      <c r="F677" s="3"/>
      <c r="O677" s="3"/>
    </row>
    <row r="678" spans="4:15" x14ac:dyDescent="0.25">
      <c r="D678" s="8"/>
      <c r="E678" s="8"/>
      <c r="F678" s="3"/>
      <c r="G678" s="9"/>
      <c r="O678" s="3"/>
    </row>
    <row r="679" spans="4:15" x14ac:dyDescent="0.25">
      <c r="D679" s="8"/>
      <c r="E679" s="8"/>
      <c r="F679" s="3"/>
      <c r="G679" s="9"/>
      <c r="O679" s="3"/>
    </row>
    <row r="680" spans="4:15" x14ac:dyDescent="0.25">
      <c r="D680" s="8"/>
      <c r="E680" s="8"/>
      <c r="F680" s="3"/>
      <c r="G680" s="9"/>
      <c r="O680" s="3"/>
    </row>
    <row r="681" spans="4:15" x14ac:dyDescent="0.25">
      <c r="D681" s="8"/>
      <c r="E681" s="8"/>
      <c r="F681" s="3"/>
      <c r="G681" s="9"/>
      <c r="O681" s="3"/>
    </row>
    <row r="682" spans="4:15" x14ac:dyDescent="0.25">
      <c r="D682" s="8"/>
      <c r="E682" s="8"/>
      <c r="F682" s="3"/>
      <c r="G682" s="9"/>
      <c r="O682" s="3"/>
    </row>
    <row r="683" spans="4:15" x14ac:dyDescent="0.25">
      <c r="D683" s="8"/>
      <c r="E683" s="8"/>
      <c r="F683" s="3"/>
      <c r="G683" s="9"/>
      <c r="O683" s="3"/>
    </row>
    <row r="684" spans="4:15" x14ac:dyDescent="0.25">
      <c r="D684" s="8"/>
      <c r="E684" s="8"/>
      <c r="F684" s="3"/>
      <c r="G684" s="9"/>
      <c r="O684" s="3"/>
    </row>
    <row r="685" spans="4:15" x14ac:dyDescent="0.25">
      <c r="D685" s="8"/>
      <c r="E685" s="8"/>
      <c r="F685" s="3"/>
      <c r="G685" s="9"/>
      <c r="O685" s="3"/>
    </row>
    <row r="686" spans="4:15" x14ac:dyDescent="0.25">
      <c r="D686" s="8"/>
      <c r="E686" s="8"/>
      <c r="F686" s="3"/>
      <c r="G686" s="9"/>
      <c r="O686" s="3"/>
    </row>
    <row r="687" spans="4:15" x14ac:dyDescent="0.25">
      <c r="D687" s="8"/>
      <c r="E687" s="8"/>
      <c r="F687" s="3"/>
      <c r="G687" s="9"/>
      <c r="O687" s="3"/>
    </row>
    <row r="688" spans="4:15" x14ac:dyDescent="0.25">
      <c r="D688" s="8"/>
      <c r="E688" s="8"/>
      <c r="F688" s="3"/>
      <c r="G688" s="9"/>
      <c r="O688" s="3"/>
    </row>
    <row r="689" spans="4:15" x14ac:dyDescent="0.25">
      <c r="D689" s="8"/>
      <c r="E689" s="8"/>
      <c r="F689" s="3"/>
      <c r="G689" s="9"/>
      <c r="O689" s="3"/>
    </row>
    <row r="690" spans="4:15" x14ac:dyDescent="0.25">
      <c r="D690" s="8"/>
      <c r="E690" s="8"/>
      <c r="F690" s="3"/>
      <c r="G690" s="9"/>
      <c r="O690" s="3"/>
    </row>
    <row r="691" spans="4:15" x14ac:dyDescent="0.25">
      <c r="D691" s="8"/>
      <c r="E691" s="8"/>
      <c r="F691" s="3"/>
      <c r="G691" s="9"/>
      <c r="O691" s="3"/>
    </row>
    <row r="692" spans="4:15" x14ac:dyDescent="0.25">
      <c r="D692" s="8"/>
      <c r="E692" s="8"/>
      <c r="F692" s="3"/>
      <c r="G692" s="9"/>
      <c r="O692" s="3"/>
    </row>
    <row r="693" spans="4:15" x14ac:dyDescent="0.25">
      <c r="D693" s="8"/>
      <c r="E693" s="8"/>
      <c r="F693" s="3"/>
      <c r="G693" s="9"/>
      <c r="O693" s="3"/>
    </row>
    <row r="694" spans="4:15" x14ac:dyDescent="0.25">
      <c r="D694" s="8"/>
      <c r="E694" s="8"/>
      <c r="F694" s="3"/>
      <c r="G694" s="9"/>
      <c r="O694" s="3"/>
    </row>
    <row r="695" spans="4:15" x14ac:dyDescent="0.25">
      <c r="D695" s="8"/>
      <c r="E695" s="8"/>
      <c r="F695" s="3"/>
      <c r="G695" s="9"/>
      <c r="O695" s="3"/>
    </row>
    <row r="696" spans="4:15" x14ac:dyDescent="0.25">
      <c r="D696" s="8"/>
      <c r="E696" s="8"/>
      <c r="F696" s="3"/>
      <c r="G696" s="9"/>
      <c r="O696" s="3"/>
    </row>
    <row r="697" spans="4:15" x14ac:dyDescent="0.25">
      <c r="D697" s="8"/>
      <c r="E697" s="8"/>
      <c r="F697" s="3"/>
      <c r="G697" s="9"/>
      <c r="O697" s="3"/>
    </row>
    <row r="698" spans="4:15" x14ac:dyDescent="0.25">
      <c r="D698" s="8"/>
      <c r="E698" s="8"/>
      <c r="F698" s="3"/>
      <c r="G698" s="9"/>
      <c r="O698" s="3"/>
    </row>
    <row r="699" spans="4:15" x14ac:dyDescent="0.25">
      <c r="D699" s="8"/>
      <c r="E699" s="8"/>
      <c r="F699" s="3"/>
      <c r="G699" s="9"/>
      <c r="O699" s="3"/>
    </row>
    <row r="700" spans="4:15" x14ac:dyDescent="0.25">
      <c r="D700" s="8"/>
      <c r="E700" s="8"/>
      <c r="F700" s="3"/>
      <c r="G700" s="9"/>
      <c r="O700" s="3"/>
    </row>
    <row r="701" spans="4:15" x14ac:dyDescent="0.25">
      <c r="D701" s="8"/>
      <c r="E701" s="8"/>
      <c r="F701" s="3"/>
      <c r="G701" s="9"/>
      <c r="O701" s="3"/>
    </row>
    <row r="702" spans="4:15" x14ac:dyDescent="0.25">
      <c r="D702" s="8"/>
      <c r="E702" s="8"/>
      <c r="F702" s="3"/>
      <c r="O702" s="3"/>
    </row>
    <row r="703" spans="4:15" x14ac:dyDescent="0.25">
      <c r="D703" s="8"/>
      <c r="E703" s="8"/>
      <c r="F703" s="3"/>
      <c r="G703" s="9"/>
      <c r="O703" s="3"/>
    </row>
    <row r="704" spans="4:15" x14ac:dyDescent="0.25">
      <c r="D704" s="8"/>
      <c r="E704" s="8"/>
      <c r="F704" s="3"/>
      <c r="G704" s="9"/>
      <c r="O704" s="3"/>
    </row>
    <row r="705" spans="4:15" x14ac:dyDescent="0.25">
      <c r="D705" s="8"/>
      <c r="E705" s="8"/>
      <c r="F705" s="3"/>
      <c r="G705" s="9"/>
      <c r="O705" s="3"/>
    </row>
    <row r="706" spans="4:15" x14ac:dyDescent="0.25">
      <c r="D706" s="8"/>
      <c r="E706" s="8"/>
      <c r="F706" s="3"/>
      <c r="G706" s="9"/>
      <c r="O706" s="3"/>
    </row>
    <row r="707" spans="4:15" x14ac:dyDescent="0.25">
      <c r="D707" s="8"/>
      <c r="E707" s="8"/>
      <c r="F707" s="3"/>
      <c r="G707" s="9"/>
      <c r="O707" s="3"/>
    </row>
    <row r="708" spans="4:15" x14ac:dyDescent="0.25">
      <c r="D708" s="8"/>
      <c r="E708" s="8"/>
      <c r="F708" s="3"/>
      <c r="G708" s="9"/>
      <c r="O708" s="3"/>
    </row>
    <row r="709" spans="4:15" x14ac:dyDescent="0.25">
      <c r="D709" s="8"/>
      <c r="E709" s="8"/>
      <c r="F709" s="3"/>
      <c r="G709" s="9"/>
      <c r="O709" s="3"/>
    </row>
    <row r="710" spans="4:15" x14ac:dyDescent="0.25">
      <c r="D710" s="8"/>
      <c r="E710" s="8"/>
      <c r="F710" s="3"/>
      <c r="G710" s="9"/>
      <c r="O710" s="3"/>
    </row>
    <row r="711" spans="4:15" x14ac:dyDescent="0.25">
      <c r="D711" s="8"/>
      <c r="E711" s="8"/>
      <c r="F711" s="3"/>
      <c r="G711" s="9"/>
      <c r="O711" s="3"/>
    </row>
    <row r="712" spans="4:15" x14ac:dyDescent="0.25">
      <c r="D712" s="8"/>
      <c r="E712" s="8"/>
      <c r="F712" s="3"/>
      <c r="G712" s="9"/>
      <c r="O712" s="3"/>
    </row>
    <row r="713" spans="4:15" x14ac:dyDescent="0.25">
      <c r="D713" s="8"/>
      <c r="E713" s="8"/>
      <c r="F713" s="3"/>
      <c r="G713" s="9"/>
      <c r="O713" s="3"/>
    </row>
    <row r="714" spans="4:15" x14ac:dyDescent="0.25">
      <c r="D714" s="8"/>
      <c r="E714" s="8"/>
      <c r="F714" s="3"/>
      <c r="G714" s="9"/>
      <c r="O714" s="3"/>
    </row>
    <row r="715" spans="4:15" x14ac:dyDescent="0.25">
      <c r="D715" s="8"/>
      <c r="E715" s="8"/>
      <c r="F715" s="3"/>
      <c r="G715" s="9"/>
      <c r="O715" s="3"/>
    </row>
    <row r="716" spans="4:15" x14ac:dyDescent="0.25">
      <c r="D716" s="8"/>
      <c r="E716" s="8"/>
      <c r="F716" s="3"/>
      <c r="G716" s="9"/>
      <c r="O716" s="3"/>
    </row>
    <row r="717" spans="4:15" x14ac:dyDescent="0.25">
      <c r="D717" s="8"/>
      <c r="E717" s="8"/>
      <c r="F717" s="3"/>
      <c r="G717" s="9"/>
      <c r="O717" s="3"/>
    </row>
    <row r="718" spans="4:15" x14ac:dyDescent="0.25">
      <c r="D718" s="3"/>
      <c r="F718" s="3"/>
      <c r="G718" s="9"/>
      <c r="O718" s="3"/>
    </row>
    <row r="719" spans="4:15" x14ac:dyDescent="0.25">
      <c r="F719" s="3"/>
      <c r="G719" s="9"/>
      <c r="O719" s="3"/>
    </row>
    <row r="720" spans="4:15" x14ac:dyDescent="0.25">
      <c r="F720" s="3"/>
      <c r="G720" s="9"/>
      <c r="O720" s="3"/>
    </row>
    <row r="721" spans="6:15" x14ac:dyDescent="0.25">
      <c r="F721" s="3"/>
      <c r="G721" s="9"/>
      <c r="O721" s="3"/>
    </row>
    <row r="722" spans="6:15" x14ac:dyDescent="0.25">
      <c r="F722" s="3"/>
      <c r="G722" s="9"/>
      <c r="O722" s="3"/>
    </row>
    <row r="723" spans="6:15" x14ac:dyDescent="0.25">
      <c r="F723" s="3"/>
      <c r="G723" s="9"/>
      <c r="O723" s="3"/>
    </row>
    <row r="724" spans="6:15" x14ac:dyDescent="0.25">
      <c r="F724" s="3"/>
      <c r="G724" s="9"/>
      <c r="O724" s="3"/>
    </row>
    <row r="725" spans="6:15" x14ac:dyDescent="0.25">
      <c r="F725" s="3"/>
      <c r="G725" s="9"/>
      <c r="O725" s="3"/>
    </row>
    <row r="726" spans="6:15" x14ac:dyDescent="0.25">
      <c r="F726" s="3"/>
      <c r="G726" s="9"/>
      <c r="O726" s="3"/>
    </row>
    <row r="727" spans="6:15" x14ac:dyDescent="0.25">
      <c r="F727" s="3"/>
      <c r="O727" s="3"/>
    </row>
    <row r="728" spans="6:15" x14ac:dyDescent="0.25">
      <c r="F728" s="3"/>
      <c r="G728" s="9"/>
      <c r="O728" s="3"/>
    </row>
    <row r="729" spans="6:15" x14ac:dyDescent="0.25">
      <c r="F729" s="3"/>
      <c r="G729" s="9"/>
      <c r="O729" s="3"/>
    </row>
    <row r="730" spans="6:15" x14ac:dyDescent="0.25">
      <c r="F730" s="3"/>
      <c r="G730" s="9"/>
      <c r="O730" s="3"/>
    </row>
    <row r="731" spans="6:15" x14ac:dyDescent="0.25">
      <c r="F731" s="3"/>
      <c r="G731" s="9"/>
      <c r="O731" s="3"/>
    </row>
    <row r="732" spans="6:15" x14ac:dyDescent="0.25">
      <c r="F732" s="3"/>
      <c r="G732" s="9"/>
      <c r="O732" s="3"/>
    </row>
    <row r="733" spans="6:15" x14ac:dyDescent="0.25">
      <c r="F733" s="3"/>
      <c r="G733" s="9"/>
      <c r="O733" s="3"/>
    </row>
    <row r="734" spans="6:15" x14ac:dyDescent="0.25">
      <c r="F734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4"/>
  <sheetViews>
    <sheetView zoomScale="80" zoomScaleNormal="80" workbookViewId="0">
      <selection activeCell="B1" sqref="B1:C1048576"/>
    </sheetView>
  </sheetViews>
  <sheetFormatPr defaultRowHeight="15" x14ac:dyDescent="0.25"/>
  <cols>
    <col min="1" max="1" width="7.42578125" customWidth="1"/>
    <col min="11" max="11" width="11.85546875" bestFit="1" customWidth="1"/>
    <col min="12" max="12" width="12.42578125" bestFit="1" customWidth="1"/>
    <col min="14" max="14" width="12.28515625" bestFit="1" customWidth="1"/>
    <col min="15" max="15" width="9.5703125" customWidth="1"/>
  </cols>
  <sheetData>
    <row r="1" spans="1:15" x14ac:dyDescent="0.25">
      <c r="A1" s="4"/>
      <c r="B1" s="2">
        <v>45123.73333333333</v>
      </c>
      <c r="C1" s="2">
        <v>45181.870588235295</v>
      </c>
      <c r="I1" s="5"/>
      <c r="K1" t="s">
        <v>17</v>
      </c>
      <c r="L1" s="9">
        <f>C1-B1</f>
        <v>58.137254901965207</v>
      </c>
      <c r="M1" s="9"/>
    </row>
    <row r="2" spans="1:15" x14ac:dyDescent="0.25">
      <c r="A2" t="s">
        <v>0</v>
      </c>
      <c r="B2" t="s">
        <v>1</v>
      </c>
      <c r="C2" t="s">
        <v>1</v>
      </c>
      <c r="D2" s="6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6" t="s">
        <v>10</v>
      </c>
      <c r="J2" s="6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15</v>
      </c>
    </row>
    <row r="3" spans="1:15" x14ac:dyDescent="0.25">
      <c r="A3">
        <v>2</v>
      </c>
      <c r="B3" s="3">
        <v>8.3339689655172418</v>
      </c>
      <c r="C3" s="3">
        <v>12.299520000000003</v>
      </c>
      <c r="D3">
        <f>C3-B3</f>
        <v>3.9655510344827611</v>
      </c>
      <c r="E3">
        <f>(D3+D4)/2</f>
        <v>4.2655978296146078</v>
      </c>
      <c r="F3">
        <v>70</v>
      </c>
      <c r="G3">
        <v>7381</v>
      </c>
      <c r="H3">
        <f>E3*F3</f>
        <v>298.59184807302256</v>
      </c>
      <c r="I3">
        <f t="shared" ref="I3:I22" si="0">I4+H3</f>
        <v>1155.5372948275872</v>
      </c>
      <c r="J3">
        <f t="shared" ref="J3:J23" si="1">(I3/G3)*1000</f>
        <v>156.5556557143459</v>
      </c>
    </row>
    <row r="4" spans="1:15" x14ac:dyDescent="0.25">
      <c r="A4">
        <v>10</v>
      </c>
      <c r="B4" s="3">
        <v>6.1627965517241359</v>
      </c>
      <c r="C4" s="3">
        <v>10.728441176470589</v>
      </c>
      <c r="D4">
        <f t="shared" ref="D4:D38" si="2">C4-B4</f>
        <v>4.5656446247464535</v>
      </c>
      <c r="E4">
        <f t="shared" ref="E4:E38" si="3">(D4+D5)/2</f>
        <v>4.2160797565922934</v>
      </c>
      <c r="F4">
        <v>70</v>
      </c>
      <c r="G4">
        <v>7338</v>
      </c>
      <c r="H4">
        <f t="shared" ref="H4:H38" si="4">E4*F4</f>
        <v>295.12558296146051</v>
      </c>
      <c r="I4">
        <f t="shared" si="0"/>
        <v>856.94544675456473</v>
      </c>
      <c r="J4">
        <f t="shared" si="1"/>
        <v>116.78188154191398</v>
      </c>
      <c r="K4">
        <f>(B5-B3)/(A5-A3)</f>
        <v>-0.1897936781609196</v>
      </c>
      <c r="L4">
        <f>(C5-C3)/(A5-A3)</f>
        <v>-0.19529568627451008</v>
      </c>
      <c r="M4">
        <f>(K4+L4)/2</f>
        <v>-0.19254468221771484</v>
      </c>
      <c r="N4">
        <f>-J4/(M4*86400*$L$1)</f>
        <v>1.2074681263816279E-4</v>
      </c>
      <c r="O4" s="3">
        <f>N4*10000</f>
        <v>1.2074681263816278</v>
      </c>
    </row>
    <row r="5" spans="1:15" x14ac:dyDescent="0.25">
      <c r="A5">
        <v>20</v>
      </c>
      <c r="B5" s="3">
        <v>4.917682758620689</v>
      </c>
      <c r="C5" s="3">
        <v>8.7841976470588214</v>
      </c>
      <c r="D5">
        <f t="shared" si="2"/>
        <v>3.8665148884381324</v>
      </c>
      <c r="E5">
        <f t="shared" si="3"/>
        <v>3.3735694929006086</v>
      </c>
      <c r="F5">
        <v>70</v>
      </c>
      <c r="G5">
        <v>7252</v>
      </c>
      <c r="H5">
        <f t="shared" si="4"/>
        <v>236.14986450304261</v>
      </c>
      <c r="I5">
        <f t="shared" si="0"/>
        <v>561.81986379310422</v>
      </c>
      <c r="J5">
        <f t="shared" si="1"/>
        <v>77.47102368906566</v>
      </c>
      <c r="K5">
        <f t="shared" ref="K5:K38" si="5">(B6-B4)/(A6-A4)</f>
        <v>-9.0733620689655042E-2</v>
      </c>
      <c r="L5">
        <f t="shared" ref="L5:L38" si="6">(C6-C4)/(A6-A4)</f>
        <v>-0.17498464705882349</v>
      </c>
      <c r="M5">
        <f t="shared" ref="M5:M38" si="7">(K5+L5)/2</f>
        <v>-0.13285913387423925</v>
      </c>
      <c r="N5">
        <f t="shared" ref="N5:N38" si="8">-J5/(M5*86400*$L$1)</f>
        <v>1.1608593767910303E-4</v>
      </c>
      <c r="O5" s="3">
        <f t="shared" ref="O5:O38" si="9">N5*10000</f>
        <v>1.1608593767910302</v>
      </c>
    </row>
    <row r="6" spans="1:15" x14ac:dyDescent="0.25">
      <c r="A6">
        <v>30</v>
      </c>
      <c r="B6" s="3">
        <v>4.3481241379310349</v>
      </c>
      <c r="C6" s="3">
        <v>7.2287482352941197</v>
      </c>
      <c r="D6">
        <f t="shared" si="2"/>
        <v>2.8806240973630848</v>
      </c>
      <c r="E6">
        <f t="shared" si="3"/>
        <v>2.257136653144018</v>
      </c>
      <c r="F6">
        <v>70</v>
      </c>
      <c r="G6">
        <v>7218</v>
      </c>
      <c r="H6">
        <f t="shared" si="4"/>
        <v>157.99956572008125</v>
      </c>
      <c r="I6">
        <f t="shared" si="0"/>
        <v>325.66999929006158</v>
      </c>
      <c r="J6">
        <f t="shared" si="1"/>
        <v>45.119146479642779</v>
      </c>
      <c r="K6">
        <f t="shared" si="5"/>
        <v>-3.7422068965517183E-2</v>
      </c>
      <c r="L6">
        <f t="shared" si="6"/>
        <v>-0.14906535294117623</v>
      </c>
      <c r="M6">
        <f t="shared" si="7"/>
        <v>-9.3243710953346715E-2</v>
      </c>
      <c r="N6">
        <f t="shared" si="8"/>
        <v>9.6332551201229555E-5</v>
      </c>
      <c r="O6" s="3">
        <f t="shared" si="9"/>
        <v>0.96332551201229555</v>
      </c>
    </row>
    <row r="7" spans="1:15" x14ac:dyDescent="0.25">
      <c r="A7">
        <v>40</v>
      </c>
      <c r="B7" s="3">
        <v>4.1692413793103453</v>
      </c>
      <c r="C7" s="3">
        <v>5.8028905882352966</v>
      </c>
      <c r="D7">
        <f t="shared" si="2"/>
        <v>1.6336492089249512</v>
      </c>
      <c r="E7">
        <f t="shared" si="3"/>
        <v>1.300966430020285</v>
      </c>
      <c r="F7">
        <v>70</v>
      </c>
      <c r="G7">
        <v>7128.25</v>
      </c>
      <c r="H7">
        <f t="shared" si="4"/>
        <v>91.067650101419957</v>
      </c>
      <c r="I7">
        <f t="shared" si="0"/>
        <v>167.67043356998033</v>
      </c>
      <c r="J7">
        <f t="shared" si="1"/>
        <v>23.521963114366123</v>
      </c>
      <c r="K7">
        <f t="shared" si="5"/>
        <v>-1.3668448275862045E-2</v>
      </c>
      <c r="L7">
        <f t="shared" si="6"/>
        <v>-0.10928547058823534</v>
      </c>
      <c r="M7">
        <f t="shared" si="7"/>
        <v>-6.1476959432048693E-2</v>
      </c>
      <c r="N7">
        <f t="shared" si="8"/>
        <v>7.6171572402788105E-5</v>
      </c>
      <c r="O7" s="3">
        <f t="shared" si="9"/>
        <v>0.76171572402788101</v>
      </c>
    </row>
    <row r="8" spans="1:15" x14ac:dyDescent="0.25">
      <c r="A8">
        <v>50</v>
      </c>
      <c r="B8" s="3">
        <v>4.074755172413794</v>
      </c>
      <c r="C8" s="3">
        <v>5.0430388235294128</v>
      </c>
      <c r="D8">
        <f t="shared" si="2"/>
        <v>0.96828365111561876</v>
      </c>
      <c r="E8">
        <f t="shared" si="3"/>
        <v>0.68859797160243241</v>
      </c>
      <c r="F8">
        <v>65</v>
      </c>
      <c r="G8">
        <v>6875.5</v>
      </c>
      <c r="H8">
        <f t="shared" si="4"/>
        <v>44.758868154158108</v>
      </c>
      <c r="I8">
        <f t="shared" si="0"/>
        <v>76.602783468560361</v>
      </c>
      <c r="J8">
        <f t="shared" si="1"/>
        <v>11.14141276540766</v>
      </c>
      <c r="K8">
        <f t="shared" si="5"/>
        <v>-7.6284482758620879E-3</v>
      </c>
      <c r="L8">
        <f t="shared" si="6"/>
        <v>-6.8865294117647344E-2</v>
      </c>
      <c r="M8">
        <f t="shared" si="7"/>
        <v>-3.8246871196754718E-2</v>
      </c>
      <c r="N8">
        <f t="shared" si="8"/>
        <v>5.7993068275488221E-5</v>
      </c>
      <c r="O8" s="3">
        <f t="shared" si="9"/>
        <v>0.57993068275488224</v>
      </c>
    </row>
    <row r="9" spans="1:15" x14ac:dyDescent="0.25">
      <c r="A9">
        <v>60</v>
      </c>
      <c r="B9" s="3">
        <v>4.0166724137931036</v>
      </c>
      <c r="C9" s="3">
        <v>4.4255847058823496</v>
      </c>
      <c r="D9">
        <f t="shared" si="2"/>
        <v>0.40891229208924607</v>
      </c>
      <c r="E9">
        <f t="shared" si="3"/>
        <v>0.31173273833671189</v>
      </c>
      <c r="F9">
        <v>65</v>
      </c>
      <c r="G9">
        <v>6622.75</v>
      </c>
      <c r="H9">
        <f t="shared" si="4"/>
        <v>20.262627991886273</v>
      </c>
      <c r="I9">
        <f>I10+H9</f>
        <v>31.843915314402249</v>
      </c>
      <c r="J9">
        <f>(I9/G9)*1000</f>
        <v>4.8082617212490657</v>
      </c>
      <c r="K9">
        <f t="shared" si="5"/>
        <v>-4.9272413793103988E-3</v>
      </c>
      <c r="L9">
        <f t="shared" si="6"/>
        <v>-4.2613764705882448E-2</v>
      </c>
      <c r="M9">
        <f t="shared" si="7"/>
        <v>-2.3770503042596425E-2</v>
      </c>
      <c r="N9">
        <f t="shared" si="8"/>
        <v>4.0269984488121982E-5</v>
      </c>
      <c r="O9" s="3">
        <f>N9*10000</f>
        <v>0.40269984488121985</v>
      </c>
    </row>
    <row r="10" spans="1:15" x14ac:dyDescent="0.25">
      <c r="A10">
        <v>70</v>
      </c>
      <c r="B10" s="3">
        <v>3.9762103448275861</v>
      </c>
      <c r="C10" s="3">
        <v>4.1907635294117638</v>
      </c>
      <c r="D10">
        <f t="shared" si="2"/>
        <v>0.21455318458417771</v>
      </c>
      <c r="E10">
        <f t="shared" si="3"/>
        <v>0.12738166328600276</v>
      </c>
      <c r="F10">
        <v>65</v>
      </c>
      <c r="G10">
        <v>6370</v>
      </c>
      <c r="H10">
        <f>E10*F10</f>
        <v>8.2798081135901782</v>
      </c>
      <c r="I10">
        <f t="shared" si="0"/>
        <v>11.581287322515976</v>
      </c>
      <c r="J10">
        <f t="shared" si="1"/>
        <v>1.8180984807717389</v>
      </c>
      <c r="K10">
        <f t="shared" si="5"/>
        <v>-3.7570689655172405E-3</v>
      </c>
      <c r="L10">
        <f t="shared" si="6"/>
        <v>-2.2192176470588153E-2</v>
      </c>
      <c r="M10">
        <f t="shared" si="7"/>
        <v>-1.2974622718052697E-2</v>
      </c>
      <c r="N10">
        <f t="shared" si="8"/>
        <v>2.7896800827001099E-5</v>
      </c>
      <c r="O10" s="3">
        <f t="shared" si="9"/>
        <v>0.278968008270011</v>
      </c>
    </row>
    <row r="11" spans="1:15" x14ac:dyDescent="0.25">
      <c r="A11">
        <v>80</v>
      </c>
      <c r="B11" s="3">
        <v>3.9415310344827588</v>
      </c>
      <c r="C11" s="3">
        <v>3.9817411764705866</v>
      </c>
      <c r="D11">
        <f t="shared" si="2"/>
        <v>4.0210141987827797E-2</v>
      </c>
      <c r="E11">
        <f>(D11+D12)/2</f>
        <v>2.1686004056793884E-2</v>
      </c>
      <c r="F11">
        <v>65</v>
      </c>
      <c r="G11">
        <v>6223</v>
      </c>
      <c r="H11">
        <f t="shared" si="4"/>
        <v>1.4095902636916025</v>
      </c>
      <c r="I11">
        <f t="shared" si="0"/>
        <v>3.301479208925798</v>
      </c>
      <c r="J11">
        <f t="shared" si="1"/>
        <v>0.53052855679347555</v>
      </c>
      <c r="K11">
        <f t="shared" si="5"/>
        <v>-3.4365517241379262E-3</v>
      </c>
      <c r="L11">
        <f t="shared" si="6"/>
        <v>-1.4006117647058813E-2</v>
      </c>
      <c r="M11">
        <f t="shared" si="7"/>
        <v>-8.7213346855983705E-3</v>
      </c>
      <c r="N11">
        <f t="shared" si="8"/>
        <v>1.2110373804906958E-5</v>
      </c>
      <c r="O11" s="3">
        <f t="shared" si="9"/>
        <v>0.12110373804906957</v>
      </c>
    </row>
    <row r="12" spans="1:15" x14ac:dyDescent="0.25">
      <c r="A12">
        <v>90</v>
      </c>
      <c r="B12" s="3">
        <v>3.9074793103448275</v>
      </c>
      <c r="C12" s="3">
        <v>3.9106411764705875</v>
      </c>
      <c r="D12">
        <f t="shared" si="2"/>
        <v>3.1618661257599712E-3</v>
      </c>
      <c r="E12">
        <f t="shared" si="3"/>
        <v>-3.2161460446260559E-3</v>
      </c>
      <c r="F12">
        <v>65</v>
      </c>
      <c r="G12">
        <v>6076</v>
      </c>
      <c r="H12">
        <f t="shared" si="4"/>
        <v>-0.20904949290069363</v>
      </c>
      <c r="I12">
        <f t="shared" si="0"/>
        <v>1.8918889452341958</v>
      </c>
      <c r="J12">
        <f t="shared" si="1"/>
        <v>0.31137079414651014</v>
      </c>
      <c r="K12">
        <f t="shared" si="5"/>
        <v>-3.0691379310344934E-3</v>
      </c>
      <c r="L12">
        <f t="shared" si="6"/>
        <v>-5.5593529411764875E-3</v>
      </c>
      <c r="M12">
        <f t="shared" si="7"/>
        <v>-4.3142454361054907E-3</v>
      </c>
      <c r="N12">
        <f t="shared" si="8"/>
        <v>1.436827931316185E-5</v>
      </c>
      <c r="O12" s="3">
        <f t="shared" si="9"/>
        <v>0.1436827931316185</v>
      </c>
    </row>
    <row r="13" spans="1:15" x14ac:dyDescent="0.25">
      <c r="A13">
        <v>100</v>
      </c>
      <c r="B13" s="3">
        <v>3.8801482758620689</v>
      </c>
      <c r="C13" s="3">
        <v>3.8705541176470568</v>
      </c>
      <c r="D13">
        <f t="shared" si="2"/>
        <v>-9.594158215012083E-3</v>
      </c>
      <c r="E13">
        <f t="shared" si="3"/>
        <v>-2.2915618661263348E-3</v>
      </c>
      <c r="F13">
        <v>315</v>
      </c>
      <c r="G13">
        <v>5919</v>
      </c>
      <c r="H13">
        <f t="shared" si="4"/>
        <v>-0.72184198782979547</v>
      </c>
      <c r="I13">
        <f t="shared" si="0"/>
        <v>2.1009384381348895</v>
      </c>
      <c r="J13">
        <f t="shared" si="1"/>
        <v>0.35494820715237191</v>
      </c>
      <c r="K13">
        <f t="shared" si="5"/>
        <v>-2.4268390804597752E-3</v>
      </c>
      <c r="L13">
        <f t="shared" si="6"/>
        <v>-2.3960196078431175E-3</v>
      </c>
      <c r="M13">
        <f t="shared" si="7"/>
        <v>-2.4114293441514466E-3</v>
      </c>
      <c r="N13">
        <f t="shared" si="8"/>
        <v>2.9303681230473498E-5</v>
      </c>
      <c r="O13" s="3">
        <f t="shared" si="9"/>
        <v>0.29303681230473499</v>
      </c>
    </row>
    <row r="14" spans="1:15" x14ac:dyDescent="0.25">
      <c r="A14">
        <v>150</v>
      </c>
      <c r="B14" s="3">
        <v>3.761868965517241</v>
      </c>
      <c r="C14" s="3">
        <v>3.7668800000000005</v>
      </c>
      <c r="D14">
        <f t="shared" si="2"/>
        <v>5.0110344827594133E-3</v>
      </c>
      <c r="E14">
        <f t="shared" si="3"/>
        <v>4.0613184584190609E-3</v>
      </c>
      <c r="F14">
        <v>311</v>
      </c>
      <c r="G14">
        <v>5762</v>
      </c>
      <c r="H14">
        <f t="shared" si="4"/>
        <v>1.2630700405683279</v>
      </c>
      <c r="I14">
        <f t="shared" si="0"/>
        <v>2.8227804259646847</v>
      </c>
      <c r="J14">
        <f t="shared" si="1"/>
        <v>0.48989594341629372</v>
      </c>
      <c r="K14">
        <f t="shared" si="5"/>
        <v>-2.0605517241379357E-3</v>
      </c>
      <c r="L14">
        <f t="shared" si="6"/>
        <v>-1.9334941176470278E-3</v>
      </c>
      <c r="M14">
        <f t="shared" si="7"/>
        <v>-1.9970229208924818E-3</v>
      </c>
      <c r="N14">
        <f t="shared" si="8"/>
        <v>4.8837399406131209E-5</v>
      </c>
      <c r="O14" s="3">
        <f t="shared" si="9"/>
        <v>0.4883739940613121</v>
      </c>
    </row>
    <row r="15" spans="1:15" x14ac:dyDescent="0.25">
      <c r="A15">
        <v>200</v>
      </c>
      <c r="B15" s="3">
        <v>3.6740931034482753</v>
      </c>
      <c r="C15" s="3">
        <v>3.677204705882354</v>
      </c>
      <c r="D15">
        <f t="shared" si="2"/>
        <v>3.1116024340787085E-3</v>
      </c>
      <c r="E15">
        <f t="shared" si="3"/>
        <v>-1.4124746450292491E-3</v>
      </c>
      <c r="F15">
        <v>305</v>
      </c>
      <c r="G15">
        <v>5461</v>
      </c>
      <c r="H15">
        <f t="shared" si="4"/>
        <v>-0.43080476673392099</v>
      </c>
      <c r="I15">
        <f t="shared" si="0"/>
        <v>1.559710385396357</v>
      </c>
      <c r="J15">
        <f t="shared" si="1"/>
        <v>0.28560893341812066</v>
      </c>
      <c r="K15">
        <f t="shared" si="5"/>
        <v>-1.4837241379310306E-3</v>
      </c>
      <c r="L15">
        <f t="shared" si="6"/>
        <v>-1.5931999999999969E-3</v>
      </c>
      <c r="M15">
        <f t="shared" si="7"/>
        <v>-1.5384620689655138E-3</v>
      </c>
      <c r="N15">
        <f t="shared" si="8"/>
        <v>3.6958703695918275E-5</v>
      </c>
      <c r="O15" s="3">
        <f t="shared" si="9"/>
        <v>0.36958703695918277</v>
      </c>
    </row>
    <row r="16" spans="1:15" x14ac:dyDescent="0.25">
      <c r="A16">
        <v>250</v>
      </c>
      <c r="B16" s="3">
        <v>3.613496551724138</v>
      </c>
      <c r="C16" s="3">
        <v>3.6075600000000008</v>
      </c>
      <c r="D16">
        <f t="shared" si="2"/>
        <v>-5.9365517241372068E-3</v>
      </c>
      <c r="E16">
        <f t="shared" si="3"/>
        <v>-5.096916835699572E-3</v>
      </c>
      <c r="F16">
        <v>298</v>
      </c>
      <c r="G16">
        <v>5186</v>
      </c>
      <c r="H16">
        <f t="shared" si="4"/>
        <v>-1.5188812170384725</v>
      </c>
      <c r="I16">
        <f t="shared" si="0"/>
        <v>1.990515152130278</v>
      </c>
      <c r="J16">
        <f t="shared" si="1"/>
        <v>0.38382474973588082</v>
      </c>
      <c r="K16">
        <f t="shared" si="5"/>
        <v>-1.1402758620689647E-3</v>
      </c>
      <c r="L16">
        <f t="shared" si="6"/>
        <v>-1.2139647058823711E-3</v>
      </c>
      <c r="M16">
        <f t="shared" si="7"/>
        <v>-1.1771202839756679E-3</v>
      </c>
      <c r="N16">
        <f t="shared" si="8"/>
        <v>6.491482159581266E-5</v>
      </c>
      <c r="O16" s="3">
        <f t="shared" si="9"/>
        <v>0.64914821595812655</v>
      </c>
    </row>
    <row r="17" spans="1:15" x14ac:dyDescent="0.25">
      <c r="A17">
        <v>300</v>
      </c>
      <c r="B17" s="3">
        <v>3.5600655172413789</v>
      </c>
      <c r="C17" s="3">
        <v>3.5558082352941169</v>
      </c>
      <c r="D17">
        <f t="shared" si="2"/>
        <v>-4.2572819472619372E-3</v>
      </c>
      <c r="E17">
        <f t="shared" si="3"/>
        <v>-2.3991886409737706E-3</v>
      </c>
      <c r="F17">
        <v>289</v>
      </c>
      <c r="G17">
        <v>4893</v>
      </c>
      <c r="H17">
        <f t="shared" si="4"/>
        <v>-0.6933655172414197</v>
      </c>
      <c r="I17">
        <f t="shared" si="0"/>
        <v>3.5093963691687504</v>
      </c>
      <c r="J17">
        <f t="shared" si="1"/>
        <v>0.71722795200669331</v>
      </c>
      <c r="K17">
        <f t="shared" si="5"/>
        <v>-9.7093103448275819E-4</v>
      </c>
      <c r="L17">
        <f t="shared" si="6"/>
        <v>-9.1697647058824221E-4</v>
      </c>
      <c r="M17">
        <f t="shared" si="7"/>
        <v>-9.4395375253550026E-4</v>
      </c>
      <c r="N17">
        <f t="shared" si="8"/>
        <v>1.5126492114254212E-4</v>
      </c>
      <c r="O17" s="3">
        <f t="shared" si="9"/>
        <v>1.5126492114254213</v>
      </c>
    </row>
    <row r="18" spans="1:15" x14ac:dyDescent="0.25">
      <c r="A18">
        <v>350</v>
      </c>
      <c r="B18" s="3">
        <v>3.5164034482758622</v>
      </c>
      <c r="C18" s="3">
        <v>3.5158623529411765</v>
      </c>
      <c r="D18">
        <f t="shared" si="2"/>
        <v>-5.41095334685604E-4</v>
      </c>
      <c r="E18">
        <f t="shared" si="3"/>
        <v>8.0427991886455885E-4</v>
      </c>
      <c r="F18">
        <v>284</v>
      </c>
      <c r="G18">
        <v>4615</v>
      </c>
      <c r="H18">
        <f t="shared" si="4"/>
        <v>0.22841549695753471</v>
      </c>
      <c r="I18">
        <f t="shared" si="0"/>
        <v>4.2027618864101699</v>
      </c>
      <c r="J18">
        <f t="shared" si="1"/>
        <v>0.91067429824705737</v>
      </c>
      <c r="K18">
        <f t="shared" si="5"/>
        <v>-7.8955172413793125E-4</v>
      </c>
      <c r="L18">
        <f t="shared" si="6"/>
        <v>-7.2548235294116474E-4</v>
      </c>
      <c r="M18">
        <f t="shared" si="7"/>
        <v>-7.5751703853954794E-4</v>
      </c>
      <c r="N18">
        <f t="shared" si="8"/>
        <v>2.3933290373390025E-4</v>
      </c>
      <c r="O18" s="3">
        <f t="shared" si="9"/>
        <v>2.3933290373390026</v>
      </c>
    </row>
    <row r="19" spans="1:15" x14ac:dyDescent="0.25">
      <c r="A19">
        <v>400</v>
      </c>
      <c r="B19" s="3">
        <v>3.4811103448275857</v>
      </c>
      <c r="C19" s="3">
        <v>3.4832600000000005</v>
      </c>
      <c r="D19">
        <f t="shared" si="2"/>
        <v>2.1496551724147217E-3</v>
      </c>
      <c r="E19">
        <f t="shared" si="3"/>
        <v>2.4809736308322172E-3</v>
      </c>
      <c r="F19">
        <v>279</v>
      </c>
      <c r="G19">
        <v>4306</v>
      </c>
      <c r="H19">
        <f t="shared" si="4"/>
        <v>0.69219164300218861</v>
      </c>
      <c r="I19">
        <f t="shared" si="0"/>
        <v>3.9743463894526352</v>
      </c>
      <c r="J19">
        <f t="shared" si="1"/>
        <v>0.92297872490771837</v>
      </c>
      <c r="K19">
        <f t="shared" si="5"/>
        <v>-6.0631034482758303E-4</v>
      </c>
      <c r="L19">
        <f t="shared" si="6"/>
        <v>-5.7277647058822994E-4</v>
      </c>
      <c r="M19">
        <f t="shared" si="7"/>
        <v>-5.8954340770790649E-4</v>
      </c>
      <c r="N19">
        <f t="shared" si="8"/>
        <v>3.1167906971048341E-4</v>
      </c>
      <c r="O19" s="3">
        <f t="shared" si="9"/>
        <v>3.1167906971048343</v>
      </c>
    </row>
    <row r="20" spans="1:15" x14ac:dyDescent="0.25">
      <c r="A20">
        <v>450</v>
      </c>
      <c r="B20" s="3">
        <v>3.4557724137931038</v>
      </c>
      <c r="C20" s="3">
        <v>3.4585847058823536</v>
      </c>
      <c r="D20">
        <f t="shared" si="2"/>
        <v>2.8122920892497127E-3</v>
      </c>
      <c r="E20">
        <f t="shared" si="3"/>
        <v>2.7094320486822365E-3</v>
      </c>
      <c r="F20">
        <v>271</v>
      </c>
      <c r="G20">
        <v>3966</v>
      </c>
      <c r="H20">
        <f t="shared" si="4"/>
        <v>0.7342560851928861</v>
      </c>
      <c r="I20">
        <f t="shared" si="0"/>
        <v>3.2821547464504466</v>
      </c>
      <c r="J20">
        <f t="shared" si="1"/>
        <v>0.82757305760223054</v>
      </c>
      <c r="K20">
        <f t="shared" si="5"/>
        <v>-4.5931034482758813E-4</v>
      </c>
      <c r="L20">
        <f t="shared" si="6"/>
        <v>-4.5474117647058775E-4</v>
      </c>
      <c r="M20">
        <f t="shared" si="7"/>
        <v>-4.5702576064908794E-4</v>
      </c>
      <c r="N20">
        <f t="shared" si="8"/>
        <v>3.6049346739099297E-4</v>
      </c>
      <c r="O20" s="3">
        <f t="shared" si="9"/>
        <v>3.6049346739099297</v>
      </c>
    </row>
    <row r="21" spans="1:15" x14ac:dyDescent="0.25">
      <c r="A21">
        <v>500</v>
      </c>
      <c r="B21" s="3">
        <v>3.4351793103448269</v>
      </c>
      <c r="C21" s="3">
        <v>3.4377858823529417</v>
      </c>
      <c r="D21">
        <f t="shared" si="2"/>
        <v>2.6065720081147603E-3</v>
      </c>
      <c r="E21">
        <f t="shared" si="3"/>
        <v>2.5496754563898438E-3</v>
      </c>
      <c r="F21">
        <v>262</v>
      </c>
      <c r="G21">
        <v>3571</v>
      </c>
      <c r="H21">
        <f t="shared" si="4"/>
        <v>0.66801496957413908</v>
      </c>
      <c r="I21">
        <f t="shared" si="0"/>
        <v>2.5478986612575607</v>
      </c>
      <c r="J21">
        <f t="shared" si="1"/>
        <v>0.71349724482149557</v>
      </c>
      <c r="K21">
        <f t="shared" si="5"/>
        <v>-3.6779310344827734E-4</v>
      </c>
      <c r="L21">
        <f t="shared" si="6"/>
        <v>-3.7098823529412516E-4</v>
      </c>
      <c r="M21">
        <f t="shared" si="7"/>
        <v>-3.6939066937120125E-4</v>
      </c>
      <c r="N21">
        <f t="shared" si="8"/>
        <v>3.8453698350482212E-4</v>
      </c>
      <c r="O21" s="3">
        <f t="shared" si="9"/>
        <v>3.8453698350482211</v>
      </c>
    </row>
    <row r="22" spans="1:15" x14ac:dyDescent="0.25">
      <c r="A22">
        <v>550</v>
      </c>
      <c r="B22" s="3">
        <v>3.4189931034482761</v>
      </c>
      <c r="C22" s="3">
        <v>3.421485882352941</v>
      </c>
      <c r="D22">
        <f t="shared" si="2"/>
        <v>2.4927789046649274E-3</v>
      </c>
      <c r="E22">
        <f t="shared" si="3"/>
        <v>2.4205679513178424E-3</v>
      </c>
      <c r="F22">
        <v>251</v>
      </c>
      <c r="G22">
        <v>3239</v>
      </c>
      <c r="H22">
        <f t="shared" si="4"/>
        <v>0.60756255578077845</v>
      </c>
      <c r="I22">
        <f t="shared" si="0"/>
        <v>1.8798836916834218</v>
      </c>
      <c r="J22">
        <f t="shared" si="1"/>
        <v>0.58039014871362216</v>
      </c>
      <c r="K22">
        <f t="shared" si="5"/>
        <v>-2.802413793103309E-4</v>
      </c>
      <c r="L22">
        <f t="shared" si="6"/>
        <v>-2.828235294117709E-4</v>
      </c>
      <c r="M22">
        <f t="shared" si="7"/>
        <v>-2.8153245436105087E-4</v>
      </c>
      <c r="N22">
        <f t="shared" si="8"/>
        <v>4.1041507240063195E-4</v>
      </c>
      <c r="O22" s="3">
        <f t="shared" si="9"/>
        <v>4.1041507240063195</v>
      </c>
    </row>
    <row r="23" spans="1:15" x14ac:dyDescent="0.25">
      <c r="A23">
        <v>600</v>
      </c>
      <c r="B23" s="3">
        <v>3.4071551724137938</v>
      </c>
      <c r="C23" s="3">
        <v>3.4095035294117646</v>
      </c>
      <c r="D23">
        <f t="shared" si="2"/>
        <v>2.3483569979707575E-3</v>
      </c>
      <c r="E23">
        <f t="shared" si="3"/>
        <v>2.7262880324538941E-3</v>
      </c>
      <c r="F23">
        <v>240</v>
      </c>
      <c r="G23">
        <v>2767</v>
      </c>
      <c r="H23">
        <f t="shared" si="4"/>
        <v>0.65430912778893457</v>
      </c>
      <c r="I23">
        <f>I24+H23</f>
        <v>1.2723211359026434</v>
      </c>
      <c r="J23">
        <f t="shared" si="1"/>
        <v>0.45981970939741357</v>
      </c>
      <c r="K23">
        <f t="shared" si="5"/>
        <v>-2.0313793103448051E-4</v>
      </c>
      <c r="L23">
        <f t="shared" si="6"/>
        <v>-1.9702352941175949E-4</v>
      </c>
      <c r="M23">
        <f t="shared" si="7"/>
        <v>-2.0008073022312E-4</v>
      </c>
      <c r="N23">
        <f t="shared" si="8"/>
        <v>4.5752418366652221E-4</v>
      </c>
      <c r="O23" s="3">
        <f t="shared" si="9"/>
        <v>4.5752418366652217</v>
      </c>
    </row>
    <row r="24" spans="1:15" x14ac:dyDescent="0.25">
      <c r="A24">
        <v>650</v>
      </c>
      <c r="B24" s="3">
        <v>3.3986793103448281</v>
      </c>
      <c r="C24" s="3">
        <v>3.4017835294117651</v>
      </c>
      <c r="D24">
        <f t="shared" si="2"/>
        <v>3.1042190669370306E-3</v>
      </c>
      <c r="E24">
        <f t="shared" si="3"/>
        <v>2.6987423935096455E-3</v>
      </c>
      <c r="F24">
        <v>229</v>
      </c>
      <c r="G24">
        <v>2129</v>
      </c>
      <c r="H24">
        <f t="shared" si="4"/>
        <v>0.61801200811370882</v>
      </c>
      <c r="I24">
        <f>H24</f>
        <v>0.61801200811370882</v>
      </c>
      <c r="J24">
        <f>(I24/G24)*1000</f>
        <v>0.29028276567107036</v>
      </c>
      <c r="K24">
        <f t="shared" si="5"/>
        <v>-1.3641379310346034E-4</v>
      </c>
      <c r="L24">
        <f t="shared" si="6"/>
        <v>-1.3696470588234533E-4</v>
      </c>
      <c r="M24">
        <f t="shared" si="7"/>
        <v>-1.3668924949290285E-4</v>
      </c>
      <c r="N24">
        <f t="shared" si="8"/>
        <v>4.227840835037136E-4</v>
      </c>
      <c r="O24" s="3">
        <f t="shared" si="9"/>
        <v>4.2278408350371359</v>
      </c>
    </row>
    <row r="25" spans="1:15" x14ac:dyDescent="0.25">
      <c r="A25">
        <v>700</v>
      </c>
      <c r="B25" s="3">
        <v>3.3935137931034478</v>
      </c>
      <c r="C25" s="3">
        <v>3.3958070588235301</v>
      </c>
      <c r="D25">
        <f t="shared" si="2"/>
        <v>2.2932657200822604E-3</v>
      </c>
      <c r="E25">
        <f t="shared" si="3"/>
        <v>2.2520081135912751E-3</v>
      </c>
      <c r="F25" s="3">
        <v>216</v>
      </c>
      <c r="G25">
        <v>2130</v>
      </c>
      <c r="H25">
        <f t="shared" si="4"/>
        <v>0.48643375253571541</v>
      </c>
      <c r="I25">
        <f t="shared" ref="I25:I38" si="10">H25</f>
        <v>0.48643375253571541</v>
      </c>
      <c r="J25">
        <f t="shared" ref="J25:J38" si="11">(I25/G25)*1000</f>
        <v>0.22837265377263635</v>
      </c>
      <c r="K25">
        <f t="shared" si="5"/>
        <v>-1.0572413793104029E-4</v>
      </c>
      <c r="L25">
        <f t="shared" si="6"/>
        <v>-1.1465882352940771E-4</v>
      </c>
      <c r="M25">
        <f t="shared" si="7"/>
        <v>-1.1019148073022401E-4</v>
      </c>
      <c r="N25">
        <f t="shared" si="8"/>
        <v>4.1259866214632168E-4</v>
      </c>
      <c r="O25" s="3">
        <f t="shared" si="9"/>
        <v>4.125986621463217</v>
      </c>
    </row>
    <row r="26" spans="1:15" x14ac:dyDescent="0.25">
      <c r="A26">
        <v>750</v>
      </c>
      <c r="B26" s="3">
        <v>3.388106896551724</v>
      </c>
      <c r="C26" s="3">
        <v>3.3903176470588243</v>
      </c>
      <c r="D26">
        <f t="shared" si="2"/>
        <v>2.2107505071002898E-3</v>
      </c>
      <c r="E26">
        <f t="shared" si="3"/>
        <v>2.0870385395541646E-3</v>
      </c>
      <c r="F26" s="3">
        <v>205</v>
      </c>
      <c r="G26">
        <v>2131</v>
      </c>
      <c r="H26">
        <f t="shared" si="4"/>
        <v>0.42784290060860375</v>
      </c>
      <c r="I26">
        <f t="shared" si="10"/>
        <v>0.42784290060860375</v>
      </c>
      <c r="J26">
        <f t="shared" si="11"/>
        <v>0.20077095289000646</v>
      </c>
      <c r="K26">
        <f t="shared" si="5"/>
        <v>-1.0672413793102464E-4</v>
      </c>
      <c r="L26">
        <f t="shared" si="6"/>
        <v>-1.1002352941176685E-4</v>
      </c>
      <c r="M26">
        <f t="shared" si="7"/>
        <v>-1.0837383367139574E-4</v>
      </c>
      <c r="N26">
        <f t="shared" si="8"/>
        <v>3.6881466345639586E-4</v>
      </c>
      <c r="O26" s="3">
        <f t="shared" si="9"/>
        <v>3.6881466345639584</v>
      </c>
    </row>
    <row r="27" spans="1:15" x14ac:dyDescent="0.25">
      <c r="A27">
        <v>800</v>
      </c>
      <c r="B27" s="3">
        <v>3.3828413793103453</v>
      </c>
      <c r="C27" s="3">
        <v>3.3848047058823534</v>
      </c>
      <c r="D27">
        <f t="shared" si="2"/>
        <v>1.9633265720080395E-3</v>
      </c>
      <c r="E27">
        <f t="shared" si="3"/>
        <v>1.7534279918864915E-3</v>
      </c>
      <c r="F27" s="3">
        <v>192</v>
      </c>
      <c r="G27">
        <v>2132</v>
      </c>
      <c r="H27">
        <f t="shared" si="4"/>
        <v>0.33665817444220636</v>
      </c>
      <c r="I27">
        <f t="shared" si="10"/>
        <v>0.33665817444220636</v>
      </c>
      <c r="J27">
        <f t="shared" si="11"/>
        <v>0.15790721127683224</v>
      </c>
      <c r="K27">
        <f t="shared" si="5"/>
        <v>-1.1006896551724044E-4</v>
      </c>
      <c r="L27">
        <f t="shared" si="6"/>
        <v>-1.167411764705939E-4</v>
      </c>
      <c r="M27">
        <f t="shared" si="7"/>
        <v>-1.1340507099391717E-4</v>
      </c>
      <c r="N27">
        <f t="shared" si="8"/>
        <v>2.7720510557040901E-4</v>
      </c>
      <c r="O27" s="3">
        <f t="shared" si="9"/>
        <v>2.7720510557040901</v>
      </c>
    </row>
    <row r="28" spans="1:15" x14ac:dyDescent="0.25">
      <c r="A28">
        <v>850</v>
      </c>
      <c r="B28" s="3">
        <v>3.3771</v>
      </c>
      <c r="C28" s="3">
        <v>3.3786435294117649</v>
      </c>
      <c r="D28">
        <f t="shared" si="2"/>
        <v>1.5435294117649434E-3</v>
      </c>
      <c r="E28">
        <f t="shared" si="3"/>
        <v>8.1954869899769633E-4</v>
      </c>
      <c r="F28" s="3">
        <v>181</v>
      </c>
      <c r="G28">
        <v>2133</v>
      </c>
      <c r="H28">
        <f t="shared" si="4"/>
        <v>0.14833831451858304</v>
      </c>
      <c r="I28">
        <f t="shared" si="10"/>
        <v>0.14833831451858304</v>
      </c>
      <c r="J28">
        <f t="shared" si="11"/>
        <v>6.9544451251093778E-2</v>
      </c>
      <c r="K28">
        <f t="shared" si="5"/>
        <v>-1.0809236453201976E-4</v>
      </c>
      <c r="L28">
        <f t="shared" si="6"/>
        <v>-1.2676995038979566E-4</v>
      </c>
      <c r="M28">
        <f t="shared" si="7"/>
        <v>-1.1743115746090771E-4</v>
      </c>
      <c r="N28">
        <f t="shared" si="8"/>
        <v>1.1789920564447498E-4</v>
      </c>
      <c r="O28" s="3">
        <f t="shared" si="9"/>
        <v>1.1789920564447498</v>
      </c>
    </row>
    <row r="29" spans="1:15" x14ac:dyDescent="0.25">
      <c r="A29">
        <v>900</v>
      </c>
      <c r="B29" s="3">
        <v>3.3720321428571434</v>
      </c>
      <c r="C29" s="3">
        <v>3.3721277108433738</v>
      </c>
      <c r="D29">
        <f t="shared" si="2"/>
        <v>9.5567986230449264E-5</v>
      </c>
      <c r="E29">
        <f t="shared" si="3"/>
        <v>-4.5164724832735814E-5</v>
      </c>
      <c r="F29" s="3">
        <v>177</v>
      </c>
      <c r="G29">
        <v>2134</v>
      </c>
      <c r="H29">
        <f t="shared" si="4"/>
        <v>-7.9941562953942391E-3</v>
      </c>
      <c r="I29">
        <f t="shared" si="10"/>
        <v>-7.9941562953942391E-3</v>
      </c>
      <c r="J29">
        <f t="shared" si="11"/>
        <v>-3.7460901103065786E-3</v>
      </c>
      <c r="K29">
        <f t="shared" si="5"/>
        <v>-9.5961538461546427E-5</v>
      </c>
      <c r="L29">
        <f t="shared" si="6"/>
        <v>-1.1325580693815506E-4</v>
      </c>
      <c r="M29">
        <f t="shared" si="7"/>
        <v>-1.0460867269985075E-4</v>
      </c>
      <c r="N29">
        <f t="shared" si="8"/>
        <v>-7.1292240603158382E-6</v>
      </c>
      <c r="O29" s="3">
        <f t="shared" si="9"/>
        <v>-7.1292240603158377E-2</v>
      </c>
    </row>
    <row r="30" spans="1:15" x14ac:dyDescent="0.25">
      <c r="A30">
        <v>950</v>
      </c>
      <c r="B30" s="3">
        <v>3.3675038461538453</v>
      </c>
      <c r="C30" s="3">
        <v>3.3673179487179494</v>
      </c>
      <c r="D30">
        <f t="shared" si="2"/>
        <v>-1.8589743589592089E-4</v>
      </c>
      <c r="E30">
        <f t="shared" si="3"/>
        <v>5.9795052365685386E-4</v>
      </c>
      <c r="F30" s="3">
        <v>172</v>
      </c>
      <c r="G30">
        <v>2135</v>
      </c>
      <c r="H30">
        <f t="shared" si="4"/>
        <v>0.10284749006897886</v>
      </c>
      <c r="I30">
        <f t="shared" si="10"/>
        <v>0.10284749006897886</v>
      </c>
      <c r="J30">
        <f t="shared" si="11"/>
        <v>4.8172126496008834E-2</v>
      </c>
      <c r="K30">
        <f t="shared" si="5"/>
        <v>-8.7167582417602143E-5</v>
      </c>
      <c r="L30">
        <f t="shared" si="6"/>
        <v>-7.4305277447810346E-5</v>
      </c>
      <c r="M30">
        <f t="shared" si="7"/>
        <v>-8.0736429932706252E-5</v>
      </c>
      <c r="N30">
        <f t="shared" si="8"/>
        <v>1.1878401822502955E-4</v>
      </c>
      <c r="O30" s="3">
        <f t="shared" si="9"/>
        <v>1.1878401822502955</v>
      </c>
    </row>
    <row r="31" spans="1:15" x14ac:dyDescent="0.25">
      <c r="A31">
        <v>1000</v>
      </c>
      <c r="B31" s="3">
        <v>3.3633153846153832</v>
      </c>
      <c r="C31" s="3">
        <v>3.3646971830985928</v>
      </c>
      <c r="D31">
        <f t="shared" si="2"/>
        <v>1.3817984832096286E-3</v>
      </c>
      <c r="E31">
        <f t="shared" si="3"/>
        <v>1.3889761646812548E-3</v>
      </c>
      <c r="F31" s="3">
        <v>167</v>
      </c>
      <c r="G31">
        <v>2136</v>
      </c>
      <c r="H31">
        <f t="shared" si="4"/>
        <v>0.23195901950176956</v>
      </c>
      <c r="I31">
        <f t="shared" si="10"/>
        <v>0.23195901950176956</v>
      </c>
      <c r="J31">
        <f t="shared" si="11"/>
        <v>0.10859504658322545</v>
      </c>
      <c r="K31">
        <f t="shared" si="5"/>
        <v>-7.8999999999989072E-5</v>
      </c>
      <c r="L31">
        <f t="shared" si="6"/>
        <v>-6.3179487179501059E-5</v>
      </c>
      <c r="M31">
        <f t="shared" si="7"/>
        <v>-7.1089743589745072E-5</v>
      </c>
      <c r="N31">
        <f t="shared" si="8"/>
        <v>3.0411287299440397E-4</v>
      </c>
      <c r="O31" s="3">
        <f t="shared" si="9"/>
        <v>3.0411287299440399</v>
      </c>
    </row>
    <row r="32" spans="1:15" x14ac:dyDescent="0.25">
      <c r="A32">
        <v>1050</v>
      </c>
      <c r="B32" s="3">
        <v>3.3596038461538464</v>
      </c>
      <c r="C32" s="3">
        <v>3.3609999999999993</v>
      </c>
      <c r="D32">
        <f t="shared" si="2"/>
        <v>1.3961538461528811E-3</v>
      </c>
      <c r="E32">
        <f t="shared" si="3"/>
        <v>1.7430252583228167E-3</v>
      </c>
      <c r="F32" s="3">
        <v>160</v>
      </c>
      <c r="G32">
        <v>2137</v>
      </c>
      <c r="H32">
        <f t="shared" si="4"/>
        <v>0.27888404133165068</v>
      </c>
      <c r="I32">
        <f t="shared" si="10"/>
        <v>0.27888404133165068</v>
      </c>
      <c r="J32">
        <f t="shared" si="11"/>
        <v>0.1305025930424196</v>
      </c>
      <c r="K32">
        <f t="shared" si="5"/>
        <v>-7.7769230769209047E-5</v>
      </c>
      <c r="L32">
        <f t="shared" si="6"/>
        <v>-7.0688248896377817E-5</v>
      </c>
      <c r="M32">
        <f t="shared" si="7"/>
        <v>-7.4228739832793439E-5</v>
      </c>
      <c r="N32">
        <f t="shared" si="8"/>
        <v>3.5000865949974628E-4</v>
      </c>
      <c r="O32" s="3">
        <f t="shared" si="9"/>
        <v>3.5000865949974629</v>
      </c>
    </row>
    <row r="33" spans="1:15" x14ac:dyDescent="0.25">
      <c r="A33">
        <v>1100</v>
      </c>
      <c r="B33" s="3">
        <v>3.3555384615384622</v>
      </c>
      <c r="C33" s="3">
        <v>3.357628358208955</v>
      </c>
      <c r="D33">
        <f t="shared" si="2"/>
        <v>2.0898966704927524E-3</v>
      </c>
      <c r="E33">
        <f t="shared" si="3"/>
        <v>2.158794489091953E-3</v>
      </c>
      <c r="F33" s="3">
        <v>151</v>
      </c>
      <c r="G33">
        <v>2138</v>
      </c>
      <c r="H33">
        <f t="shared" si="4"/>
        <v>0.32597796785288491</v>
      </c>
      <c r="I33">
        <f t="shared" si="10"/>
        <v>0.32597796785288491</v>
      </c>
      <c r="J33">
        <f t="shared" si="11"/>
        <v>0.15246864726514731</v>
      </c>
      <c r="K33">
        <f t="shared" si="5"/>
        <v>-7.0838461538458292E-5</v>
      </c>
      <c r="L33">
        <f t="shared" si="6"/>
        <v>-6.2523076923075573E-5</v>
      </c>
      <c r="M33">
        <f t="shared" si="7"/>
        <v>-6.6680769230766926E-5</v>
      </c>
      <c r="N33">
        <f t="shared" si="8"/>
        <v>4.552098824404994E-4</v>
      </c>
      <c r="O33" s="3">
        <f t="shared" si="9"/>
        <v>4.552098824404994</v>
      </c>
    </row>
    <row r="34" spans="1:15" x14ac:dyDescent="0.25">
      <c r="A34">
        <v>1150</v>
      </c>
      <c r="B34" s="3">
        <v>3.3525200000000006</v>
      </c>
      <c r="C34" s="3">
        <v>3.3547476923076918</v>
      </c>
      <c r="D34">
        <f t="shared" si="2"/>
        <v>2.2276923076911537E-3</v>
      </c>
      <c r="E34">
        <f t="shared" si="3"/>
        <v>1.414846843976747E-3</v>
      </c>
      <c r="F34" s="3">
        <v>145</v>
      </c>
      <c r="G34">
        <v>2139</v>
      </c>
      <c r="H34">
        <f t="shared" si="4"/>
        <v>0.20515279237662831</v>
      </c>
      <c r="I34">
        <f t="shared" si="10"/>
        <v>0.20515279237662831</v>
      </c>
      <c r="J34">
        <f t="shared" si="11"/>
        <v>9.5910608871728989E-2</v>
      </c>
      <c r="K34">
        <f t="shared" si="5"/>
        <v>-3.9341137123751754E-5</v>
      </c>
      <c r="L34">
        <f t="shared" si="6"/>
        <v>-5.4220090026055877E-5</v>
      </c>
      <c r="M34">
        <f t="shared" si="7"/>
        <v>-4.6780613574903812E-5</v>
      </c>
      <c r="N34">
        <f t="shared" si="8"/>
        <v>4.0816190688235945E-4</v>
      </c>
      <c r="O34" s="3">
        <f t="shared" si="9"/>
        <v>4.0816190688235947</v>
      </c>
    </row>
    <row r="35" spans="1:15" x14ac:dyDescent="0.25">
      <c r="A35">
        <v>1200</v>
      </c>
      <c r="B35" s="3">
        <v>3.3516043478260871</v>
      </c>
      <c r="C35" s="3">
        <v>3.3522063492063494</v>
      </c>
      <c r="D35">
        <f t="shared" si="2"/>
        <v>6.0200138026234029E-4</v>
      </c>
      <c r="E35">
        <f t="shared" si="3"/>
        <v>6.6169333082366499E-4</v>
      </c>
      <c r="F35" s="3">
        <v>137</v>
      </c>
      <c r="G35">
        <v>2140</v>
      </c>
      <c r="H35">
        <f t="shared" si="4"/>
        <v>9.0651986322842104E-2</v>
      </c>
      <c r="I35">
        <f t="shared" si="10"/>
        <v>9.0651986322842104E-2</v>
      </c>
      <c r="J35">
        <f t="shared" si="11"/>
        <v>4.2360741272356117E-2</v>
      </c>
      <c r="K35">
        <f t="shared" si="5"/>
        <v>-3.8104761904773633E-5</v>
      </c>
      <c r="L35">
        <f t="shared" si="6"/>
        <v>-5.3167832167835272E-5</v>
      </c>
      <c r="M35">
        <f t="shared" si="7"/>
        <v>-4.5636297036304456E-5</v>
      </c>
      <c r="N35">
        <f t="shared" si="8"/>
        <v>1.8479273318561013E-4</v>
      </c>
      <c r="O35" s="3">
        <f t="shared" si="9"/>
        <v>1.8479273318561014</v>
      </c>
    </row>
    <row r="36" spans="1:15" x14ac:dyDescent="0.25">
      <c r="A36">
        <v>1250</v>
      </c>
      <c r="B36" s="3">
        <v>3.3487095238095232</v>
      </c>
      <c r="C36" s="3">
        <v>3.3494309090909082</v>
      </c>
      <c r="D36">
        <f t="shared" si="2"/>
        <v>7.213852813849897E-4</v>
      </c>
      <c r="E36">
        <f t="shared" si="3"/>
        <v>7.7110080395748071E-4</v>
      </c>
      <c r="F36" s="3">
        <v>124</v>
      </c>
      <c r="G36">
        <v>2141</v>
      </c>
      <c r="H36">
        <f t="shared" si="4"/>
        <v>9.5616499690727608E-2</v>
      </c>
      <c r="I36">
        <f t="shared" si="10"/>
        <v>9.5616499690727608E-2</v>
      </c>
      <c r="J36">
        <f t="shared" si="11"/>
        <v>4.4659738295529008E-2</v>
      </c>
      <c r="K36">
        <f t="shared" si="5"/>
        <v>-6.3843478260872113E-5</v>
      </c>
      <c r="L36">
        <f t="shared" si="6"/>
        <v>-6.1655328798195801E-5</v>
      </c>
      <c r="M36">
        <f t="shared" si="7"/>
        <v>-6.2749403529533957E-5</v>
      </c>
      <c r="N36">
        <f t="shared" si="8"/>
        <v>1.4168970880952138E-4</v>
      </c>
      <c r="O36" s="3">
        <f t="shared" si="9"/>
        <v>1.4168970880952139</v>
      </c>
    </row>
    <row r="37" spans="1:15" x14ac:dyDescent="0.25">
      <c r="A37">
        <v>1300</v>
      </c>
      <c r="B37" s="3">
        <v>3.3452199999999999</v>
      </c>
      <c r="C37" s="3">
        <v>3.3460408163265298</v>
      </c>
      <c r="D37">
        <f t="shared" si="2"/>
        <v>8.2081632652997172E-4</v>
      </c>
      <c r="E37">
        <f t="shared" si="3"/>
        <v>2.2554081632646383E-3</v>
      </c>
      <c r="F37" s="3">
        <v>101</v>
      </c>
      <c r="G37">
        <v>2142</v>
      </c>
      <c r="H37">
        <f t="shared" si="4"/>
        <v>0.22779622448972847</v>
      </c>
      <c r="I37">
        <f t="shared" si="10"/>
        <v>0.22779622448972847</v>
      </c>
      <c r="J37">
        <f t="shared" si="11"/>
        <v>0.10634744373936904</v>
      </c>
      <c r="K37">
        <f t="shared" si="5"/>
        <v>-1.5059523809523244E-4</v>
      </c>
      <c r="L37">
        <f t="shared" si="6"/>
        <v>-1.209090909090893E-4</v>
      </c>
      <c r="M37">
        <f t="shared" si="7"/>
        <v>-1.3575216450216086E-4</v>
      </c>
      <c r="N37">
        <f t="shared" si="8"/>
        <v>1.5595956969669913E-4</v>
      </c>
      <c r="O37" s="3">
        <f t="shared" si="9"/>
        <v>1.5595956969669913</v>
      </c>
    </row>
    <row r="38" spans="1:15" x14ac:dyDescent="0.25">
      <c r="A38">
        <v>1350</v>
      </c>
      <c r="B38" s="3">
        <v>3.33365</v>
      </c>
      <c r="C38" s="3">
        <v>3.3373399999999993</v>
      </c>
      <c r="D38">
        <f t="shared" si="2"/>
        <v>3.6899999999993049E-3</v>
      </c>
      <c r="E38">
        <f t="shared" si="3"/>
        <v>1.8449999999996525E-3</v>
      </c>
      <c r="F38" s="3">
        <v>67</v>
      </c>
      <c r="G38">
        <v>2143</v>
      </c>
      <c r="H38">
        <f t="shared" si="4"/>
        <v>0.12361499999997672</v>
      </c>
      <c r="I38">
        <f t="shared" si="10"/>
        <v>0.12361499999997672</v>
      </c>
      <c r="J38">
        <f t="shared" si="11"/>
        <v>5.7683154456358708E-2</v>
      </c>
      <c r="K38">
        <f t="shared" si="5"/>
        <v>-3.169272727272743E-4</v>
      </c>
      <c r="L38">
        <f t="shared" si="6"/>
        <v>-2.2730816326529179E-4</v>
      </c>
      <c r="M38">
        <f t="shared" si="7"/>
        <v>-2.7211771799628303E-4</v>
      </c>
      <c r="N38">
        <f t="shared" si="8"/>
        <v>4.2201114237121496E-5</v>
      </c>
      <c r="O38" s="3">
        <f t="shared" si="9"/>
        <v>0.42201114237121495</v>
      </c>
    </row>
    <row r="39" spans="1:15" x14ac:dyDescent="0.25">
      <c r="A39">
        <v>1400</v>
      </c>
      <c r="B39" s="3">
        <v>3.3135272727272724</v>
      </c>
      <c r="C39" s="3">
        <v>3.3233100000000007</v>
      </c>
      <c r="F39" s="3">
        <v>25.9</v>
      </c>
      <c r="O39" s="3"/>
    </row>
    <row r="40" spans="1:15" x14ac:dyDescent="0.25">
      <c r="B40" s="3"/>
      <c r="C40" s="3"/>
      <c r="D40" s="8"/>
      <c r="E40" s="8"/>
      <c r="F40" s="3"/>
      <c r="G40" s="9"/>
      <c r="O40" s="3"/>
    </row>
    <row r="41" spans="1:15" x14ac:dyDescent="0.25">
      <c r="B41" s="3"/>
      <c r="C41" s="3"/>
      <c r="D41" s="8"/>
      <c r="E41" s="8"/>
      <c r="F41" s="3"/>
      <c r="G41" s="9"/>
      <c r="O41" s="3"/>
    </row>
    <row r="42" spans="1:15" x14ac:dyDescent="0.25">
      <c r="B42" s="3"/>
      <c r="C42" s="3"/>
      <c r="D42" s="8"/>
      <c r="E42" s="8"/>
      <c r="F42" s="3"/>
      <c r="G42" s="9"/>
      <c r="O42" s="3"/>
    </row>
    <row r="43" spans="1:15" x14ac:dyDescent="0.25">
      <c r="B43" s="3"/>
      <c r="C43" s="3"/>
      <c r="D43" s="8"/>
      <c r="E43" s="8"/>
      <c r="F43" s="3"/>
      <c r="G43" s="9"/>
      <c r="O43" s="3"/>
    </row>
    <row r="44" spans="1:15" x14ac:dyDescent="0.25">
      <c r="B44" s="3"/>
      <c r="C44" s="3"/>
      <c r="D44" s="8"/>
      <c r="E44" s="8"/>
      <c r="F44" s="3"/>
      <c r="G44" s="9"/>
      <c r="O44" s="3"/>
    </row>
    <row r="45" spans="1:15" x14ac:dyDescent="0.25">
      <c r="B45" s="3"/>
      <c r="C45" s="3"/>
      <c r="D45" s="8"/>
      <c r="E45" s="8"/>
      <c r="F45" s="3"/>
      <c r="G45" s="9"/>
      <c r="O45" s="3"/>
    </row>
    <row r="46" spans="1:15" x14ac:dyDescent="0.25">
      <c r="B46" s="3"/>
      <c r="C46" s="3"/>
      <c r="D46" s="8"/>
      <c r="E46" s="8"/>
      <c r="F46" s="3"/>
      <c r="G46" s="9"/>
      <c r="O46" s="3"/>
    </row>
    <row r="47" spans="1:15" x14ac:dyDescent="0.25">
      <c r="B47" s="3"/>
      <c r="C47" s="3"/>
      <c r="D47" s="8"/>
      <c r="E47" s="8"/>
      <c r="F47" s="3"/>
      <c r="G47" s="9"/>
      <c r="O47" s="3"/>
    </row>
    <row r="48" spans="1:15" x14ac:dyDescent="0.25">
      <c r="B48" s="3"/>
      <c r="C48" s="3"/>
      <c r="D48" s="8"/>
      <c r="E48" s="8"/>
      <c r="F48" s="3"/>
      <c r="G48" s="9"/>
      <c r="O48" s="3"/>
    </row>
    <row r="49" spans="2:15" x14ac:dyDescent="0.25">
      <c r="B49" s="3"/>
      <c r="C49" s="3"/>
      <c r="D49" s="8"/>
      <c r="E49" s="8"/>
      <c r="F49" s="3"/>
      <c r="G49" s="9"/>
      <c r="O49" s="3"/>
    </row>
    <row r="50" spans="2:15" x14ac:dyDescent="0.25">
      <c r="B50" s="3"/>
      <c r="C50" s="3"/>
      <c r="D50" s="8"/>
      <c r="E50" s="8"/>
      <c r="F50" s="3"/>
      <c r="G50" s="9"/>
      <c r="O50" s="3"/>
    </row>
    <row r="51" spans="2:15" x14ac:dyDescent="0.25">
      <c r="B51" s="3"/>
      <c r="C51" s="3"/>
      <c r="D51" s="8"/>
      <c r="E51" s="8"/>
      <c r="F51" s="3"/>
      <c r="G51" s="9"/>
      <c r="O51" s="3"/>
    </row>
    <row r="52" spans="2:15" x14ac:dyDescent="0.25">
      <c r="B52" s="3"/>
      <c r="C52" s="3"/>
      <c r="D52" s="8"/>
      <c r="E52" s="8"/>
      <c r="F52" s="3"/>
      <c r="O52" s="3"/>
    </row>
    <row r="53" spans="2:15" x14ac:dyDescent="0.25">
      <c r="B53" s="3"/>
      <c r="C53" s="3"/>
      <c r="D53" s="8"/>
      <c r="E53" s="8"/>
      <c r="F53" s="3"/>
      <c r="G53" s="9"/>
      <c r="O53" s="3"/>
    </row>
    <row r="54" spans="2:15" x14ac:dyDescent="0.25">
      <c r="B54" s="3"/>
      <c r="C54" s="3"/>
      <c r="D54" s="8"/>
      <c r="E54" s="8"/>
      <c r="F54" s="3"/>
      <c r="G54" s="9"/>
      <c r="O54" s="3"/>
    </row>
    <row r="55" spans="2:15" x14ac:dyDescent="0.25">
      <c r="B55" s="3"/>
      <c r="C55" s="3"/>
      <c r="D55" s="8"/>
      <c r="E55" s="8"/>
      <c r="F55" s="3"/>
      <c r="G55" s="9"/>
      <c r="O55" s="3"/>
    </row>
    <row r="56" spans="2:15" x14ac:dyDescent="0.25">
      <c r="B56" s="3"/>
      <c r="C56" s="3"/>
      <c r="D56" s="8"/>
      <c r="E56" s="8"/>
      <c r="F56" s="3"/>
      <c r="G56" s="9"/>
      <c r="O56" s="3"/>
    </row>
    <row r="57" spans="2:15" x14ac:dyDescent="0.25">
      <c r="B57" s="3"/>
      <c r="C57" s="3"/>
      <c r="D57" s="8"/>
      <c r="E57" s="8"/>
      <c r="F57" s="3"/>
      <c r="G57" s="9"/>
      <c r="O57" s="3"/>
    </row>
    <row r="58" spans="2:15" x14ac:dyDescent="0.25">
      <c r="B58" s="3"/>
      <c r="D58" s="8"/>
      <c r="E58" s="8"/>
      <c r="F58" s="3"/>
      <c r="G58" s="9"/>
      <c r="O58" s="3"/>
    </row>
    <row r="59" spans="2:15" x14ac:dyDescent="0.25">
      <c r="B59" s="3"/>
      <c r="D59" s="8"/>
      <c r="E59" s="8"/>
      <c r="F59" s="3"/>
      <c r="G59" s="9"/>
      <c r="O59" s="3"/>
    </row>
    <row r="60" spans="2:15" x14ac:dyDescent="0.25">
      <c r="B60" s="3"/>
      <c r="D60" s="8"/>
      <c r="E60" s="8"/>
      <c r="F60" s="3"/>
      <c r="G60" s="9"/>
      <c r="O60" s="3"/>
    </row>
    <row r="61" spans="2:15" x14ac:dyDescent="0.25">
      <c r="B61" s="3"/>
      <c r="D61" s="8"/>
      <c r="E61" s="8"/>
      <c r="F61" s="3"/>
      <c r="G61" s="9"/>
      <c r="O61" s="3"/>
    </row>
    <row r="62" spans="2:15" x14ac:dyDescent="0.25">
      <c r="B62" s="3"/>
      <c r="D62" s="8"/>
      <c r="E62" s="8"/>
      <c r="F62" s="3"/>
      <c r="G62" s="9"/>
      <c r="O62" s="3"/>
    </row>
    <row r="63" spans="2:15" x14ac:dyDescent="0.25">
      <c r="B63" s="3"/>
      <c r="D63" s="8"/>
      <c r="E63" s="8"/>
      <c r="F63" s="3"/>
      <c r="G63" s="9"/>
      <c r="O63" s="3"/>
    </row>
    <row r="64" spans="2:15" x14ac:dyDescent="0.25">
      <c r="B64" s="3"/>
      <c r="D64" s="8"/>
      <c r="E64" s="8"/>
      <c r="F64" s="3"/>
      <c r="G64" s="9"/>
      <c r="O64" s="3"/>
    </row>
    <row r="65" spans="2:15" x14ac:dyDescent="0.25">
      <c r="B65" s="3"/>
      <c r="D65" s="8"/>
      <c r="E65" s="8"/>
      <c r="F65" s="3"/>
      <c r="G65" s="9"/>
      <c r="O65" s="3"/>
    </row>
    <row r="66" spans="2:15" x14ac:dyDescent="0.25">
      <c r="B66" s="3"/>
      <c r="D66" s="8"/>
      <c r="E66" s="8"/>
      <c r="F66" s="3"/>
      <c r="G66" s="9"/>
      <c r="O66" s="3"/>
    </row>
    <row r="67" spans="2:15" x14ac:dyDescent="0.25">
      <c r="B67" s="3"/>
      <c r="D67" s="8"/>
      <c r="E67" s="8"/>
      <c r="F67" s="3"/>
      <c r="G67" s="9"/>
      <c r="O67" s="3"/>
    </row>
    <row r="68" spans="2:15" x14ac:dyDescent="0.25">
      <c r="B68" s="3"/>
      <c r="D68" s="8"/>
      <c r="E68" s="8"/>
      <c r="F68" s="3"/>
      <c r="G68" s="9"/>
      <c r="O68" s="3"/>
    </row>
    <row r="69" spans="2:15" x14ac:dyDescent="0.25">
      <c r="B69" s="3"/>
      <c r="D69" s="8"/>
      <c r="E69" s="8"/>
      <c r="F69" s="3"/>
      <c r="G69" s="9"/>
      <c r="O69" s="3"/>
    </row>
    <row r="70" spans="2:15" x14ac:dyDescent="0.25">
      <c r="B70" s="3"/>
      <c r="D70" s="8"/>
      <c r="E70" s="8"/>
      <c r="F70" s="3"/>
      <c r="G70" s="9"/>
      <c r="O70" s="3"/>
    </row>
    <row r="71" spans="2:15" x14ac:dyDescent="0.25">
      <c r="B71" s="3"/>
      <c r="D71" s="8"/>
      <c r="E71" s="8"/>
      <c r="F71" s="3"/>
      <c r="G71" s="9"/>
      <c r="O71" s="3"/>
    </row>
    <row r="72" spans="2:15" x14ac:dyDescent="0.25">
      <c r="B72" s="3"/>
      <c r="D72" s="8"/>
      <c r="E72" s="8"/>
      <c r="F72" s="3"/>
      <c r="G72" s="9"/>
      <c r="O72" s="3"/>
    </row>
    <row r="73" spans="2:15" x14ac:dyDescent="0.25">
      <c r="B73" s="3"/>
      <c r="D73" s="8"/>
      <c r="E73" s="8"/>
      <c r="F73" s="3"/>
      <c r="G73" s="9"/>
      <c r="O73" s="3"/>
    </row>
    <row r="74" spans="2:15" x14ac:dyDescent="0.25">
      <c r="B74" s="3"/>
      <c r="D74" s="8"/>
      <c r="E74" s="8"/>
      <c r="F74" s="3"/>
      <c r="G74" s="9"/>
      <c r="O74" s="3"/>
    </row>
    <row r="75" spans="2:15" x14ac:dyDescent="0.25">
      <c r="B75" s="3"/>
      <c r="D75" s="8"/>
      <c r="E75" s="8"/>
      <c r="F75" s="3"/>
      <c r="G75" s="9"/>
      <c r="O75" s="3"/>
    </row>
    <row r="76" spans="2:15" x14ac:dyDescent="0.25">
      <c r="B76" s="3"/>
      <c r="D76" s="8"/>
      <c r="E76" s="8"/>
      <c r="F76" s="3"/>
      <c r="G76" s="9"/>
      <c r="O76" s="3"/>
    </row>
    <row r="77" spans="2:15" x14ac:dyDescent="0.25">
      <c r="B77" s="3"/>
      <c r="D77" s="8"/>
      <c r="E77" s="8"/>
      <c r="F77" s="3"/>
      <c r="O77" s="3"/>
    </row>
    <row r="78" spans="2:15" x14ac:dyDescent="0.25">
      <c r="B78" s="3"/>
      <c r="D78" s="8"/>
      <c r="E78" s="8"/>
      <c r="F78" s="3"/>
      <c r="G78" s="9"/>
      <c r="O78" s="3"/>
    </row>
    <row r="79" spans="2:15" x14ac:dyDescent="0.25">
      <c r="B79" s="3"/>
      <c r="D79" s="8"/>
      <c r="E79" s="8"/>
      <c r="F79" s="3"/>
      <c r="G79" s="9"/>
      <c r="O79" s="3"/>
    </row>
    <row r="80" spans="2:15" x14ac:dyDescent="0.25">
      <c r="B80" s="3"/>
      <c r="D80" s="8"/>
      <c r="E80" s="8"/>
      <c r="F80" s="3"/>
      <c r="G80" s="9"/>
      <c r="O80" s="3"/>
    </row>
    <row r="81" spans="4:15" x14ac:dyDescent="0.25">
      <c r="D81" s="8"/>
      <c r="E81" s="8"/>
      <c r="F81" s="3"/>
      <c r="G81" s="9"/>
      <c r="O81" s="3"/>
    </row>
    <row r="82" spans="4:15" x14ac:dyDescent="0.25">
      <c r="D82" s="8"/>
      <c r="E82" s="8"/>
      <c r="F82" s="3"/>
      <c r="G82" s="9"/>
      <c r="O82" s="3"/>
    </row>
    <row r="83" spans="4:15" x14ac:dyDescent="0.25">
      <c r="D83" s="8"/>
      <c r="E83" s="8"/>
      <c r="F83" s="3"/>
      <c r="G83" s="9"/>
      <c r="O83" s="3"/>
    </row>
    <row r="84" spans="4:15" x14ac:dyDescent="0.25">
      <c r="D84" s="8"/>
      <c r="E84" s="8"/>
      <c r="F84" s="3"/>
      <c r="G84" s="9"/>
      <c r="O84" s="3"/>
    </row>
    <row r="85" spans="4:15" x14ac:dyDescent="0.25">
      <c r="D85" s="8"/>
      <c r="E85" s="8"/>
      <c r="F85" s="3"/>
      <c r="G85" s="9"/>
      <c r="O85" s="3"/>
    </row>
    <row r="86" spans="4:15" x14ac:dyDescent="0.25">
      <c r="D86" s="8"/>
      <c r="E86" s="8"/>
      <c r="F86" s="3"/>
      <c r="G86" s="9"/>
      <c r="O86" s="3"/>
    </row>
    <row r="87" spans="4:15" x14ac:dyDescent="0.25">
      <c r="D87" s="8"/>
      <c r="E87" s="8"/>
      <c r="F87" s="3"/>
      <c r="G87" s="9"/>
      <c r="O87" s="3"/>
    </row>
    <row r="88" spans="4:15" x14ac:dyDescent="0.25">
      <c r="D88" s="8"/>
      <c r="E88" s="8"/>
      <c r="F88" s="3"/>
      <c r="G88" s="9"/>
      <c r="O88" s="3"/>
    </row>
    <row r="89" spans="4:15" x14ac:dyDescent="0.25">
      <c r="D89" s="8"/>
      <c r="E89" s="8"/>
      <c r="F89" s="3"/>
      <c r="G89" s="9"/>
      <c r="O89" s="3"/>
    </row>
    <row r="90" spans="4:15" x14ac:dyDescent="0.25">
      <c r="D90" s="8"/>
      <c r="E90" s="8"/>
      <c r="F90" s="3"/>
      <c r="G90" s="9"/>
      <c r="O90" s="3"/>
    </row>
    <row r="91" spans="4:15" x14ac:dyDescent="0.25">
      <c r="D91" s="8"/>
      <c r="E91" s="8"/>
      <c r="F91" s="3"/>
      <c r="G91" s="9"/>
      <c r="O91" s="3"/>
    </row>
    <row r="92" spans="4:15" x14ac:dyDescent="0.25">
      <c r="D92" s="8"/>
      <c r="E92" s="8"/>
      <c r="F92" s="3"/>
      <c r="G92" s="9"/>
      <c r="O92" s="3"/>
    </row>
    <row r="93" spans="4:15" x14ac:dyDescent="0.25">
      <c r="D93" s="8"/>
      <c r="E93" s="8"/>
      <c r="F93" s="3"/>
      <c r="G93" s="9"/>
      <c r="O93" s="3"/>
    </row>
    <row r="94" spans="4:15" x14ac:dyDescent="0.25">
      <c r="D94" s="8"/>
      <c r="E94" s="8"/>
      <c r="F94" s="3"/>
      <c r="G94" s="9"/>
      <c r="O94" s="3"/>
    </row>
    <row r="95" spans="4:15" x14ac:dyDescent="0.25">
      <c r="D95" s="8"/>
      <c r="E95" s="8"/>
      <c r="F95" s="3"/>
      <c r="G95" s="9"/>
      <c r="O95" s="3"/>
    </row>
    <row r="96" spans="4:15" x14ac:dyDescent="0.25">
      <c r="D96" s="8"/>
      <c r="E96" s="8"/>
      <c r="F96" s="3"/>
      <c r="G96" s="9"/>
      <c r="O96" s="3"/>
    </row>
    <row r="97" spans="4:15" x14ac:dyDescent="0.25">
      <c r="D97" s="8"/>
      <c r="E97" s="8"/>
      <c r="F97" s="3"/>
      <c r="G97" s="9"/>
      <c r="O97" s="3"/>
    </row>
    <row r="98" spans="4:15" x14ac:dyDescent="0.25">
      <c r="D98" s="8"/>
      <c r="E98" s="8"/>
      <c r="F98" s="3"/>
      <c r="G98" s="9"/>
      <c r="O98" s="3"/>
    </row>
    <row r="99" spans="4:15" x14ac:dyDescent="0.25">
      <c r="D99" s="8"/>
      <c r="E99" s="8"/>
      <c r="F99" s="3"/>
      <c r="G99" s="9"/>
      <c r="O99" s="3"/>
    </row>
    <row r="100" spans="4:15" x14ac:dyDescent="0.25">
      <c r="D100" s="8"/>
      <c r="E100" s="8"/>
      <c r="F100" s="3"/>
      <c r="G100" s="9"/>
      <c r="O100" s="3"/>
    </row>
    <row r="101" spans="4:15" x14ac:dyDescent="0.25">
      <c r="D101" s="8"/>
      <c r="E101" s="8"/>
      <c r="F101" s="3"/>
      <c r="G101" s="9"/>
      <c r="O101" s="3"/>
    </row>
    <row r="102" spans="4:15" x14ac:dyDescent="0.25">
      <c r="D102" s="8"/>
      <c r="E102" s="8"/>
      <c r="F102" s="3"/>
      <c r="O102" s="3"/>
    </row>
    <row r="103" spans="4:15" x14ac:dyDescent="0.25">
      <c r="D103" s="8"/>
      <c r="E103" s="8"/>
      <c r="F103" s="3"/>
      <c r="G103" s="9"/>
      <c r="O103" s="3"/>
    </row>
    <row r="104" spans="4:15" x14ac:dyDescent="0.25">
      <c r="D104" s="8"/>
      <c r="E104" s="8"/>
      <c r="F104" s="3"/>
      <c r="G104" s="9"/>
      <c r="O104" s="3"/>
    </row>
    <row r="105" spans="4:15" x14ac:dyDescent="0.25">
      <c r="D105" s="8"/>
      <c r="E105" s="8"/>
      <c r="F105" s="3"/>
      <c r="G105" s="9"/>
      <c r="O105" s="3"/>
    </row>
    <row r="106" spans="4:15" x14ac:dyDescent="0.25">
      <c r="D106" s="8"/>
      <c r="E106" s="8"/>
      <c r="F106" s="3"/>
      <c r="G106" s="9"/>
      <c r="O106" s="3"/>
    </row>
    <row r="107" spans="4:15" x14ac:dyDescent="0.25">
      <c r="D107" s="8"/>
      <c r="E107" s="8"/>
      <c r="F107" s="3"/>
      <c r="G107" s="9"/>
      <c r="O107" s="3"/>
    </row>
    <row r="108" spans="4:15" x14ac:dyDescent="0.25">
      <c r="D108" s="8"/>
      <c r="E108" s="8"/>
      <c r="F108" s="3"/>
      <c r="G108" s="9"/>
      <c r="O108" s="3"/>
    </row>
    <row r="109" spans="4:15" x14ac:dyDescent="0.25">
      <c r="D109" s="8"/>
      <c r="E109" s="8"/>
      <c r="F109" s="3"/>
      <c r="G109" s="9"/>
      <c r="O109" s="3"/>
    </row>
    <row r="110" spans="4:15" x14ac:dyDescent="0.25">
      <c r="D110" s="8"/>
      <c r="E110" s="8"/>
      <c r="F110" s="3"/>
      <c r="G110" s="9"/>
      <c r="O110" s="3"/>
    </row>
    <row r="111" spans="4:15" x14ac:dyDescent="0.25">
      <c r="D111" s="8"/>
      <c r="E111" s="8"/>
      <c r="F111" s="3"/>
      <c r="G111" s="9"/>
      <c r="O111" s="3"/>
    </row>
    <row r="112" spans="4:15" x14ac:dyDescent="0.25">
      <c r="D112" s="8"/>
      <c r="E112" s="8"/>
      <c r="F112" s="3"/>
      <c r="G112" s="9"/>
      <c r="O112" s="3"/>
    </row>
    <row r="113" spans="4:15" x14ac:dyDescent="0.25">
      <c r="D113" s="8"/>
      <c r="E113" s="8"/>
      <c r="F113" s="3"/>
      <c r="G113" s="9"/>
      <c r="O113" s="3"/>
    </row>
    <row r="114" spans="4:15" x14ac:dyDescent="0.25">
      <c r="D114" s="8"/>
      <c r="E114" s="8"/>
      <c r="F114" s="3"/>
      <c r="G114" s="9"/>
      <c r="O114" s="3"/>
    </row>
    <row r="115" spans="4:15" x14ac:dyDescent="0.25">
      <c r="D115" s="8"/>
      <c r="E115" s="8"/>
      <c r="F115" s="3"/>
      <c r="G115" s="9"/>
      <c r="O115" s="3"/>
    </row>
    <row r="116" spans="4:15" x14ac:dyDescent="0.25">
      <c r="D116" s="8"/>
      <c r="E116" s="8"/>
      <c r="F116" s="3"/>
      <c r="G116" s="9"/>
      <c r="O116" s="3"/>
    </row>
    <row r="117" spans="4:15" x14ac:dyDescent="0.25">
      <c r="D117" s="8"/>
      <c r="E117" s="8"/>
      <c r="F117" s="3"/>
      <c r="G117" s="9"/>
      <c r="O117" s="3"/>
    </row>
    <row r="118" spans="4:15" x14ac:dyDescent="0.25">
      <c r="D118" s="8"/>
      <c r="E118" s="8"/>
      <c r="F118" s="3"/>
      <c r="G118" s="9"/>
      <c r="O118" s="3"/>
    </row>
    <row r="119" spans="4:15" x14ac:dyDescent="0.25">
      <c r="D119" s="8"/>
      <c r="E119" s="8"/>
      <c r="F119" s="3"/>
      <c r="G119" s="9"/>
      <c r="O119" s="3"/>
    </row>
    <row r="120" spans="4:15" x14ac:dyDescent="0.25">
      <c r="D120" s="8"/>
      <c r="E120" s="8"/>
      <c r="F120" s="3"/>
      <c r="G120" s="9"/>
      <c r="O120" s="3"/>
    </row>
    <row r="121" spans="4:15" x14ac:dyDescent="0.25">
      <c r="D121" s="8"/>
      <c r="E121" s="8"/>
      <c r="F121" s="3"/>
      <c r="G121" s="9"/>
      <c r="O121" s="3"/>
    </row>
    <row r="122" spans="4:15" x14ac:dyDescent="0.25">
      <c r="D122" s="8"/>
      <c r="E122" s="8"/>
      <c r="F122" s="3"/>
      <c r="G122" s="9"/>
      <c r="O122" s="3"/>
    </row>
    <row r="123" spans="4:15" x14ac:dyDescent="0.25">
      <c r="D123" s="8"/>
      <c r="E123" s="8"/>
      <c r="F123" s="3"/>
      <c r="G123" s="9"/>
      <c r="O123" s="3"/>
    </row>
    <row r="124" spans="4:15" x14ac:dyDescent="0.25">
      <c r="D124" s="8"/>
      <c r="E124" s="8"/>
      <c r="F124" s="3"/>
      <c r="G124" s="9"/>
      <c r="O124" s="3"/>
    </row>
    <row r="125" spans="4:15" x14ac:dyDescent="0.25">
      <c r="D125" s="8"/>
      <c r="E125" s="8"/>
      <c r="F125" s="3"/>
      <c r="G125" s="9"/>
      <c r="O125" s="3"/>
    </row>
    <row r="126" spans="4:15" x14ac:dyDescent="0.25">
      <c r="D126" s="8"/>
      <c r="E126" s="8"/>
      <c r="F126" s="3"/>
      <c r="G126" s="9"/>
      <c r="O126" s="3"/>
    </row>
    <row r="127" spans="4:15" x14ac:dyDescent="0.25">
      <c r="D127" s="8"/>
      <c r="E127" s="8"/>
      <c r="F127" s="3"/>
      <c r="O127" s="3"/>
    </row>
    <row r="128" spans="4:15" x14ac:dyDescent="0.25">
      <c r="D128" s="8"/>
      <c r="E128" s="8"/>
      <c r="F128" s="3"/>
      <c r="G128" s="9"/>
      <c r="O128" s="3"/>
    </row>
    <row r="129" spans="4:15" x14ac:dyDescent="0.25">
      <c r="D129" s="8"/>
      <c r="E129" s="8"/>
      <c r="F129" s="3"/>
      <c r="G129" s="9"/>
      <c r="O129" s="3"/>
    </row>
    <row r="130" spans="4:15" x14ac:dyDescent="0.25">
      <c r="D130" s="8"/>
      <c r="E130" s="8"/>
      <c r="F130" s="3"/>
      <c r="G130" s="9"/>
      <c r="O130" s="3"/>
    </row>
    <row r="131" spans="4:15" x14ac:dyDescent="0.25">
      <c r="D131" s="8"/>
      <c r="E131" s="8"/>
      <c r="F131" s="3"/>
      <c r="G131" s="9"/>
      <c r="O131" s="3"/>
    </row>
    <row r="132" spans="4:15" x14ac:dyDescent="0.25">
      <c r="D132" s="8"/>
      <c r="E132" s="8"/>
      <c r="F132" s="3"/>
      <c r="G132" s="9"/>
      <c r="O132" s="3"/>
    </row>
    <row r="133" spans="4:15" x14ac:dyDescent="0.25">
      <c r="D133" s="8"/>
      <c r="E133" s="8"/>
      <c r="F133" s="3"/>
      <c r="G133" s="9"/>
      <c r="O133" s="3"/>
    </row>
    <row r="134" spans="4:15" x14ac:dyDescent="0.25">
      <c r="D134" s="8"/>
      <c r="E134" s="8"/>
      <c r="F134" s="3"/>
      <c r="G134" s="9"/>
      <c r="O134" s="3"/>
    </row>
    <row r="135" spans="4:15" x14ac:dyDescent="0.25">
      <c r="D135" s="8"/>
      <c r="E135" s="8"/>
      <c r="F135" s="3"/>
      <c r="G135" s="9"/>
      <c r="O135" s="3"/>
    </row>
    <row r="136" spans="4:15" x14ac:dyDescent="0.25">
      <c r="D136" s="8"/>
      <c r="E136" s="8"/>
      <c r="F136" s="3"/>
      <c r="G136" s="9"/>
      <c r="O136" s="3"/>
    </row>
    <row r="137" spans="4:15" x14ac:dyDescent="0.25">
      <c r="D137" s="8"/>
      <c r="E137" s="8"/>
      <c r="F137" s="3"/>
      <c r="G137" s="9"/>
      <c r="O137" s="3"/>
    </row>
    <row r="138" spans="4:15" x14ac:dyDescent="0.25">
      <c r="D138" s="8"/>
      <c r="E138" s="8"/>
      <c r="F138" s="3"/>
      <c r="G138" s="9"/>
      <c r="O138" s="3"/>
    </row>
    <row r="139" spans="4:15" x14ac:dyDescent="0.25">
      <c r="D139" s="8"/>
      <c r="E139" s="8"/>
      <c r="F139" s="3"/>
      <c r="G139" s="9"/>
      <c r="O139" s="3"/>
    </row>
    <row r="140" spans="4:15" x14ac:dyDescent="0.25">
      <c r="D140" s="8"/>
      <c r="E140" s="8"/>
      <c r="F140" s="3"/>
      <c r="G140" s="9"/>
      <c r="O140" s="3"/>
    </row>
    <row r="141" spans="4:15" x14ac:dyDescent="0.25">
      <c r="D141" s="8"/>
      <c r="E141" s="8"/>
      <c r="F141" s="3"/>
      <c r="G141" s="9"/>
      <c r="O141" s="3"/>
    </row>
    <row r="142" spans="4:15" x14ac:dyDescent="0.25">
      <c r="D142" s="8"/>
      <c r="E142" s="8"/>
      <c r="F142" s="3"/>
      <c r="G142" s="9"/>
      <c r="O142" s="3"/>
    </row>
    <row r="143" spans="4:15" x14ac:dyDescent="0.25">
      <c r="D143" s="8"/>
      <c r="E143" s="8"/>
      <c r="F143" s="3"/>
      <c r="G143" s="9"/>
      <c r="O143" s="3"/>
    </row>
    <row r="144" spans="4:15" x14ac:dyDescent="0.25">
      <c r="D144" s="8"/>
      <c r="E144" s="8"/>
      <c r="F144" s="3"/>
      <c r="G144" s="9"/>
      <c r="O144" s="3"/>
    </row>
    <row r="145" spans="4:15" x14ac:dyDescent="0.25">
      <c r="D145" s="8"/>
      <c r="E145" s="8"/>
      <c r="F145" s="3"/>
      <c r="G145" s="9"/>
      <c r="O145" s="3"/>
    </row>
    <row r="146" spans="4:15" x14ac:dyDescent="0.25">
      <c r="D146" s="8"/>
      <c r="E146" s="8"/>
      <c r="F146" s="3"/>
      <c r="G146" s="9"/>
      <c r="O146" s="3"/>
    </row>
    <row r="147" spans="4:15" x14ac:dyDescent="0.25">
      <c r="D147" s="8"/>
      <c r="E147" s="8"/>
      <c r="F147" s="3"/>
      <c r="G147" s="9"/>
      <c r="O147" s="3"/>
    </row>
    <row r="148" spans="4:15" x14ac:dyDescent="0.25">
      <c r="D148" s="8"/>
      <c r="E148" s="8"/>
      <c r="F148" s="3"/>
      <c r="G148" s="9"/>
      <c r="O148" s="3"/>
    </row>
    <row r="149" spans="4:15" x14ac:dyDescent="0.25">
      <c r="D149" s="8"/>
      <c r="E149" s="8"/>
      <c r="F149" s="3"/>
      <c r="G149" s="9"/>
      <c r="O149" s="3"/>
    </row>
    <row r="150" spans="4:15" x14ac:dyDescent="0.25">
      <c r="D150" s="8"/>
      <c r="E150" s="8"/>
      <c r="F150" s="3"/>
      <c r="G150" s="9"/>
      <c r="O150" s="3"/>
    </row>
    <row r="151" spans="4:15" x14ac:dyDescent="0.25">
      <c r="D151" s="8"/>
      <c r="E151" s="8"/>
      <c r="F151" s="3"/>
      <c r="G151" s="9"/>
      <c r="O151" s="3"/>
    </row>
    <row r="152" spans="4:15" x14ac:dyDescent="0.25">
      <c r="D152" s="8"/>
      <c r="E152" s="8"/>
      <c r="F152" s="3"/>
      <c r="O152" s="3"/>
    </row>
    <row r="153" spans="4:15" x14ac:dyDescent="0.25">
      <c r="D153" s="8"/>
      <c r="E153" s="8"/>
      <c r="F153" s="3"/>
      <c r="G153" s="9"/>
      <c r="O153" s="3"/>
    </row>
    <row r="154" spans="4:15" x14ac:dyDescent="0.25">
      <c r="D154" s="8"/>
      <c r="E154" s="8"/>
      <c r="F154" s="3"/>
      <c r="G154" s="9"/>
      <c r="O154" s="3"/>
    </row>
    <row r="155" spans="4:15" x14ac:dyDescent="0.25">
      <c r="D155" s="8"/>
      <c r="E155" s="8"/>
      <c r="F155" s="3"/>
      <c r="G155" s="9"/>
      <c r="O155" s="3"/>
    </row>
    <row r="156" spans="4:15" x14ac:dyDescent="0.25">
      <c r="D156" s="8"/>
      <c r="E156" s="8"/>
      <c r="F156" s="3"/>
      <c r="G156" s="9"/>
      <c r="O156" s="3"/>
    </row>
    <row r="157" spans="4:15" x14ac:dyDescent="0.25">
      <c r="D157" s="8"/>
      <c r="E157" s="8"/>
      <c r="F157" s="3"/>
      <c r="G157" s="9"/>
      <c r="O157" s="3"/>
    </row>
    <row r="158" spans="4:15" x14ac:dyDescent="0.25">
      <c r="D158" s="8"/>
      <c r="E158" s="8"/>
      <c r="F158" s="3"/>
      <c r="G158" s="9"/>
      <c r="O158" s="3"/>
    </row>
    <row r="159" spans="4:15" x14ac:dyDescent="0.25">
      <c r="D159" s="8"/>
      <c r="E159" s="8"/>
      <c r="F159" s="3"/>
      <c r="G159" s="9"/>
      <c r="O159" s="3"/>
    </row>
    <row r="160" spans="4:15" x14ac:dyDescent="0.25">
      <c r="D160" s="8"/>
      <c r="E160" s="8"/>
      <c r="F160" s="3"/>
      <c r="G160" s="9"/>
      <c r="O160" s="3"/>
    </row>
    <row r="161" spans="4:15" x14ac:dyDescent="0.25">
      <c r="D161" s="8"/>
      <c r="E161" s="8"/>
      <c r="F161" s="3"/>
      <c r="G161" s="9"/>
      <c r="O161" s="3"/>
    </row>
    <row r="162" spans="4:15" x14ac:dyDescent="0.25">
      <c r="D162" s="8"/>
      <c r="E162" s="8"/>
      <c r="F162" s="3"/>
      <c r="G162" s="9"/>
      <c r="O162" s="3"/>
    </row>
    <row r="163" spans="4:15" x14ac:dyDescent="0.25">
      <c r="D163" s="8"/>
      <c r="E163" s="8"/>
      <c r="F163" s="3"/>
      <c r="G163" s="9"/>
      <c r="O163" s="3"/>
    </row>
    <row r="164" spans="4:15" x14ac:dyDescent="0.25">
      <c r="D164" s="8"/>
      <c r="E164" s="8"/>
      <c r="F164" s="3"/>
      <c r="G164" s="9"/>
      <c r="O164" s="3"/>
    </row>
    <row r="165" spans="4:15" x14ac:dyDescent="0.25">
      <c r="D165" s="8"/>
      <c r="E165" s="8"/>
      <c r="F165" s="3"/>
      <c r="G165" s="9"/>
      <c r="O165" s="3"/>
    </row>
    <row r="166" spans="4:15" x14ac:dyDescent="0.25">
      <c r="D166" s="8"/>
      <c r="E166" s="8"/>
      <c r="F166" s="3"/>
      <c r="G166" s="9"/>
      <c r="O166" s="3"/>
    </row>
    <row r="167" spans="4:15" x14ac:dyDescent="0.25">
      <c r="D167" s="8"/>
      <c r="E167" s="8"/>
      <c r="F167" s="3"/>
      <c r="G167" s="9"/>
      <c r="O167" s="3"/>
    </row>
    <row r="168" spans="4:15" x14ac:dyDescent="0.25">
      <c r="D168" s="8"/>
      <c r="E168" s="8"/>
      <c r="F168" s="3"/>
      <c r="G168" s="9"/>
      <c r="O168" s="3"/>
    </row>
    <row r="169" spans="4:15" x14ac:dyDescent="0.25">
      <c r="D169" s="8"/>
      <c r="E169" s="8"/>
      <c r="F169" s="3"/>
      <c r="G169" s="9"/>
      <c r="O169" s="3"/>
    </row>
    <row r="170" spans="4:15" x14ac:dyDescent="0.25">
      <c r="D170" s="8"/>
      <c r="E170" s="8"/>
      <c r="F170" s="3"/>
      <c r="G170" s="9"/>
      <c r="O170" s="3"/>
    </row>
    <row r="171" spans="4:15" x14ac:dyDescent="0.25">
      <c r="D171" s="8"/>
      <c r="E171" s="8"/>
      <c r="F171" s="3"/>
      <c r="G171" s="9"/>
      <c r="O171" s="3"/>
    </row>
    <row r="172" spans="4:15" x14ac:dyDescent="0.25">
      <c r="D172" s="8"/>
      <c r="E172" s="8"/>
      <c r="F172" s="3"/>
      <c r="G172" s="9"/>
      <c r="O172" s="3"/>
    </row>
    <row r="173" spans="4:15" x14ac:dyDescent="0.25">
      <c r="D173" s="8"/>
      <c r="E173" s="8"/>
      <c r="F173" s="3"/>
      <c r="G173" s="9"/>
      <c r="O173" s="3"/>
    </row>
    <row r="174" spans="4:15" x14ac:dyDescent="0.25">
      <c r="D174" s="8"/>
      <c r="E174" s="8"/>
      <c r="F174" s="3"/>
      <c r="G174" s="9"/>
      <c r="O174" s="3"/>
    </row>
    <row r="175" spans="4:15" x14ac:dyDescent="0.25">
      <c r="D175" s="8"/>
      <c r="E175" s="8"/>
      <c r="F175" s="3"/>
      <c r="G175" s="9"/>
      <c r="O175" s="3"/>
    </row>
    <row r="176" spans="4:15" x14ac:dyDescent="0.25">
      <c r="D176" s="8"/>
      <c r="E176" s="8"/>
      <c r="F176" s="3"/>
      <c r="G176" s="9"/>
      <c r="O176" s="3"/>
    </row>
    <row r="177" spans="4:15" x14ac:dyDescent="0.25">
      <c r="D177" s="8"/>
      <c r="E177" s="8"/>
      <c r="F177" s="3"/>
      <c r="O177" s="3"/>
    </row>
    <row r="178" spans="4:15" x14ac:dyDescent="0.25">
      <c r="D178" s="8"/>
      <c r="E178" s="8"/>
      <c r="F178" s="3"/>
      <c r="G178" s="9"/>
      <c r="O178" s="3"/>
    </row>
    <row r="179" spans="4:15" x14ac:dyDescent="0.25">
      <c r="D179" s="8"/>
      <c r="E179" s="8"/>
      <c r="F179" s="3"/>
      <c r="G179" s="9"/>
      <c r="O179" s="3"/>
    </row>
    <row r="180" spans="4:15" x14ac:dyDescent="0.25">
      <c r="D180" s="8"/>
      <c r="E180" s="8"/>
      <c r="F180" s="3"/>
      <c r="G180" s="9"/>
      <c r="O180" s="3"/>
    </row>
    <row r="181" spans="4:15" x14ac:dyDescent="0.25">
      <c r="D181" s="8"/>
      <c r="E181" s="8"/>
      <c r="F181" s="3"/>
      <c r="G181" s="9"/>
      <c r="O181" s="3"/>
    </row>
    <row r="182" spans="4:15" x14ac:dyDescent="0.25">
      <c r="D182" s="8"/>
      <c r="E182" s="8"/>
      <c r="F182" s="3"/>
      <c r="G182" s="9"/>
      <c r="O182" s="3"/>
    </row>
    <row r="183" spans="4:15" x14ac:dyDescent="0.25">
      <c r="D183" s="8"/>
      <c r="E183" s="8"/>
      <c r="F183" s="3"/>
      <c r="G183" s="9"/>
      <c r="O183" s="3"/>
    </row>
    <row r="184" spans="4:15" x14ac:dyDescent="0.25">
      <c r="D184" s="8"/>
      <c r="E184" s="8"/>
      <c r="F184" s="3"/>
      <c r="G184" s="9"/>
      <c r="O184" s="3"/>
    </row>
    <row r="185" spans="4:15" x14ac:dyDescent="0.25">
      <c r="D185" s="8"/>
      <c r="E185" s="8"/>
      <c r="F185" s="3"/>
      <c r="G185" s="9"/>
      <c r="O185" s="3"/>
    </row>
    <row r="186" spans="4:15" x14ac:dyDescent="0.25">
      <c r="D186" s="8"/>
      <c r="E186" s="8"/>
      <c r="F186" s="3"/>
      <c r="G186" s="9"/>
      <c r="O186" s="3"/>
    </row>
    <row r="187" spans="4:15" x14ac:dyDescent="0.25">
      <c r="D187" s="8"/>
      <c r="E187" s="8"/>
      <c r="F187" s="3"/>
      <c r="G187" s="9"/>
      <c r="O187" s="3"/>
    </row>
    <row r="188" spans="4:15" x14ac:dyDescent="0.25">
      <c r="D188" s="8"/>
      <c r="E188" s="8"/>
      <c r="F188" s="3"/>
      <c r="G188" s="9"/>
      <c r="O188" s="3"/>
    </row>
    <row r="189" spans="4:15" x14ac:dyDescent="0.25">
      <c r="D189" s="8"/>
      <c r="E189" s="8"/>
      <c r="F189" s="3"/>
      <c r="G189" s="9"/>
      <c r="O189" s="3"/>
    </row>
    <row r="190" spans="4:15" x14ac:dyDescent="0.25">
      <c r="D190" s="8"/>
      <c r="E190" s="8"/>
      <c r="F190" s="3"/>
      <c r="G190" s="9"/>
      <c r="O190" s="3"/>
    </row>
    <row r="191" spans="4:15" x14ac:dyDescent="0.25">
      <c r="D191" s="8"/>
      <c r="E191" s="8"/>
      <c r="F191" s="3"/>
      <c r="G191" s="9"/>
      <c r="O191" s="3"/>
    </row>
    <row r="192" spans="4:15" x14ac:dyDescent="0.25">
      <c r="D192" s="8"/>
      <c r="E192" s="8"/>
      <c r="F192" s="3"/>
      <c r="G192" s="9"/>
      <c r="O192" s="3"/>
    </row>
    <row r="193" spans="4:15" x14ac:dyDescent="0.25">
      <c r="D193" s="8"/>
      <c r="E193" s="8"/>
      <c r="F193" s="3"/>
      <c r="G193" s="9"/>
      <c r="O193" s="3"/>
    </row>
    <row r="194" spans="4:15" x14ac:dyDescent="0.25">
      <c r="D194" s="8"/>
      <c r="E194" s="8"/>
      <c r="F194" s="3"/>
      <c r="G194" s="9"/>
      <c r="O194" s="3"/>
    </row>
    <row r="195" spans="4:15" x14ac:dyDescent="0.25">
      <c r="D195" s="8"/>
      <c r="E195" s="8"/>
      <c r="F195" s="3"/>
      <c r="G195" s="9"/>
      <c r="O195" s="3"/>
    </row>
    <row r="196" spans="4:15" x14ac:dyDescent="0.25">
      <c r="D196" s="8"/>
      <c r="E196" s="8"/>
      <c r="F196" s="3"/>
      <c r="G196" s="9"/>
      <c r="O196" s="3"/>
    </row>
    <row r="197" spans="4:15" x14ac:dyDescent="0.25">
      <c r="D197" s="8"/>
      <c r="E197" s="8"/>
      <c r="F197" s="3"/>
      <c r="G197" s="9"/>
      <c r="O197" s="3"/>
    </row>
    <row r="198" spans="4:15" x14ac:dyDescent="0.25">
      <c r="D198" s="8"/>
      <c r="E198" s="8"/>
      <c r="F198" s="3"/>
      <c r="G198" s="9"/>
      <c r="O198" s="3"/>
    </row>
    <row r="199" spans="4:15" x14ac:dyDescent="0.25">
      <c r="D199" s="8"/>
      <c r="E199" s="8"/>
      <c r="F199" s="3"/>
      <c r="G199" s="9"/>
      <c r="O199" s="3"/>
    </row>
    <row r="200" spans="4:15" x14ac:dyDescent="0.25">
      <c r="D200" s="8"/>
      <c r="E200" s="8"/>
      <c r="F200" s="3"/>
      <c r="G200" s="9"/>
      <c r="O200" s="3"/>
    </row>
    <row r="201" spans="4:15" x14ac:dyDescent="0.25">
      <c r="D201" s="8"/>
      <c r="E201" s="8"/>
      <c r="F201" s="3"/>
      <c r="G201" s="9"/>
      <c r="O201" s="3"/>
    </row>
    <row r="202" spans="4:15" x14ac:dyDescent="0.25">
      <c r="D202" s="8"/>
      <c r="E202" s="8"/>
      <c r="F202" s="3"/>
      <c r="O202" s="3"/>
    </row>
    <row r="203" spans="4:15" x14ac:dyDescent="0.25">
      <c r="D203" s="8"/>
      <c r="E203" s="8"/>
      <c r="F203" s="3"/>
      <c r="G203" s="9"/>
      <c r="O203" s="3"/>
    </row>
    <row r="204" spans="4:15" x14ac:dyDescent="0.25">
      <c r="D204" s="8"/>
      <c r="E204" s="8"/>
      <c r="F204" s="3"/>
      <c r="G204" s="9"/>
      <c r="O204" s="3"/>
    </row>
    <row r="205" spans="4:15" x14ac:dyDescent="0.25">
      <c r="D205" s="8"/>
      <c r="E205" s="8"/>
      <c r="F205" s="3"/>
      <c r="G205" s="9"/>
      <c r="O205" s="3"/>
    </row>
    <row r="206" spans="4:15" x14ac:dyDescent="0.25">
      <c r="D206" s="8"/>
      <c r="E206" s="8"/>
      <c r="F206" s="3"/>
      <c r="G206" s="9"/>
      <c r="O206" s="3"/>
    </row>
    <row r="207" spans="4:15" x14ac:dyDescent="0.25">
      <c r="D207" s="8"/>
      <c r="E207" s="8"/>
      <c r="F207" s="3"/>
      <c r="G207" s="9"/>
      <c r="O207" s="3"/>
    </row>
    <row r="208" spans="4:15" x14ac:dyDescent="0.25">
      <c r="D208" s="8"/>
      <c r="E208" s="8"/>
      <c r="F208" s="3"/>
      <c r="G208" s="9"/>
      <c r="O208" s="3"/>
    </row>
    <row r="209" spans="4:15" x14ac:dyDescent="0.25">
      <c r="D209" s="8"/>
      <c r="E209" s="8"/>
      <c r="F209" s="3"/>
      <c r="G209" s="9"/>
      <c r="O209" s="3"/>
    </row>
    <row r="210" spans="4:15" x14ac:dyDescent="0.25">
      <c r="D210" s="8"/>
      <c r="E210" s="8"/>
      <c r="F210" s="3"/>
      <c r="G210" s="9"/>
      <c r="O210" s="3"/>
    </row>
    <row r="211" spans="4:15" x14ac:dyDescent="0.25">
      <c r="D211" s="8"/>
      <c r="E211" s="8"/>
      <c r="F211" s="3"/>
      <c r="G211" s="9"/>
      <c r="O211" s="3"/>
    </row>
    <row r="212" spans="4:15" x14ac:dyDescent="0.25">
      <c r="D212" s="8"/>
      <c r="E212" s="8"/>
      <c r="F212" s="3"/>
      <c r="G212" s="9"/>
      <c r="O212" s="3"/>
    </row>
    <row r="213" spans="4:15" x14ac:dyDescent="0.25">
      <c r="D213" s="8"/>
      <c r="E213" s="8"/>
      <c r="F213" s="3"/>
      <c r="G213" s="9"/>
      <c r="O213" s="3"/>
    </row>
    <row r="214" spans="4:15" x14ac:dyDescent="0.25">
      <c r="D214" s="8"/>
      <c r="E214" s="8"/>
      <c r="F214" s="3"/>
      <c r="G214" s="9"/>
      <c r="O214" s="3"/>
    </row>
    <row r="215" spans="4:15" x14ac:dyDescent="0.25">
      <c r="D215" s="8"/>
      <c r="E215" s="8"/>
      <c r="F215" s="3"/>
      <c r="G215" s="9"/>
      <c r="O215" s="3"/>
    </row>
    <row r="216" spans="4:15" x14ac:dyDescent="0.25">
      <c r="D216" s="8"/>
      <c r="E216" s="8"/>
      <c r="F216" s="3"/>
      <c r="G216" s="9"/>
      <c r="O216" s="3"/>
    </row>
    <row r="217" spans="4:15" x14ac:dyDescent="0.25">
      <c r="D217" s="8"/>
      <c r="E217" s="8"/>
      <c r="F217" s="3"/>
      <c r="G217" s="9"/>
      <c r="O217" s="3"/>
    </row>
    <row r="218" spans="4:15" x14ac:dyDescent="0.25">
      <c r="D218" s="8"/>
      <c r="E218" s="8"/>
      <c r="F218" s="3"/>
      <c r="G218" s="9"/>
      <c r="O218" s="3"/>
    </row>
    <row r="219" spans="4:15" x14ac:dyDescent="0.25">
      <c r="D219" s="8"/>
      <c r="E219" s="8"/>
      <c r="F219" s="3"/>
      <c r="G219" s="9"/>
      <c r="O219" s="3"/>
    </row>
    <row r="220" spans="4:15" x14ac:dyDescent="0.25">
      <c r="D220" s="8"/>
      <c r="E220" s="8"/>
      <c r="F220" s="3"/>
      <c r="G220" s="9"/>
      <c r="O220" s="3"/>
    </row>
    <row r="221" spans="4:15" x14ac:dyDescent="0.25">
      <c r="D221" s="8"/>
      <c r="E221" s="8"/>
      <c r="F221" s="3"/>
      <c r="G221" s="9"/>
      <c r="O221" s="3"/>
    </row>
    <row r="222" spans="4:15" x14ac:dyDescent="0.25">
      <c r="D222" s="8"/>
      <c r="E222" s="8"/>
      <c r="F222" s="3"/>
      <c r="G222" s="9"/>
      <c r="O222" s="3"/>
    </row>
    <row r="223" spans="4:15" x14ac:dyDescent="0.25">
      <c r="D223" s="8"/>
      <c r="E223" s="8"/>
      <c r="F223" s="3"/>
      <c r="G223" s="9"/>
      <c r="O223" s="3"/>
    </row>
    <row r="224" spans="4:15" x14ac:dyDescent="0.25">
      <c r="D224" s="8"/>
      <c r="E224" s="8"/>
      <c r="F224" s="3"/>
      <c r="G224" s="9"/>
      <c r="O224" s="3"/>
    </row>
    <row r="225" spans="4:15" x14ac:dyDescent="0.25">
      <c r="D225" s="8"/>
      <c r="E225" s="8"/>
      <c r="F225" s="3"/>
      <c r="G225" s="9"/>
      <c r="O225" s="3"/>
    </row>
    <row r="226" spans="4:15" x14ac:dyDescent="0.25">
      <c r="D226" s="8"/>
      <c r="E226" s="8"/>
      <c r="F226" s="3"/>
      <c r="G226" s="9"/>
      <c r="O226" s="3"/>
    </row>
    <row r="227" spans="4:15" x14ac:dyDescent="0.25">
      <c r="D227" s="8"/>
      <c r="E227" s="8"/>
      <c r="F227" s="3"/>
      <c r="O227" s="3"/>
    </row>
    <row r="228" spans="4:15" x14ac:dyDescent="0.25">
      <c r="D228" s="8"/>
      <c r="E228" s="8"/>
      <c r="F228" s="3"/>
      <c r="G228" s="9"/>
      <c r="O228" s="3"/>
    </row>
    <row r="229" spans="4:15" x14ac:dyDescent="0.25">
      <c r="D229" s="8"/>
      <c r="E229" s="8"/>
      <c r="F229" s="3"/>
      <c r="G229" s="9"/>
      <c r="O229" s="3"/>
    </row>
    <row r="230" spans="4:15" x14ac:dyDescent="0.25">
      <c r="D230" s="8"/>
      <c r="E230" s="8"/>
      <c r="F230" s="3"/>
      <c r="G230" s="9"/>
      <c r="O230" s="3"/>
    </row>
    <row r="231" spans="4:15" x14ac:dyDescent="0.25">
      <c r="D231" s="8"/>
      <c r="E231" s="8"/>
      <c r="F231" s="3"/>
      <c r="G231" s="9"/>
      <c r="O231" s="3"/>
    </row>
    <row r="232" spans="4:15" x14ac:dyDescent="0.25">
      <c r="D232" s="8"/>
      <c r="E232" s="8"/>
      <c r="F232" s="3"/>
      <c r="G232" s="9"/>
      <c r="O232" s="3"/>
    </row>
    <row r="233" spans="4:15" x14ac:dyDescent="0.25">
      <c r="D233" s="8"/>
      <c r="E233" s="8"/>
      <c r="F233" s="3"/>
      <c r="G233" s="9"/>
      <c r="O233" s="3"/>
    </row>
    <row r="234" spans="4:15" x14ac:dyDescent="0.25">
      <c r="D234" s="8"/>
      <c r="E234" s="8"/>
      <c r="F234" s="3"/>
      <c r="G234" s="9"/>
      <c r="O234" s="3"/>
    </row>
    <row r="235" spans="4:15" x14ac:dyDescent="0.25">
      <c r="D235" s="8"/>
      <c r="E235" s="8"/>
      <c r="F235" s="3"/>
      <c r="G235" s="9"/>
      <c r="O235" s="3"/>
    </row>
    <row r="236" spans="4:15" x14ac:dyDescent="0.25">
      <c r="D236" s="8"/>
      <c r="E236" s="8"/>
      <c r="F236" s="3"/>
      <c r="G236" s="9"/>
      <c r="O236" s="3"/>
    </row>
    <row r="237" spans="4:15" x14ac:dyDescent="0.25">
      <c r="D237" s="8"/>
      <c r="E237" s="8"/>
      <c r="F237" s="3"/>
      <c r="G237" s="9"/>
      <c r="O237" s="3"/>
    </row>
    <row r="238" spans="4:15" x14ac:dyDescent="0.25">
      <c r="D238" s="8"/>
      <c r="E238" s="8"/>
      <c r="F238" s="3"/>
      <c r="G238" s="9"/>
      <c r="O238" s="3"/>
    </row>
    <row r="239" spans="4:15" x14ac:dyDescent="0.25">
      <c r="D239" s="8"/>
      <c r="E239" s="8"/>
      <c r="F239" s="3"/>
      <c r="G239" s="9"/>
      <c r="O239" s="3"/>
    </row>
    <row r="240" spans="4:15" x14ac:dyDescent="0.25">
      <c r="D240" s="8"/>
      <c r="E240" s="8"/>
      <c r="F240" s="3"/>
      <c r="G240" s="9"/>
      <c r="O240" s="3"/>
    </row>
    <row r="241" spans="4:15" x14ac:dyDescent="0.25">
      <c r="D241" s="8"/>
      <c r="E241" s="8"/>
      <c r="F241" s="3"/>
      <c r="G241" s="9"/>
      <c r="O241" s="3"/>
    </row>
    <row r="242" spans="4:15" x14ac:dyDescent="0.25">
      <c r="D242" s="8"/>
      <c r="E242" s="8"/>
      <c r="F242" s="3"/>
      <c r="G242" s="9"/>
      <c r="O242" s="3"/>
    </row>
    <row r="243" spans="4:15" x14ac:dyDescent="0.25">
      <c r="D243" s="8"/>
      <c r="E243" s="8"/>
      <c r="F243" s="3"/>
      <c r="G243" s="9"/>
      <c r="O243" s="3"/>
    </row>
    <row r="244" spans="4:15" x14ac:dyDescent="0.25">
      <c r="D244" s="8"/>
      <c r="E244" s="8"/>
      <c r="F244" s="3"/>
      <c r="G244" s="9"/>
      <c r="O244" s="3"/>
    </row>
    <row r="245" spans="4:15" x14ac:dyDescent="0.25">
      <c r="D245" s="8"/>
      <c r="E245" s="8"/>
      <c r="F245" s="3"/>
      <c r="G245" s="9"/>
      <c r="O245" s="3"/>
    </row>
    <row r="246" spans="4:15" x14ac:dyDescent="0.25">
      <c r="D246" s="8"/>
      <c r="E246" s="8"/>
      <c r="F246" s="3"/>
      <c r="G246" s="9"/>
      <c r="O246" s="3"/>
    </row>
    <row r="247" spans="4:15" x14ac:dyDescent="0.25">
      <c r="D247" s="8"/>
      <c r="E247" s="8"/>
      <c r="F247" s="3"/>
      <c r="G247" s="9"/>
      <c r="O247" s="3"/>
    </row>
    <row r="248" spans="4:15" x14ac:dyDescent="0.25">
      <c r="D248" s="8"/>
      <c r="E248" s="8"/>
      <c r="F248" s="3"/>
      <c r="G248" s="9"/>
      <c r="O248" s="3"/>
    </row>
    <row r="249" spans="4:15" x14ac:dyDescent="0.25">
      <c r="D249" s="8"/>
      <c r="E249" s="8"/>
      <c r="F249" s="3"/>
      <c r="G249" s="9"/>
      <c r="O249" s="3"/>
    </row>
    <row r="250" spans="4:15" x14ac:dyDescent="0.25">
      <c r="D250" s="8"/>
      <c r="E250" s="8"/>
      <c r="F250" s="3"/>
      <c r="G250" s="9"/>
      <c r="O250" s="3"/>
    </row>
    <row r="251" spans="4:15" x14ac:dyDescent="0.25">
      <c r="D251" s="8"/>
      <c r="E251" s="8"/>
      <c r="F251" s="3"/>
      <c r="G251" s="9"/>
      <c r="O251" s="3"/>
    </row>
    <row r="252" spans="4:15" x14ac:dyDescent="0.25">
      <c r="D252" s="8"/>
      <c r="E252" s="8"/>
      <c r="F252" s="3"/>
      <c r="O252" s="3"/>
    </row>
    <row r="253" spans="4:15" x14ac:dyDescent="0.25">
      <c r="D253" s="8"/>
      <c r="E253" s="8"/>
      <c r="F253" s="3"/>
      <c r="G253" s="9"/>
      <c r="O253" s="3"/>
    </row>
    <row r="254" spans="4:15" x14ac:dyDescent="0.25">
      <c r="D254" s="8"/>
      <c r="E254" s="8"/>
      <c r="F254" s="3"/>
      <c r="G254" s="9"/>
      <c r="O254" s="3"/>
    </row>
    <row r="255" spans="4:15" x14ac:dyDescent="0.25">
      <c r="D255" s="8"/>
      <c r="E255" s="8"/>
      <c r="F255" s="3"/>
      <c r="G255" s="9"/>
      <c r="O255" s="3"/>
    </row>
    <row r="256" spans="4:15" x14ac:dyDescent="0.25">
      <c r="D256" s="8"/>
      <c r="E256" s="8"/>
      <c r="F256" s="3"/>
      <c r="G256" s="9"/>
      <c r="O256" s="3"/>
    </row>
    <row r="257" spans="4:15" x14ac:dyDescent="0.25">
      <c r="D257" s="8"/>
      <c r="E257" s="8"/>
      <c r="F257" s="3"/>
      <c r="G257" s="9"/>
      <c r="O257" s="3"/>
    </row>
    <row r="258" spans="4:15" x14ac:dyDescent="0.25">
      <c r="D258" s="8"/>
      <c r="E258" s="8"/>
      <c r="F258" s="3"/>
      <c r="G258" s="9"/>
      <c r="O258" s="3"/>
    </row>
    <row r="259" spans="4:15" x14ac:dyDescent="0.25">
      <c r="D259" s="8"/>
      <c r="E259" s="8"/>
      <c r="F259" s="3"/>
      <c r="G259" s="9"/>
      <c r="O259" s="3"/>
    </row>
    <row r="260" spans="4:15" x14ac:dyDescent="0.25">
      <c r="D260" s="8"/>
      <c r="E260" s="8"/>
      <c r="F260" s="3"/>
      <c r="G260" s="9"/>
      <c r="O260" s="3"/>
    </row>
    <row r="261" spans="4:15" x14ac:dyDescent="0.25">
      <c r="D261" s="8"/>
      <c r="E261" s="8"/>
      <c r="F261" s="3"/>
      <c r="G261" s="9"/>
      <c r="O261" s="3"/>
    </row>
    <row r="262" spans="4:15" x14ac:dyDescent="0.25">
      <c r="D262" s="8"/>
      <c r="E262" s="8"/>
      <c r="F262" s="3"/>
      <c r="G262" s="9"/>
      <c r="O262" s="3"/>
    </row>
    <row r="263" spans="4:15" x14ac:dyDescent="0.25">
      <c r="D263" s="8"/>
      <c r="E263" s="8"/>
      <c r="F263" s="3"/>
      <c r="G263" s="9"/>
      <c r="O263" s="3"/>
    </row>
    <row r="264" spans="4:15" x14ac:dyDescent="0.25">
      <c r="D264" s="8"/>
      <c r="E264" s="8"/>
      <c r="F264" s="3"/>
      <c r="G264" s="9"/>
      <c r="O264" s="3"/>
    </row>
    <row r="265" spans="4:15" x14ac:dyDescent="0.25">
      <c r="D265" s="8"/>
      <c r="E265" s="8"/>
      <c r="F265" s="3"/>
      <c r="G265" s="9"/>
      <c r="O265" s="3"/>
    </row>
    <row r="266" spans="4:15" x14ac:dyDescent="0.25">
      <c r="D266" s="8"/>
      <c r="E266" s="8"/>
      <c r="F266" s="3"/>
      <c r="G266" s="9"/>
      <c r="O266" s="3"/>
    </row>
    <row r="267" spans="4:15" x14ac:dyDescent="0.25">
      <c r="D267" s="8"/>
      <c r="E267" s="8"/>
      <c r="F267" s="3"/>
      <c r="G267" s="9"/>
      <c r="O267" s="3"/>
    </row>
    <row r="268" spans="4:15" x14ac:dyDescent="0.25">
      <c r="D268" s="8"/>
      <c r="E268" s="8"/>
      <c r="F268" s="3"/>
      <c r="G268" s="9"/>
      <c r="O268" s="3"/>
    </row>
    <row r="269" spans="4:15" x14ac:dyDescent="0.25">
      <c r="D269" s="8"/>
      <c r="E269" s="8"/>
      <c r="F269" s="3"/>
      <c r="G269" s="9"/>
      <c r="O269" s="3"/>
    </row>
    <row r="270" spans="4:15" x14ac:dyDescent="0.25">
      <c r="D270" s="8"/>
      <c r="E270" s="8"/>
      <c r="F270" s="3"/>
      <c r="G270" s="9"/>
      <c r="O270" s="3"/>
    </row>
    <row r="271" spans="4:15" x14ac:dyDescent="0.25">
      <c r="D271" s="8"/>
      <c r="E271" s="8"/>
      <c r="F271" s="3"/>
      <c r="G271" s="9"/>
      <c r="O271" s="3"/>
    </row>
    <row r="272" spans="4:15" x14ac:dyDescent="0.25">
      <c r="D272" s="8"/>
      <c r="E272" s="8"/>
      <c r="F272" s="3"/>
      <c r="G272" s="9"/>
      <c r="O272" s="3"/>
    </row>
    <row r="273" spans="4:15" x14ac:dyDescent="0.25">
      <c r="D273" s="8"/>
      <c r="E273" s="8"/>
      <c r="F273" s="3"/>
      <c r="G273" s="9"/>
      <c r="O273" s="3"/>
    </row>
    <row r="274" spans="4:15" x14ac:dyDescent="0.25">
      <c r="D274" s="8"/>
      <c r="E274" s="8"/>
      <c r="F274" s="3"/>
      <c r="G274" s="9"/>
      <c r="O274" s="3"/>
    </row>
    <row r="275" spans="4:15" x14ac:dyDescent="0.25">
      <c r="D275" s="8"/>
      <c r="E275" s="8"/>
      <c r="F275" s="3"/>
      <c r="G275" s="9"/>
      <c r="O275" s="3"/>
    </row>
    <row r="276" spans="4:15" x14ac:dyDescent="0.25">
      <c r="D276" s="8"/>
      <c r="E276" s="8"/>
      <c r="F276" s="3"/>
      <c r="G276" s="9"/>
      <c r="O276" s="3"/>
    </row>
    <row r="277" spans="4:15" x14ac:dyDescent="0.25">
      <c r="D277" s="8"/>
      <c r="E277" s="8"/>
      <c r="F277" s="3"/>
      <c r="O277" s="3"/>
    </row>
    <row r="278" spans="4:15" x14ac:dyDescent="0.25">
      <c r="D278" s="8"/>
      <c r="E278" s="8"/>
      <c r="F278" s="3"/>
      <c r="G278" s="9"/>
      <c r="O278" s="3"/>
    </row>
    <row r="279" spans="4:15" x14ac:dyDescent="0.25">
      <c r="D279" s="8"/>
      <c r="E279" s="8"/>
      <c r="F279" s="3"/>
      <c r="G279" s="9"/>
      <c r="O279" s="3"/>
    </row>
    <row r="280" spans="4:15" x14ac:dyDescent="0.25">
      <c r="D280" s="8"/>
      <c r="E280" s="8"/>
      <c r="F280" s="3"/>
      <c r="G280" s="9"/>
      <c r="O280" s="3"/>
    </row>
    <row r="281" spans="4:15" x14ac:dyDescent="0.25">
      <c r="D281" s="8"/>
      <c r="E281" s="8"/>
      <c r="F281" s="3"/>
      <c r="G281" s="9"/>
      <c r="O281" s="3"/>
    </row>
    <row r="282" spans="4:15" x14ac:dyDescent="0.25">
      <c r="D282" s="8"/>
      <c r="E282" s="8"/>
      <c r="F282" s="3"/>
      <c r="G282" s="9"/>
      <c r="O282" s="3"/>
    </row>
    <row r="283" spans="4:15" x14ac:dyDescent="0.25">
      <c r="D283" s="8"/>
      <c r="E283" s="8"/>
      <c r="F283" s="3"/>
      <c r="G283" s="9"/>
      <c r="O283" s="3"/>
    </row>
    <row r="284" spans="4:15" x14ac:dyDescent="0.25">
      <c r="D284" s="8"/>
      <c r="E284" s="8"/>
      <c r="F284" s="3"/>
      <c r="G284" s="9"/>
      <c r="O284" s="3"/>
    </row>
    <row r="285" spans="4:15" x14ac:dyDescent="0.25">
      <c r="D285" s="8"/>
      <c r="E285" s="8"/>
      <c r="F285" s="3"/>
      <c r="G285" s="9"/>
      <c r="O285" s="3"/>
    </row>
    <row r="286" spans="4:15" x14ac:dyDescent="0.25">
      <c r="D286" s="8"/>
      <c r="E286" s="8"/>
      <c r="F286" s="3"/>
      <c r="G286" s="9"/>
      <c r="O286" s="3"/>
    </row>
    <row r="287" spans="4:15" x14ac:dyDescent="0.25">
      <c r="D287" s="8"/>
      <c r="E287" s="8"/>
      <c r="F287" s="3"/>
      <c r="G287" s="9"/>
      <c r="O287" s="3"/>
    </row>
    <row r="288" spans="4:15" x14ac:dyDescent="0.25">
      <c r="D288" s="8"/>
      <c r="E288" s="8"/>
      <c r="F288" s="3"/>
      <c r="G288" s="9"/>
      <c r="O288" s="3"/>
    </row>
    <row r="289" spans="4:15" x14ac:dyDescent="0.25">
      <c r="D289" s="8"/>
      <c r="E289" s="8"/>
      <c r="F289" s="3"/>
      <c r="G289" s="9"/>
      <c r="O289" s="3"/>
    </row>
    <row r="290" spans="4:15" x14ac:dyDescent="0.25">
      <c r="D290" s="8"/>
      <c r="E290" s="8"/>
      <c r="F290" s="3"/>
      <c r="G290" s="9"/>
      <c r="O290" s="3"/>
    </row>
    <row r="291" spans="4:15" x14ac:dyDescent="0.25">
      <c r="D291" s="8"/>
      <c r="E291" s="8"/>
      <c r="F291" s="3"/>
      <c r="G291" s="9"/>
      <c r="O291" s="3"/>
    </row>
    <row r="292" spans="4:15" x14ac:dyDescent="0.25">
      <c r="D292" s="8"/>
      <c r="E292" s="8"/>
      <c r="F292" s="3"/>
      <c r="G292" s="9"/>
      <c r="O292" s="3"/>
    </row>
    <row r="293" spans="4:15" x14ac:dyDescent="0.25">
      <c r="D293" s="8"/>
      <c r="E293" s="8"/>
      <c r="F293" s="3"/>
      <c r="G293" s="9"/>
      <c r="O293" s="3"/>
    </row>
    <row r="294" spans="4:15" x14ac:dyDescent="0.25">
      <c r="D294" s="8"/>
      <c r="E294" s="8"/>
      <c r="F294" s="3"/>
      <c r="G294" s="9"/>
      <c r="O294" s="3"/>
    </row>
    <row r="295" spans="4:15" x14ac:dyDescent="0.25">
      <c r="D295" s="8"/>
      <c r="E295" s="8"/>
      <c r="F295" s="3"/>
      <c r="G295" s="9"/>
      <c r="O295" s="3"/>
    </row>
    <row r="296" spans="4:15" x14ac:dyDescent="0.25">
      <c r="D296" s="8"/>
      <c r="E296" s="8"/>
      <c r="F296" s="3"/>
      <c r="G296" s="9"/>
      <c r="O296" s="3"/>
    </row>
    <row r="297" spans="4:15" x14ac:dyDescent="0.25">
      <c r="D297" s="8"/>
      <c r="E297" s="8"/>
      <c r="F297" s="3"/>
      <c r="G297" s="9"/>
      <c r="O297" s="3"/>
    </row>
    <row r="298" spans="4:15" x14ac:dyDescent="0.25">
      <c r="D298" s="8"/>
      <c r="E298" s="8"/>
      <c r="F298" s="3"/>
      <c r="G298" s="9"/>
      <c r="O298" s="3"/>
    </row>
    <row r="299" spans="4:15" x14ac:dyDescent="0.25">
      <c r="D299" s="8"/>
      <c r="E299" s="8"/>
      <c r="F299" s="3"/>
      <c r="G299" s="9"/>
      <c r="O299" s="3"/>
    </row>
    <row r="300" spans="4:15" x14ac:dyDescent="0.25">
      <c r="D300" s="8"/>
      <c r="E300" s="8"/>
      <c r="F300" s="3"/>
      <c r="G300" s="9"/>
      <c r="O300" s="3"/>
    </row>
    <row r="301" spans="4:15" x14ac:dyDescent="0.25">
      <c r="D301" s="8"/>
      <c r="E301" s="8"/>
      <c r="F301" s="3"/>
      <c r="G301" s="9"/>
      <c r="O301" s="3"/>
    </row>
    <row r="302" spans="4:15" x14ac:dyDescent="0.25">
      <c r="D302" s="8"/>
      <c r="E302" s="8"/>
      <c r="F302" s="3"/>
      <c r="O302" s="3"/>
    </row>
    <row r="303" spans="4:15" x14ac:dyDescent="0.25">
      <c r="D303" s="8"/>
      <c r="E303" s="8"/>
      <c r="F303" s="3"/>
      <c r="G303" s="9"/>
      <c r="O303" s="3"/>
    </row>
    <row r="304" spans="4:15" x14ac:dyDescent="0.25">
      <c r="D304" s="8"/>
      <c r="E304" s="8"/>
      <c r="F304" s="3"/>
      <c r="G304" s="9"/>
      <c r="O304" s="3"/>
    </row>
    <row r="305" spans="4:15" x14ac:dyDescent="0.25">
      <c r="D305" s="8"/>
      <c r="E305" s="8"/>
      <c r="F305" s="3"/>
      <c r="G305" s="9"/>
      <c r="O305" s="3"/>
    </row>
    <row r="306" spans="4:15" x14ac:dyDescent="0.25">
      <c r="D306" s="8"/>
      <c r="E306" s="8"/>
      <c r="F306" s="3"/>
      <c r="G306" s="9"/>
      <c r="O306" s="3"/>
    </row>
    <row r="307" spans="4:15" x14ac:dyDescent="0.25">
      <c r="D307" s="8"/>
      <c r="E307" s="8"/>
      <c r="F307" s="3"/>
      <c r="G307" s="9"/>
      <c r="O307" s="3"/>
    </row>
    <row r="308" spans="4:15" x14ac:dyDescent="0.25">
      <c r="D308" s="8"/>
      <c r="E308" s="8"/>
      <c r="F308" s="3"/>
      <c r="G308" s="9"/>
      <c r="O308" s="3"/>
    </row>
    <row r="309" spans="4:15" x14ac:dyDescent="0.25">
      <c r="D309" s="8"/>
      <c r="E309" s="8"/>
      <c r="F309" s="3"/>
      <c r="G309" s="9"/>
      <c r="O309" s="3"/>
    </row>
    <row r="310" spans="4:15" x14ac:dyDescent="0.25">
      <c r="D310" s="8"/>
      <c r="E310" s="8"/>
      <c r="F310" s="3"/>
      <c r="G310" s="9"/>
      <c r="O310" s="3"/>
    </row>
    <row r="311" spans="4:15" x14ac:dyDescent="0.25">
      <c r="D311" s="8"/>
      <c r="E311" s="8"/>
      <c r="F311" s="3"/>
      <c r="G311" s="9"/>
      <c r="O311" s="3"/>
    </row>
    <row r="312" spans="4:15" x14ac:dyDescent="0.25">
      <c r="D312" s="8"/>
      <c r="E312" s="8"/>
      <c r="F312" s="3"/>
      <c r="G312" s="9"/>
      <c r="O312" s="3"/>
    </row>
    <row r="313" spans="4:15" x14ac:dyDescent="0.25">
      <c r="D313" s="8"/>
      <c r="E313" s="8"/>
      <c r="F313" s="3"/>
      <c r="G313" s="9"/>
      <c r="O313" s="3"/>
    </row>
    <row r="314" spans="4:15" x14ac:dyDescent="0.25">
      <c r="D314" s="8"/>
      <c r="E314" s="8"/>
      <c r="F314" s="3"/>
      <c r="G314" s="9"/>
      <c r="O314" s="3"/>
    </row>
    <row r="315" spans="4:15" x14ac:dyDescent="0.25">
      <c r="D315" s="8"/>
      <c r="E315" s="8"/>
      <c r="F315" s="3"/>
      <c r="G315" s="9"/>
      <c r="O315" s="3"/>
    </row>
    <row r="316" spans="4:15" x14ac:dyDescent="0.25">
      <c r="D316" s="8"/>
      <c r="E316" s="8"/>
      <c r="F316" s="3"/>
      <c r="G316" s="9"/>
      <c r="O316" s="3"/>
    </row>
    <row r="317" spans="4:15" x14ac:dyDescent="0.25">
      <c r="D317" s="8"/>
      <c r="E317" s="8"/>
      <c r="F317" s="3"/>
      <c r="G317" s="9"/>
      <c r="O317" s="3"/>
    </row>
    <row r="318" spans="4:15" x14ac:dyDescent="0.25">
      <c r="D318" s="8"/>
      <c r="E318" s="8"/>
      <c r="F318" s="3"/>
      <c r="G318" s="9"/>
      <c r="O318" s="3"/>
    </row>
    <row r="319" spans="4:15" x14ac:dyDescent="0.25">
      <c r="D319" s="8"/>
      <c r="E319" s="8"/>
      <c r="F319" s="3"/>
      <c r="G319" s="9"/>
      <c r="O319" s="3"/>
    </row>
    <row r="320" spans="4:15" x14ac:dyDescent="0.25">
      <c r="D320" s="8"/>
      <c r="E320" s="8"/>
      <c r="F320" s="3"/>
      <c r="G320" s="9"/>
      <c r="O320" s="3"/>
    </row>
    <row r="321" spans="4:15" x14ac:dyDescent="0.25">
      <c r="D321" s="8"/>
      <c r="E321" s="8"/>
      <c r="F321" s="3"/>
      <c r="G321" s="9"/>
      <c r="O321" s="3"/>
    </row>
    <row r="322" spans="4:15" x14ac:dyDescent="0.25">
      <c r="D322" s="8"/>
      <c r="E322" s="8"/>
      <c r="F322" s="3"/>
      <c r="G322" s="9"/>
      <c r="O322" s="3"/>
    </row>
    <row r="323" spans="4:15" x14ac:dyDescent="0.25">
      <c r="D323" s="8"/>
      <c r="E323" s="8"/>
      <c r="F323" s="3"/>
      <c r="G323" s="9"/>
      <c r="O323" s="3"/>
    </row>
    <row r="324" spans="4:15" x14ac:dyDescent="0.25">
      <c r="D324" s="8"/>
      <c r="E324" s="8"/>
      <c r="F324" s="3"/>
      <c r="G324" s="9"/>
      <c r="O324" s="3"/>
    </row>
    <row r="325" spans="4:15" x14ac:dyDescent="0.25">
      <c r="D325" s="8"/>
      <c r="E325" s="8"/>
      <c r="F325" s="3"/>
      <c r="G325" s="9"/>
      <c r="O325" s="3"/>
    </row>
    <row r="326" spans="4:15" x14ac:dyDescent="0.25">
      <c r="D326" s="8"/>
      <c r="E326" s="8"/>
      <c r="F326" s="3"/>
      <c r="G326" s="9"/>
      <c r="O326" s="3"/>
    </row>
    <row r="327" spans="4:15" x14ac:dyDescent="0.25">
      <c r="D327" s="8"/>
      <c r="E327" s="8"/>
      <c r="F327" s="3"/>
      <c r="O327" s="3"/>
    </row>
    <row r="328" spans="4:15" x14ac:dyDescent="0.25">
      <c r="D328" s="8"/>
      <c r="E328" s="8"/>
      <c r="F328" s="3"/>
      <c r="G328" s="9"/>
      <c r="O328" s="3"/>
    </row>
    <row r="329" spans="4:15" x14ac:dyDescent="0.25">
      <c r="D329" s="8"/>
      <c r="E329" s="8"/>
      <c r="F329" s="3"/>
      <c r="G329" s="9"/>
      <c r="O329" s="3"/>
    </row>
    <row r="330" spans="4:15" x14ac:dyDescent="0.25">
      <c r="D330" s="8"/>
      <c r="E330" s="8"/>
      <c r="F330" s="3"/>
      <c r="G330" s="9"/>
      <c r="O330" s="3"/>
    </row>
    <row r="331" spans="4:15" x14ac:dyDescent="0.25">
      <c r="D331" s="8"/>
      <c r="E331" s="8"/>
      <c r="F331" s="3"/>
      <c r="G331" s="9"/>
      <c r="O331" s="3"/>
    </row>
    <row r="332" spans="4:15" x14ac:dyDescent="0.25">
      <c r="D332" s="8"/>
      <c r="E332" s="8"/>
      <c r="F332" s="3"/>
      <c r="G332" s="9"/>
      <c r="O332" s="3"/>
    </row>
    <row r="333" spans="4:15" x14ac:dyDescent="0.25">
      <c r="D333" s="8"/>
      <c r="E333" s="8"/>
      <c r="F333" s="3"/>
      <c r="G333" s="9"/>
      <c r="O333" s="3"/>
    </row>
    <row r="334" spans="4:15" x14ac:dyDescent="0.25">
      <c r="D334" s="8"/>
      <c r="E334" s="8"/>
      <c r="F334" s="3"/>
      <c r="G334" s="9"/>
      <c r="O334" s="3"/>
    </row>
    <row r="335" spans="4:15" x14ac:dyDescent="0.25">
      <c r="D335" s="8"/>
      <c r="E335" s="8"/>
      <c r="F335" s="3"/>
      <c r="G335" s="9"/>
      <c r="O335" s="3"/>
    </row>
    <row r="336" spans="4:15" x14ac:dyDescent="0.25">
      <c r="D336" s="8"/>
      <c r="E336" s="8"/>
      <c r="F336" s="3"/>
      <c r="G336" s="9"/>
      <c r="O336" s="3"/>
    </row>
    <row r="337" spans="4:15" x14ac:dyDescent="0.25">
      <c r="D337" s="8"/>
      <c r="E337" s="8"/>
      <c r="F337" s="3"/>
      <c r="G337" s="9"/>
      <c r="O337" s="3"/>
    </row>
    <row r="338" spans="4:15" x14ac:dyDescent="0.25">
      <c r="D338" s="8"/>
      <c r="E338" s="8"/>
      <c r="F338" s="3"/>
      <c r="G338" s="9"/>
      <c r="O338" s="3"/>
    </row>
    <row r="339" spans="4:15" x14ac:dyDescent="0.25">
      <c r="D339" s="8"/>
      <c r="E339" s="8"/>
      <c r="F339" s="3"/>
      <c r="G339" s="9"/>
      <c r="O339" s="3"/>
    </row>
    <row r="340" spans="4:15" x14ac:dyDescent="0.25">
      <c r="D340" s="8"/>
      <c r="E340" s="8"/>
      <c r="F340" s="3"/>
      <c r="G340" s="9"/>
      <c r="O340" s="3"/>
    </row>
    <row r="341" spans="4:15" x14ac:dyDescent="0.25">
      <c r="D341" s="8"/>
      <c r="E341" s="8"/>
      <c r="F341" s="3"/>
      <c r="G341" s="9"/>
      <c r="O341" s="3"/>
    </row>
    <row r="342" spans="4:15" x14ac:dyDescent="0.25">
      <c r="D342" s="8"/>
      <c r="E342" s="8"/>
      <c r="F342" s="3"/>
      <c r="G342" s="9"/>
      <c r="O342" s="3"/>
    </row>
    <row r="343" spans="4:15" x14ac:dyDescent="0.25">
      <c r="D343" s="8"/>
      <c r="E343" s="8"/>
      <c r="F343" s="3"/>
      <c r="G343" s="9"/>
      <c r="O343" s="3"/>
    </row>
    <row r="344" spans="4:15" x14ac:dyDescent="0.25">
      <c r="D344" s="8"/>
      <c r="E344" s="8"/>
      <c r="F344" s="3"/>
      <c r="G344" s="9"/>
      <c r="O344" s="3"/>
    </row>
    <row r="345" spans="4:15" x14ac:dyDescent="0.25">
      <c r="D345" s="8"/>
      <c r="E345" s="8"/>
      <c r="F345" s="3"/>
      <c r="G345" s="9"/>
      <c r="O345" s="3"/>
    </row>
    <row r="346" spans="4:15" x14ac:dyDescent="0.25">
      <c r="D346" s="8"/>
      <c r="E346" s="8"/>
      <c r="F346" s="3"/>
      <c r="G346" s="9"/>
      <c r="O346" s="3"/>
    </row>
    <row r="347" spans="4:15" x14ac:dyDescent="0.25">
      <c r="D347" s="8"/>
      <c r="E347" s="8"/>
      <c r="F347" s="3"/>
      <c r="G347" s="9"/>
      <c r="O347" s="3"/>
    </row>
    <row r="348" spans="4:15" x14ac:dyDescent="0.25">
      <c r="D348" s="8"/>
      <c r="E348" s="8"/>
      <c r="F348" s="3"/>
      <c r="G348" s="9"/>
      <c r="O348" s="3"/>
    </row>
    <row r="349" spans="4:15" x14ac:dyDescent="0.25">
      <c r="D349" s="8"/>
      <c r="E349" s="8"/>
      <c r="F349" s="3"/>
      <c r="G349" s="9"/>
      <c r="O349" s="3"/>
    </row>
    <row r="350" spans="4:15" x14ac:dyDescent="0.25">
      <c r="D350" s="8"/>
      <c r="E350" s="8"/>
      <c r="F350" s="3"/>
      <c r="G350" s="9"/>
      <c r="O350" s="3"/>
    </row>
    <row r="351" spans="4:15" x14ac:dyDescent="0.25">
      <c r="D351" s="8"/>
      <c r="E351" s="8"/>
      <c r="F351" s="3"/>
      <c r="G351" s="9"/>
      <c r="O351" s="3"/>
    </row>
    <row r="352" spans="4:15" x14ac:dyDescent="0.25">
      <c r="D352" s="8"/>
      <c r="E352" s="8"/>
      <c r="F352" s="3"/>
      <c r="O352" s="3"/>
    </row>
    <row r="353" spans="4:15" x14ac:dyDescent="0.25">
      <c r="D353" s="8"/>
      <c r="E353" s="8"/>
      <c r="F353" s="3"/>
      <c r="G353" s="9"/>
      <c r="O353" s="3"/>
    </row>
    <row r="354" spans="4:15" x14ac:dyDescent="0.25">
      <c r="D354" s="8"/>
      <c r="E354" s="8"/>
      <c r="F354" s="3"/>
      <c r="G354" s="9"/>
      <c r="O354" s="3"/>
    </row>
    <row r="355" spans="4:15" x14ac:dyDescent="0.25">
      <c r="D355" s="8"/>
      <c r="E355" s="8"/>
      <c r="F355" s="3"/>
      <c r="G355" s="9"/>
      <c r="O355" s="3"/>
    </row>
    <row r="356" spans="4:15" x14ac:dyDescent="0.25">
      <c r="D356" s="8"/>
      <c r="E356" s="8"/>
      <c r="F356" s="3"/>
      <c r="G356" s="9"/>
      <c r="O356" s="3"/>
    </row>
    <row r="357" spans="4:15" x14ac:dyDescent="0.25">
      <c r="D357" s="8"/>
      <c r="E357" s="8"/>
      <c r="F357" s="3"/>
      <c r="G357" s="9"/>
      <c r="O357" s="3"/>
    </row>
    <row r="358" spans="4:15" x14ac:dyDescent="0.25">
      <c r="D358" s="8"/>
      <c r="E358" s="8"/>
      <c r="F358" s="3"/>
      <c r="G358" s="9"/>
      <c r="O358" s="3"/>
    </row>
    <row r="359" spans="4:15" x14ac:dyDescent="0.25">
      <c r="D359" s="8"/>
      <c r="E359" s="8"/>
      <c r="F359" s="3"/>
      <c r="G359" s="9"/>
      <c r="O359" s="3"/>
    </row>
    <row r="360" spans="4:15" x14ac:dyDescent="0.25">
      <c r="D360" s="8"/>
      <c r="E360" s="8"/>
      <c r="F360" s="3"/>
      <c r="G360" s="9"/>
      <c r="O360" s="3"/>
    </row>
    <row r="361" spans="4:15" x14ac:dyDescent="0.25">
      <c r="D361" s="8"/>
      <c r="E361" s="8"/>
      <c r="F361" s="3"/>
      <c r="G361" s="9"/>
      <c r="O361" s="3"/>
    </row>
    <row r="362" spans="4:15" x14ac:dyDescent="0.25">
      <c r="D362" s="8"/>
      <c r="E362" s="8"/>
      <c r="F362" s="3"/>
      <c r="G362" s="9"/>
      <c r="O362" s="3"/>
    </row>
    <row r="363" spans="4:15" x14ac:dyDescent="0.25">
      <c r="D363" s="8"/>
      <c r="E363" s="8"/>
      <c r="F363" s="3"/>
      <c r="G363" s="9"/>
      <c r="O363" s="3"/>
    </row>
    <row r="364" spans="4:15" x14ac:dyDescent="0.25">
      <c r="D364" s="8"/>
      <c r="E364" s="8"/>
      <c r="F364" s="3"/>
      <c r="G364" s="9"/>
      <c r="O364" s="3"/>
    </row>
    <row r="365" spans="4:15" x14ac:dyDescent="0.25">
      <c r="D365" s="8"/>
      <c r="E365" s="8"/>
      <c r="F365" s="3"/>
      <c r="G365" s="9"/>
      <c r="O365" s="3"/>
    </row>
    <row r="366" spans="4:15" x14ac:dyDescent="0.25">
      <c r="D366" s="8"/>
      <c r="E366" s="8"/>
      <c r="F366" s="3"/>
      <c r="G366" s="9"/>
      <c r="O366" s="3"/>
    </row>
    <row r="367" spans="4:15" x14ac:dyDescent="0.25">
      <c r="D367" s="8"/>
      <c r="E367" s="8"/>
      <c r="F367" s="3"/>
      <c r="G367" s="9"/>
      <c r="O367" s="3"/>
    </row>
    <row r="368" spans="4:15" x14ac:dyDescent="0.25">
      <c r="D368" s="8"/>
      <c r="E368" s="8"/>
      <c r="F368" s="3"/>
      <c r="G368" s="9"/>
      <c r="O368" s="3"/>
    </row>
    <row r="369" spans="4:15" x14ac:dyDescent="0.25">
      <c r="D369" s="8"/>
      <c r="E369" s="8"/>
      <c r="F369" s="3"/>
      <c r="G369" s="9"/>
      <c r="O369" s="3"/>
    </row>
    <row r="370" spans="4:15" x14ac:dyDescent="0.25">
      <c r="D370" s="8"/>
      <c r="E370" s="8"/>
      <c r="F370" s="3"/>
      <c r="G370" s="9"/>
      <c r="O370" s="3"/>
    </row>
    <row r="371" spans="4:15" x14ac:dyDescent="0.25">
      <c r="D371" s="8"/>
      <c r="E371" s="8"/>
      <c r="F371" s="3"/>
      <c r="G371" s="9"/>
      <c r="O371" s="3"/>
    </row>
    <row r="372" spans="4:15" x14ac:dyDescent="0.25">
      <c r="D372" s="8"/>
      <c r="E372" s="8"/>
      <c r="F372" s="3"/>
      <c r="G372" s="9"/>
      <c r="O372" s="3"/>
    </row>
    <row r="373" spans="4:15" x14ac:dyDescent="0.25">
      <c r="D373" s="8"/>
      <c r="E373" s="8"/>
      <c r="F373" s="3"/>
      <c r="G373" s="9"/>
      <c r="O373" s="3"/>
    </row>
    <row r="374" spans="4:15" x14ac:dyDescent="0.25">
      <c r="D374" s="8"/>
      <c r="E374" s="8"/>
      <c r="F374" s="3"/>
      <c r="G374" s="9"/>
      <c r="O374" s="3"/>
    </row>
    <row r="375" spans="4:15" x14ac:dyDescent="0.25">
      <c r="D375" s="8"/>
      <c r="E375" s="8"/>
      <c r="F375" s="3"/>
      <c r="G375" s="9"/>
      <c r="O375" s="3"/>
    </row>
    <row r="376" spans="4:15" x14ac:dyDescent="0.25">
      <c r="D376" s="8"/>
      <c r="E376" s="8"/>
      <c r="F376" s="3"/>
      <c r="G376" s="9"/>
      <c r="O376" s="3"/>
    </row>
    <row r="377" spans="4:15" x14ac:dyDescent="0.25">
      <c r="D377" s="8"/>
      <c r="E377" s="8"/>
      <c r="F377" s="3"/>
      <c r="O377" s="3"/>
    </row>
    <row r="378" spans="4:15" x14ac:dyDescent="0.25">
      <c r="D378" s="8"/>
      <c r="E378" s="8"/>
      <c r="F378" s="3"/>
      <c r="G378" s="9"/>
      <c r="O378" s="3"/>
    </row>
    <row r="379" spans="4:15" x14ac:dyDescent="0.25">
      <c r="D379" s="8"/>
      <c r="E379" s="8"/>
      <c r="F379" s="3"/>
      <c r="G379" s="9"/>
      <c r="O379" s="3"/>
    </row>
    <row r="380" spans="4:15" x14ac:dyDescent="0.25">
      <c r="D380" s="8"/>
      <c r="E380" s="8"/>
      <c r="F380" s="3"/>
      <c r="G380" s="9"/>
      <c r="O380" s="3"/>
    </row>
    <row r="381" spans="4:15" x14ac:dyDescent="0.25">
      <c r="D381" s="8"/>
      <c r="E381" s="8"/>
      <c r="F381" s="3"/>
      <c r="G381" s="9"/>
      <c r="O381" s="3"/>
    </row>
    <row r="382" spans="4:15" x14ac:dyDescent="0.25">
      <c r="D382" s="8"/>
      <c r="E382" s="8"/>
      <c r="F382" s="3"/>
      <c r="G382" s="9"/>
      <c r="O382" s="3"/>
    </row>
    <row r="383" spans="4:15" x14ac:dyDescent="0.25">
      <c r="D383" s="8"/>
      <c r="E383" s="8"/>
      <c r="F383" s="3"/>
      <c r="G383" s="9"/>
      <c r="O383" s="3"/>
    </row>
    <row r="384" spans="4:15" x14ac:dyDescent="0.25">
      <c r="D384" s="8"/>
      <c r="E384" s="8"/>
      <c r="F384" s="3"/>
      <c r="G384" s="9"/>
      <c r="O384" s="3"/>
    </row>
    <row r="385" spans="4:15" x14ac:dyDescent="0.25">
      <c r="D385" s="8"/>
      <c r="E385" s="8"/>
      <c r="F385" s="3"/>
      <c r="G385" s="9"/>
      <c r="O385" s="3"/>
    </row>
    <row r="386" spans="4:15" x14ac:dyDescent="0.25">
      <c r="D386" s="8"/>
      <c r="E386" s="8"/>
      <c r="F386" s="3"/>
      <c r="G386" s="9"/>
      <c r="O386" s="3"/>
    </row>
    <row r="387" spans="4:15" x14ac:dyDescent="0.25">
      <c r="D387" s="8"/>
      <c r="E387" s="8"/>
      <c r="F387" s="3"/>
      <c r="G387" s="9"/>
      <c r="O387" s="3"/>
    </row>
    <row r="388" spans="4:15" x14ac:dyDescent="0.25">
      <c r="D388" s="8"/>
      <c r="E388" s="8"/>
      <c r="F388" s="3"/>
      <c r="G388" s="9"/>
      <c r="O388" s="3"/>
    </row>
    <row r="389" spans="4:15" x14ac:dyDescent="0.25">
      <c r="D389" s="8"/>
      <c r="E389" s="8"/>
      <c r="F389" s="3"/>
      <c r="G389" s="9"/>
      <c r="O389" s="3"/>
    </row>
    <row r="390" spans="4:15" x14ac:dyDescent="0.25">
      <c r="D390" s="8"/>
      <c r="E390" s="8"/>
      <c r="F390" s="3"/>
      <c r="G390" s="9"/>
      <c r="O390" s="3"/>
    </row>
    <row r="391" spans="4:15" x14ac:dyDescent="0.25">
      <c r="D391" s="8"/>
      <c r="E391" s="8"/>
      <c r="F391" s="3"/>
      <c r="G391" s="9"/>
      <c r="O391" s="3"/>
    </row>
    <row r="392" spans="4:15" x14ac:dyDescent="0.25">
      <c r="D392" s="8"/>
      <c r="E392" s="8"/>
      <c r="F392" s="3"/>
      <c r="G392" s="9"/>
      <c r="O392" s="3"/>
    </row>
    <row r="393" spans="4:15" x14ac:dyDescent="0.25">
      <c r="D393" s="8"/>
      <c r="E393" s="8"/>
      <c r="F393" s="3"/>
      <c r="G393" s="9"/>
      <c r="O393" s="3"/>
    </row>
    <row r="394" spans="4:15" x14ac:dyDescent="0.25">
      <c r="D394" s="8"/>
      <c r="E394" s="8"/>
      <c r="F394" s="3"/>
      <c r="G394" s="9"/>
      <c r="O394" s="3"/>
    </row>
    <row r="395" spans="4:15" x14ac:dyDescent="0.25">
      <c r="D395" s="8"/>
      <c r="E395" s="8"/>
      <c r="F395" s="3"/>
      <c r="G395" s="9"/>
      <c r="O395" s="3"/>
    </row>
    <row r="396" spans="4:15" x14ac:dyDescent="0.25">
      <c r="D396" s="8"/>
      <c r="E396" s="8"/>
      <c r="F396" s="3"/>
      <c r="G396" s="9"/>
      <c r="O396" s="3"/>
    </row>
    <row r="397" spans="4:15" x14ac:dyDescent="0.25">
      <c r="D397" s="8"/>
      <c r="E397" s="8"/>
      <c r="F397" s="3"/>
      <c r="G397" s="9"/>
      <c r="O397" s="3"/>
    </row>
    <row r="398" spans="4:15" x14ac:dyDescent="0.25">
      <c r="D398" s="8"/>
      <c r="E398" s="8"/>
      <c r="F398" s="3"/>
      <c r="G398" s="9"/>
      <c r="O398" s="3"/>
    </row>
    <row r="399" spans="4:15" x14ac:dyDescent="0.25">
      <c r="D399" s="8"/>
      <c r="E399" s="8"/>
      <c r="F399" s="3"/>
      <c r="G399" s="9"/>
      <c r="O399" s="3"/>
    </row>
    <row r="400" spans="4:15" x14ac:dyDescent="0.25">
      <c r="D400" s="8"/>
      <c r="E400" s="8"/>
      <c r="F400" s="3"/>
      <c r="G400" s="9"/>
      <c r="O400" s="3"/>
    </row>
    <row r="401" spans="4:15" x14ac:dyDescent="0.25">
      <c r="D401" s="8"/>
      <c r="E401" s="8"/>
      <c r="F401" s="3"/>
      <c r="G401" s="9"/>
      <c r="O401" s="3"/>
    </row>
    <row r="402" spans="4:15" x14ac:dyDescent="0.25">
      <c r="D402" s="8"/>
      <c r="E402" s="8"/>
      <c r="F402" s="3"/>
      <c r="O402" s="3"/>
    </row>
    <row r="403" spans="4:15" x14ac:dyDescent="0.25">
      <c r="D403" s="8"/>
      <c r="E403" s="8"/>
      <c r="F403" s="3"/>
      <c r="G403" s="9"/>
      <c r="O403" s="3"/>
    </row>
    <row r="404" spans="4:15" x14ac:dyDescent="0.25">
      <c r="D404" s="8"/>
      <c r="E404" s="8"/>
      <c r="F404" s="3"/>
      <c r="G404" s="9"/>
      <c r="O404" s="3"/>
    </row>
    <row r="405" spans="4:15" x14ac:dyDescent="0.25">
      <c r="D405" s="8"/>
      <c r="E405" s="8"/>
      <c r="F405" s="3"/>
      <c r="G405" s="9"/>
      <c r="O405" s="3"/>
    </row>
    <row r="406" spans="4:15" x14ac:dyDescent="0.25">
      <c r="D406" s="8"/>
      <c r="E406" s="8"/>
      <c r="F406" s="3"/>
      <c r="G406" s="9"/>
      <c r="O406" s="3"/>
    </row>
    <row r="407" spans="4:15" x14ac:dyDescent="0.25">
      <c r="D407" s="8"/>
      <c r="E407" s="8"/>
      <c r="F407" s="3"/>
      <c r="G407" s="9"/>
      <c r="O407" s="3"/>
    </row>
    <row r="408" spans="4:15" x14ac:dyDescent="0.25">
      <c r="D408" s="8"/>
      <c r="E408" s="8"/>
      <c r="F408" s="3"/>
      <c r="G408" s="9"/>
      <c r="O408" s="3"/>
    </row>
    <row r="409" spans="4:15" x14ac:dyDescent="0.25">
      <c r="D409" s="8"/>
      <c r="E409" s="8"/>
      <c r="F409" s="3"/>
      <c r="G409" s="9"/>
      <c r="O409" s="3"/>
    </row>
    <row r="410" spans="4:15" x14ac:dyDescent="0.25">
      <c r="D410" s="8"/>
      <c r="E410" s="8"/>
      <c r="F410" s="3"/>
      <c r="G410" s="9"/>
      <c r="O410" s="3"/>
    </row>
    <row r="411" spans="4:15" x14ac:dyDescent="0.25">
      <c r="D411" s="8"/>
      <c r="E411" s="8"/>
      <c r="F411" s="3"/>
      <c r="G411" s="9"/>
      <c r="O411" s="3"/>
    </row>
    <row r="412" spans="4:15" x14ac:dyDescent="0.25">
      <c r="D412" s="8"/>
      <c r="E412" s="8"/>
      <c r="F412" s="3"/>
      <c r="G412" s="9"/>
      <c r="O412" s="3"/>
    </row>
    <row r="413" spans="4:15" x14ac:dyDescent="0.25">
      <c r="D413" s="8"/>
      <c r="E413" s="8"/>
      <c r="F413" s="3"/>
      <c r="G413" s="9"/>
      <c r="O413" s="3"/>
    </row>
    <row r="414" spans="4:15" x14ac:dyDescent="0.25">
      <c r="D414" s="8"/>
      <c r="E414" s="8"/>
      <c r="F414" s="3"/>
      <c r="G414" s="9"/>
      <c r="O414" s="3"/>
    </row>
    <row r="415" spans="4:15" x14ac:dyDescent="0.25">
      <c r="D415" s="8"/>
      <c r="E415" s="8"/>
      <c r="F415" s="3"/>
      <c r="G415" s="9"/>
      <c r="O415" s="3"/>
    </row>
    <row r="416" spans="4:15" x14ac:dyDescent="0.25">
      <c r="D416" s="8"/>
      <c r="E416" s="8"/>
      <c r="F416" s="3"/>
      <c r="G416" s="9"/>
      <c r="O416" s="3"/>
    </row>
    <row r="417" spans="4:15" x14ac:dyDescent="0.25">
      <c r="D417" s="8"/>
      <c r="E417" s="8"/>
      <c r="F417" s="3"/>
      <c r="G417" s="9"/>
      <c r="O417" s="3"/>
    </row>
    <row r="418" spans="4:15" x14ac:dyDescent="0.25">
      <c r="D418" s="8"/>
      <c r="E418" s="8"/>
      <c r="F418" s="3"/>
      <c r="G418" s="9"/>
      <c r="O418" s="3"/>
    </row>
    <row r="419" spans="4:15" x14ac:dyDescent="0.25">
      <c r="D419" s="8"/>
      <c r="E419" s="8"/>
      <c r="F419" s="3"/>
      <c r="G419" s="9"/>
      <c r="O419" s="3"/>
    </row>
    <row r="420" spans="4:15" x14ac:dyDescent="0.25">
      <c r="D420" s="8"/>
      <c r="E420" s="8"/>
      <c r="F420" s="3"/>
      <c r="G420" s="9"/>
      <c r="O420" s="3"/>
    </row>
    <row r="421" spans="4:15" x14ac:dyDescent="0.25">
      <c r="D421" s="8"/>
      <c r="E421" s="8"/>
      <c r="F421" s="3"/>
      <c r="G421" s="9"/>
      <c r="O421" s="3"/>
    </row>
    <row r="422" spans="4:15" x14ac:dyDescent="0.25">
      <c r="D422" s="8"/>
      <c r="E422" s="8"/>
      <c r="F422" s="3"/>
      <c r="G422" s="9"/>
      <c r="O422" s="3"/>
    </row>
    <row r="423" spans="4:15" x14ac:dyDescent="0.25">
      <c r="D423" s="8"/>
      <c r="E423" s="8"/>
      <c r="F423" s="3"/>
      <c r="G423" s="9"/>
      <c r="O423" s="3"/>
    </row>
    <row r="424" spans="4:15" x14ac:dyDescent="0.25">
      <c r="D424" s="8"/>
      <c r="E424" s="8"/>
      <c r="F424" s="3"/>
      <c r="G424" s="9"/>
      <c r="O424" s="3"/>
    </row>
    <row r="425" spans="4:15" x14ac:dyDescent="0.25">
      <c r="D425" s="8"/>
      <c r="E425" s="8"/>
      <c r="F425" s="3"/>
      <c r="G425" s="9"/>
      <c r="O425" s="3"/>
    </row>
    <row r="426" spans="4:15" x14ac:dyDescent="0.25">
      <c r="D426" s="8"/>
      <c r="E426" s="8"/>
      <c r="F426" s="3"/>
      <c r="G426" s="9"/>
      <c r="O426" s="3"/>
    </row>
    <row r="427" spans="4:15" x14ac:dyDescent="0.25">
      <c r="D427" s="8"/>
      <c r="E427" s="8"/>
      <c r="F427" s="3"/>
      <c r="O427" s="3"/>
    </row>
    <row r="428" spans="4:15" x14ac:dyDescent="0.25">
      <c r="D428" s="8"/>
      <c r="E428" s="8"/>
      <c r="F428" s="3"/>
      <c r="G428" s="9"/>
      <c r="O428" s="3"/>
    </row>
    <row r="429" spans="4:15" x14ac:dyDescent="0.25">
      <c r="D429" s="8"/>
      <c r="E429" s="8"/>
      <c r="F429" s="3"/>
      <c r="G429" s="9"/>
      <c r="O429" s="3"/>
    </row>
    <row r="430" spans="4:15" x14ac:dyDescent="0.25">
      <c r="D430" s="8"/>
      <c r="E430" s="8"/>
      <c r="F430" s="3"/>
      <c r="G430" s="9"/>
      <c r="O430" s="3"/>
    </row>
    <row r="431" spans="4:15" x14ac:dyDescent="0.25">
      <c r="D431" s="8"/>
      <c r="E431" s="8"/>
      <c r="F431" s="3"/>
      <c r="G431" s="9"/>
      <c r="O431" s="3"/>
    </row>
    <row r="432" spans="4:15" x14ac:dyDescent="0.25">
      <c r="D432" s="8"/>
      <c r="E432" s="8"/>
      <c r="F432" s="3"/>
      <c r="G432" s="9"/>
      <c r="O432" s="3"/>
    </row>
    <row r="433" spans="4:15" x14ac:dyDescent="0.25">
      <c r="D433" s="8"/>
      <c r="E433" s="8"/>
      <c r="F433" s="3"/>
      <c r="G433" s="9"/>
      <c r="O433" s="3"/>
    </row>
    <row r="434" spans="4:15" x14ac:dyDescent="0.25">
      <c r="D434" s="8"/>
      <c r="E434" s="8"/>
      <c r="F434" s="3"/>
      <c r="G434" s="9"/>
      <c r="O434" s="3"/>
    </row>
    <row r="435" spans="4:15" x14ac:dyDescent="0.25">
      <c r="D435" s="8"/>
      <c r="E435" s="8"/>
      <c r="F435" s="3"/>
      <c r="G435" s="9"/>
      <c r="O435" s="3"/>
    </row>
    <row r="436" spans="4:15" x14ac:dyDescent="0.25">
      <c r="D436" s="8"/>
      <c r="E436" s="8"/>
      <c r="F436" s="3"/>
      <c r="G436" s="9"/>
      <c r="O436" s="3"/>
    </row>
    <row r="437" spans="4:15" x14ac:dyDescent="0.25">
      <c r="D437" s="8"/>
      <c r="E437" s="8"/>
      <c r="F437" s="3"/>
      <c r="G437" s="9"/>
      <c r="O437" s="3"/>
    </row>
    <row r="438" spans="4:15" x14ac:dyDescent="0.25">
      <c r="D438" s="8"/>
      <c r="E438" s="8"/>
      <c r="F438" s="3"/>
      <c r="G438" s="9"/>
      <c r="O438" s="3"/>
    </row>
    <row r="439" spans="4:15" x14ac:dyDescent="0.25">
      <c r="D439" s="8"/>
      <c r="E439" s="8"/>
      <c r="F439" s="3"/>
      <c r="G439" s="9"/>
      <c r="O439" s="3"/>
    </row>
    <row r="440" spans="4:15" x14ac:dyDescent="0.25">
      <c r="D440" s="8"/>
      <c r="E440" s="8"/>
      <c r="F440" s="3"/>
      <c r="G440" s="9"/>
      <c r="O440" s="3"/>
    </row>
    <row r="441" spans="4:15" x14ac:dyDescent="0.25">
      <c r="D441" s="8"/>
      <c r="E441" s="8"/>
      <c r="F441" s="3"/>
      <c r="G441" s="9"/>
      <c r="O441" s="3"/>
    </row>
    <row r="442" spans="4:15" x14ac:dyDescent="0.25">
      <c r="D442" s="8"/>
      <c r="E442" s="8"/>
      <c r="F442" s="3"/>
      <c r="G442" s="9"/>
      <c r="O442" s="3"/>
    </row>
    <row r="443" spans="4:15" x14ac:dyDescent="0.25">
      <c r="D443" s="8"/>
      <c r="E443" s="8"/>
      <c r="F443" s="3"/>
      <c r="G443" s="9"/>
      <c r="O443" s="3"/>
    </row>
    <row r="444" spans="4:15" x14ac:dyDescent="0.25">
      <c r="D444" s="8"/>
      <c r="E444" s="8"/>
      <c r="F444" s="3"/>
      <c r="G444" s="9"/>
      <c r="O444" s="3"/>
    </row>
    <row r="445" spans="4:15" x14ac:dyDescent="0.25">
      <c r="D445" s="8"/>
      <c r="E445" s="8"/>
      <c r="F445" s="3"/>
      <c r="G445" s="9"/>
      <c r="O445" s="3"/>
    </row>
    <row r="446" spans="4:15" x14ac:dyDescent="0.25">
      <c r="D446" s="8"/>
      <c r="E446" s="8"/>
      <c r="F446" s="3"/>
      <c r="G446" s="9"/>
      <c r="O446" s="3"/>
    </row>
    <row r="447" spans="4:15" x14ac:dyDescent="0.25">
      <c r="D447" s="8"/>
      <c r="E447" s="8"/>
      <c r="F447" s="3"/>
      <c r="G447" s="9"/>
      <c r="O447" s="3"/>
    </row>
    <row r="448" spans="4:15" x14ac:dyDescent="0.25">
      <c r="D448" s="8"/>
      <c r="E448" s="8"/>
      <c r="F448" s="3"/>
      <c r="G448" s="9"/>
      <c r="O448" s="3"/>
    </row>
    <row r="449" spans="4:15" x14ac:dyDescent="0.25">
      <c r="D449" s="8"/>
      <c r="E449" s="8"/>
      <c r="F449" s="3"/>
      <c r="G449" s="9"/>
      <c r="O449" s="3"/>
    </row>
    <row r="450" spans="4:15" x14ac:dyDescent="0.25">
      <c r="D450" s="8"/>
      <c r="E450" s="8"/>
      <c r="F450" s="3"/>
      <c r="G450" s="9"/>
      <c r="O450" s="3"/>
    </row>
    <row r="451" spans="4:15" x14ac:dyDescent="0.25">
      <c r="D451" s="8"/>
      <c r="E451" s="8"/>
      <c r="F451" s="3"/>
      <c r="G451" s="9"/>
      <c r="O451" s="3"/>
    </row>
    <row r="452" spans="4:15" x14ac:dyDescent="0.25">
      <c r="D452" s="8"/>
      <c r="E452" s="8"/>
      <c r="F452" s="3"/>
      <c r="O452" s="3"/>
    </row>
    <row r="453" spans="4:15" x14ac:dyDescent="0.25">
      <c r="D453" s="8"/>
      <c r="E453" s="8"/>
      <c r="F453" s="3"/>
      <c r="G453" s="9"/>
      <c r="O453" s="3"/>
    </row>
    <row r="454" spans="4:15" x14ac:dyDescent="0.25">
      <c r="D454" s="8"/>
      <c r="E454" s="8"/>
      <c r="F454" s="3"/>
      <c r="G454" s="9"/>
      <c r="O454" s="3"/>
    </row>
    <row r="455" spans="4:15" x14ac:dyDescent="0.25">
      <c r="D455" s="8"/>
      <c r="E455" s="8"/>
      <c r="F455" s="3"/>
      <c r="G455" s="9"/>
      <c r="O455" s="3"/>
    </row>
    <row r="456" spans="4:15" x14ac:dyDescent="0.25">
      <c r="D456" s="8"/>
      <c r="E456" s="8"/>
      <c r="F456" s="3"/>
      <c r="G456" s="9"/>
      <c r="O456" s="3"/>
    </row>
    <row r="457" spans="4:15" x14ac:dyDescent="0.25">
      <c r="D457" s="8"/>
      <c r="E457" s="8"/>
      <c r="F457" s="3"/>
      <c r="G457" s="9"/>
      <c r="O457" s="3"/>
    </row>
    <row r="458" spans="4:15" x14ac:dyDescent="0.25">
      <c r="D458" s="8"/>
      <c r="E458" s="8"/>
      <c r="F458" s="3"/>
      <c r="G458" s="9"/>
      <c r="O458" s="3"/>
    </row>
    <row r="459" spans="4:15" x14ac:dyDescent="0.25">
      <c r="D459" s="8"/>
      <c r="E459" s="8"/>
      <c r="F459" s="3"/>
      <c r="G459" s="9"/>
      <c r="O459" s="3"/>
    </row>
    <row r="460" spans="4:15" x14ac:dyDescent="0.25">
      <c r="D460" s="8"/>
      <c r="E460" s="8"/>
      <c r="F460" s="3"/>
      <c r="G460" s="9"/>
      <c r="O460" s="3"/>
    </row>
    <row r="461" spans="4:15" x14ac:dyDescent="0.25">
      <c r="D461" s="8"/>
      <c r="E461" s="8"/>
      <c r="F461" s="3"/>
      <c r="G461" s="9"/>
      <c r="O461" s="3"/>
    </row>
    <row r="462" spans="4:15" x14ac:dyDescent="0.25">
      <c r="D462" s="8"/>
      <c r="E462" s="8"/>
      <c r="F462" s="3"/>
      <c r="G462" s="9"/>
      <c r="O462" s="3"/>
    </row>
    <row r="463" spans="4:15" x14ac:dyDescent="0.25">
      <c r="D463" s="8"/>
      <c r="E463" s="8"/>
      <c r="F463" s="3"/>
      <c r="G463" s="9"/>
      <c r="O463" s="3"/>
    </row>
    <row r="464" spans="4:15" x14ac:dyDescent="0.25">
      <c r="D464" s="8"/>
      <c r="E464" s="8"/>
      <c r="F464" s="3"/>
      <c r="G464" s="9"/>
      <c r="O464" s="3"/>
    </row>
    <row r="465" spans="4:15" x14ac:dyDescent="0.25">
      <c r="D465" s="8"/>
      <c r="E465" s="8"/>
      <c r="F465" s="3"/>
      <c r="G465" s="9"/>
      <c r="O465" s="3"/>
    </row>
    <row r="466" spans="4:15" x14ac:dyDescent="0.25">
      <c r="D466" s="8"/>
      <c r="E466" s="8"/>
      <c r="F466" s="3"/>
      <c r="G466" s="9"/>
      <c r="O466" s="3"/>
    </row>
    <row r="467" spans="4:15" x14ac:dyDescent="0.25">
      <c r="D467" s="8"/>
      <c r="E467" s="8"/>
      <c r="F467" s="3"/>
      <c r="G467" s="9"/>
      <c r="O467" s="3"/>
    </row>
    <row r="468" spans="4:15" x14ac:dyDescent="0.25">
      <c r="D468" s="8"/>
      <c r="E468" s="8"/>
      <c r="F468" s="3"/>
      <c r="G468" s="9"/>
      <c r="O468" s="3"/>
    </row>
    <row r="469" spans="4:15" x14ac:dyDescent="0.25">
      <c r="D469" s="8"/>
      <c r="E469" s="8"/>
      <c r="F469" s="3"/>
      <c r="G469" s="9"/>
      <c r="O469" s="3"/>
    </row>
    <row r="470" spans="4:15" x14ac:dyDescent="0.25">
      <c r="D470" s="8"/>
      <c r="E470" s="8"/>
      <c r="F470" s="3"/>
      <c r="G470" s="9"/>
      <c r="O470" s="3"/>
    </row>
    <row r="471" spans="4:15" x14ac:dyDescent="0.25">
      <c r="D471" s="8"/>
      <c r="E471" s="8"/>
      <c r="F471" s="3"/>
      <c r="G471" s="9"/>
      <c r="O471" s="3"/>
    </row>
    <row r="472" spans="4:15" x14ac:dyDescent="0.25">
      <c r="D472" s="8"/>
      <c r="E472" s="8"/>
      <c r="F472" s="3"/>
      <c r="G472" s="9"/>
      <c r="O472" s="3"/>
    </row>
    <row r="473" spans="4:15" x14ac:dyDescent="0.25">
      <c r="D473" s="8"/>
      <c r="E473" s="8"/>
      <c r="F473" s="3"/>
      <c r="G473" s="9"/>
      <c r="O473" s="3"/>
    </row>
    <row r="474" spans="4:15" x14ac:dyDescent="0.25">
      <c r="D474" s="8"/>
      <c r="E474" s="8"/>
      <c r="F474" s="3"/>
      <c r="G474" s="9"/>
      <c r="O474" s="3"/>
    </row>
    <row r="475" spans="4:15" x14ac:dyDescent="0.25">
      <c r="D475" s="8"/>
      <c r="E475" s="8"/>
      <c r="F475" s="3"/>
      <c r="G475" s="9"/>
      <c r="O475" s="3"/>
    </row>
    <row r="476" spans="4:15" x14ac:dyDescent="0.25">
      <c r="D476" s="8"/>
      <c r="E476" s="8"/>
      <c r="F476" s="3"/>
      <c r="G476" s="9"/>
      <c r="O476" s="3"/>
    </row>
    <row r="477" spans="4:15" x14ac:dyDescent="0.25">
      <c r="D477" s="8"/>
      <c r="E477" s="8"/>
      <c r="F477" s="3"/>
      <c r="O477" s="3"/>
    </row>
    <row r="478" spans="4:15" x14ac:dyDescent="0.25">
      <c r="D478" s="8"/>
      <c r="E478" s="8"/>
      <c r="F478" s="3"/>
      <c r="G478" s="9"/>
      <c r="O478" s="3"/>
    </row>
    <row r="479" spans="4:15" x14ac:dyDescent="0.25">
      <c r="D479" s="8"/>
      <c r="E479" s="8"/>
      <c r="F479" s="3"/>
      <c r="G479" s="9"/>
      <c r="O479" s="3"/>
    </row>
    <row r="480" spans="4:15" x14ac:dyDescent="0.25">
      <c r="D480" s="8"/>
      <c r="E480" s="8"/>
      <c r="F480" s="3"/>
      <c r="G480" s="9"/>
      <c r="O480" s="3"/>
    </row>
    <row r="481" spans="4:15" x14ac:dyDescent="0.25">
      <c r="D481" s="8"/>
      <c r="E481" s="8"/>
      <c r="F481" s="3"/>
      <c r="G481" s="9"/>
      <c r="O481" s="3"/>
    </row>
    <row r="482" spans="4:15" x14ac:dyDescent="0.25">
      <c r="D482" s="8"/>
      <c r="E482" s="8"/>
      <c r="F482" s="3"/>
      <c r="G482" s="9"/>
      <c r="O482" s="3"/>
    </row>
    <row r="483" spans="4:15" x14ac:dyDescent="0.25">
      <c r="D483" s="8"/>
      <c r="E483" s="8"/>
      <c r="F483" s="3"/>
      <c r="G483" s="9"/>
      <c r="O483" s="3"/>
    </row>
    <row r="484" spans="4:15" x14ac:dyDescent="0.25">
      <c r="D484" s="8"/>
      <c r="E484" s="8"/>
      <c r="F484" s="3"/>
      <c r="G484" s="9"/>
      <c r="O484" s="3"/>
    </row>
    <row r="485" spans="4:15" x14ac:dyDescent="0.25">
      <c r="D485" s="8"/>
      <c r="E485" s="8"/>
      <c r="F485" s="3"/>
      <c r="G485" s="9"/>
      <c r="O485" s="3"/>
    </row>
    <row r="486" spans="4:15" x14ac:dyDescent="0.25">
      <c r="D486" s="8"/>
      <c r="E486" s="8"/>
      <c r="F486" s="3"/>
      <c r="G486" s="9"/>
      <c r="O486" s="3"/>
    </row>
    <row r="487" spans="4:15" x14ac:dyDescent="0.25">
      <c r="D487" s="8"/>
      <c r="E487" s="8"/>
      <c r="F487" s="3"/>
      <c r="G487" s="9"/>
      <c r="O487" s="3"/>
    </row>
    <row r="488" spans="4:15" x14ac:dyDescent="0.25">
      <c r="D488" s="8"/>
      <c r="E488" s="8"/>
      <c r="F488" s="3"/>
      <c r="G488" s="9"/>
      <c r="O488" s="3"/>
    </row>
    <row r="489" spans="4:15" x14ac:dyDescent="0.25">
      <c r="D489" s="8"/>
      <c r="E489" s="8"/>
      <c r="F489" s="3"/>
      <c r="G489" s="9"/>
      <c r="O489" s="3"/>
    </row>
    <row r="490" spans="4:15" x14ac:dyDescent="0.25">
      <c r="D490" s="8"/>
      <c r="E490" s="8"/>
      <c r="F490" s="3"/>
      <c r="G490" s="9"/>
      <c r="O490" s="3"/>
    </row>
    <row r="491" spans="4:15" x14ac:dyDescent="0.25">
      <c r="D491" s="8"/>
      <c r="E491" s="8"/>
      <c r="F491" s="3"/>
      <c r="G491" s="9"/>
      <c r="O491" s="3"/>
    </row>
    <row r="492" spans="4:15" x14ac:dyDescent="0.25">
      <c r="D492" s="8"/>
      <c r="E492" s="8"/>
      <c r="F492" s="3"/>
      <c r="G492" s="9"/>
      <c r="O492" s="3"/>
    </row>
    <row r="493" spans="4:15" x14ac:dyDescent="0.25">
      <c r="D493" s="8"/>
      <c r="E493" s="8"/>
      <c r="F493" s="3"/>
      <c r="G493" s="9"/>
      <c r="O493" s="3"/>
    </row>
    <row r="494" spans="4:15" x14ac:dyDescent="0.25">
      <c r="D494" s="8"/>
      <c r="E494" s="8"/>
      <c r="F494" s="3"/>
      <c r="G494" s="9"/>
      <c r="O494" s="3"/>
    </row>
    <row r="495" spans="4:15" x14ac:dyDescent="0.25">
      <c r="D495" s="8"/>
      <c r="E495" s="8"/>
      <c r="F495" s="3"/>
      <c r="G495" s="9"/>
      <c r="O495" s="3"/>
    </row>
    <row r="496" spans="4:15" x14ac:dyDescent="0.25">
      <c r="D496" s="8"/>
      <c r="E496" s="8"/>
      <c r="F496" s="3"/>
      <c r="G496" s="9"/>
      <c r="O496" s="3"/>
    </row>
    <row r="497" spans="4:15" x14ac:dyDescent="0.25">
      <c r="D497" s="8"/>
      <c r="E497" s="8"/>
      <c r="F497" s="3"/>
      <c r="G497" s="9"/>
      <c r="O497" s="3"/>
    </row>
    <row r="498" spans="4:15" x14ac:dyDescent="0.25">
      <c r="D498" s="8"/>
      <c r="E498" s="8"/>
      <c r="F498" s="3"/>
      <c r="G498" s="9"/>
      <c r="O498" s="3"/>
    </row>
    <row r="499" spans="4:15" x14ac:dyDescent="0.25">
      <c r="D499" s="8"/>
      <c r="E499" s="8"/>
      <c r="F499" s="3"/>
      <c r="G499" s="9"/>
      <c r="O499" s="3"/>
    </row>
    <row r="500" spans="4:15" x14ac:dyDescent="0.25">
      <c r="D500" s="8"/>
      <c r="E500" s="8"/>
      <c r="F500" s="3"/>
      <c r="G500" s="9"/>
      <c r="O500" s="3"/>
    </row>
    <row r="501" spans="4:15" x14ac:dyDescent="0.25">
      <c r="D501" s="8"/>
      <c r="E501" s="8"/>
      <c r="F501" s="3"/>
      <c r="G501" s="9"/>
      <c r="O501" s="3"/>
    </row>
    <row r="502" spans="4:15" x14ac:dyDescent="0.25">
      <c r="D502" s="8"/>
      <c r="E502" s="8"/>
      <c r="F502" s="3"/>
      <c r="O502" s="3"/>
    </row>
    <row r="503" spans="4:15" x14ac:dyDescent="0.25">
      <c r="D503" s="8"/>
      <c r="E503" s="8"/>
      <c r="F503" s="3"/>
      <c r="G503" s="9"/>
      <c r="O503" s="3"/>
    </row>
    <row r="504" spans="4:15" x14ac:dyDescent="0.25">
      <c r="D504" s="8"/>
      <c r="E504" s="8"/>
      <c r="F504" s="3"/>
      <c r="G504" s="9"/>
      <c r="O504" s="3"/>
    </row>
    <row r="505" spans="4:15" x14ac:dyDescent="0.25">
      <c r="D505" s="8"/>
      <c r="E505" s="8"/>
      <c r="F505" s="3"/>
      <c r="G505" s="9"/>
      <c r="O505" s="3"/>
    </row>
    <row r="506" spans="4:15" x14ac:dyDescent="0.25">
      <c r="D506" s="8"/>
      <c r="E506" s="8"/>
      <c r="F506" s="3"/>
      <c r="G506" s="9"/>
      <c r="O506" s="3"/>
    </row>
    <row r="507" spans="4:15" x14ac:dyDescent="0.25">
      <c r="D507" s="8"/>
      <c r="E507" s="8"/>
      <c r="F507" s="3"/>
      <c r="G507" s="9"/>
      <c r="O507" s="3"/>
    </row>
    <row r="508" spans="4:15" x14ac:dyDescent="0.25">
      <c r="D508" s="8"/>
      <c r="E508" s="8"/>
      <c r="F508" s="3"/>
      <c r="G508" s="9"/>
      <c r="O508" s="3"/>
    </row>
    <row r="509" spans="4:15" x14ac:dyDescent="0.25">
      <c r="D509" s="8"/>
      <c r="E509" s="8"/>
      <c r="F509" s="3"/>
      <c r="G509" s="9"/>
      <c r="O509" s="3"/>
    </row>
    <row r="510" spans="4:15" x14ac:dyDescent="0.25">
      <c r="D510" s="8"/>
      <c r="E510" s="8"/>
      <c r="F510" s="3"/>
      <c r="G510" s="9"/>
      <c r="O510" s="3"/>
    </row>
    <row r="511" spans="4:15" x14ac:dyDescent="0.25">
      <c r="D511" s="8"/>
      <c r="E511" s="8"/>
      <c r="F511" s="3"/>
      <c r="G511" s="9"/>
      <c r="O511" s="3"/>
    </row>
    <row r="512" spans="4:15" x14ac:dyDescent="0.25">
      <c r="D512" s="8"/>
      <c r="E512" s="8"/>
      <c r="F512" s="3"/>
      <c r="G512" s="9"/>
      <c r="O512" s="3"/>
    </row>
    <row r="513" spans="4:15" x14ac:dyDescent="0.25">
      <c r="D513" s="8"/>
      <c r="E513" s="8"/>
      <c r="F513" s="3"/>
      <c r="G513" s="9"/>
      <c r="O513" s="3"/>
    </row>
    <row r="514" spans="4:15" x14ac:dyDescent="0.25">
      <c r="D514" s="8"/>
      <c r="E514" s="8"/>
      <c r="F514" s="3"/>
      <c r="G514" s="9"/>
      <c r="O514" s="3"/>
    </row>
    <row r="515" spans="4:15" x14ac:dyDescent="0.25">
      <c r="D515" s="8"/>
      <c r="E515" s="8"/>
      <c r="F515" s="3"/>
      <c r="G515" s="9"/>
      <c r="O515" s="3"/>
    </row>
    <row r="516" spans="4:15" x14ac:dyDescent="0.25">
      <c r="D516" s="8"/>
      <c r="E516" s="8"/>
      <c r="F516" s="3"/>
      <c r="G516" s="9"/>
      <c r="O516" s="3"/>
    </row>
    <row r="517" spans="4:15" x14ac:dyDescent="0.25">
      <c r="D517" s="8"/>
      <c r="E517" s="8"/>
      <c r="F517" s="3"/>
      <c r="G517" s="9"/>
      <c r="O517" s="3"/>
    </row>
    <row r="518" spans="4:15" x14ac:dyDescent="0.25">
      <c r="D518" s="8"/>
      <c r="E518" s="8"/>
      <c r="F518" s="3"/>
      <c r="G518" s="9"/>
      <c r="O518" s="3"/>
    </row>
    <row r="519" spans="4:15" x14ac:dyDescent="0.25">
      <c r="D519" s="8"/>
      <c r="E519" s="8"/>
      <c r="F519" s="3"/>
      <c r="G519" s="9"/>
      <c r="O519" s="3"/>
    </row>
    <row r="520" spans="4:15" x14ac:dyDescent="0.25">
      <c r="D520" s="8"/>
      <c r="E520" s="8"/>
      <c r="F520" s="3"/>
      <c r="G520" s="9"/>
      <c r="O520" s="3"/>
    </row>
    <row r="521" spans="4:15" x14ac:dyDescent="0.25">
      <c r="D521" s="8"/>
      <c r="E521" s="8"/>
      <c r="F521" s="3"/>
      <c r="G521" s="9"/>
      <c r="O521" s="3"/>
    </row>
    <row r="522" spans="4:15" x14ac:dyDescent="0.25">
      <c r="D522" s="8"/>
      <c r="E522" s="8"/>
      <c r="F522" s="3"/>
      <c r="G522" s="9"/>
      <c r="O522" s="3"/>
    </row>
    <row r="523" spans="4:15" x14ac:dyDescent="0.25">
      <c r="D523" s="8"/>
      <c r="E523" s="8"/>
      <c r="F523" s="3"/>
      <c r="G523" s="9"/>
      <c r="O523" s="3"/>
    </row>
    <row r="524" spans="4:15" x14ac:dyDescent="0.25">
      <c r="D524" s="8"/>
      <c r="E524" s="8"/>
      <c r="F524" s="3"/>
      <c r="G524" s="9"/>
      <c r="O524" s="3"/>
    </row>
    <row r="525" spans="4:15" x14ac:dyDescent="0.25">
      <c r="D525" s="8"/>
      <c r="E525" s="8"/>
      <c r="F525" s="3"/>
      <c r="G525" s="9"/>
      <c r="O525" s="3"/>
    </row>
    <row r="526" spans="4:15" x14ac:dyDescent="0.25">
      <c r="D526" s="8"/>
      <c r="E526" s="8"/>
      <c r="F526" s="3"/>
      <c r="G526" s="9"/>
      <c r="O526" s="3"/>
    </row>
    <row r="527" spans="4:15" x14ac:dyDescent="0.25">
      <c r="D527" s="8"/>
      <c r="E527" s="8"/>
      <c r="F527" s="3"/>
      <c r="O527" s="3"/>
    </row>
    <row r="528" spans="4:15" x14ac:dyDescent="0.25">
      <c r="D528" s="8"/>
      <c r="E528" s="8"/>
      <c r="F528" s="3"/>
      <c r="G528" s="9"/>
      <c r="O528" s="3"/>
    </row>
    <row r="529" spans="4:15" x14ac:dyDescent="0.25">
      <c r="D529" s="8"/>
      <c r="E529" s="8"/>
      <c r="F529" s="3"/>
      <c r="G529" s="9"/>
      <c r="O529" s="3"/>
    </row>
    <row r="530" spans="4:15" x14ac:dyDescent="0.25">
      <c r="D530" s="8"/>
      <c r="E530" s="8"/>
      <c r="F530" s="3"/>
      <c r="G530" s="9"/>
      <c r="O530" s="3"/>
    </row>
    <row r="531" spans="4:15" x14ac:dyDescent="0.25">
      <c r="D531" s="8"/>
      <c r="E531" s="8"/>
      <c r="F531" s="3"/>
      <c r="G531" s="9"/>
      <c r="O531" s="3"/>
    </row>
    <row r="532" spans="4:15" x14ac:dyDescent="0.25">
      <c r="D532" s="8"/>
      <c r="E532" s="8"/>
      <c r="F532" s="3"/>
      <c r="G532" s="9"/>
      <c r="O532" s="3"/>
    </row>
    <row r="533" spans="4:15" x14ac:dyDescent="0.25">
      <c r="D533" s="8"/>
      <c r="E533" s="8"/>
      <c r="F533" s="3"/>
      <c r="G533" s="9"/>
      <c r="O533" s="3"/>
    </row>
    <row r="534" spans="4:15" x14ac:dyDescent="0.25">
      <c r="D534" s="8"/>
      <c r="E534" s="8"/>
      <c r="F534" s="3"/>
      <c r="G534" s="9"/>
      <c r="O534" s="3"/>
    </row>
    <row r="535" spans="4:15" x14ac:dyDescent="0.25">
      <c r="D535" s="8"/>
      <c r="E535" s="8"/>
      <c r="F535" s="3"/>
      <c r="G535" s="9"/>
      <c r="O535" s="3"/>
    </row>
    <row r="536" spans="4:15" x14ac:dyDescent="0.25">
      <c r="D536" s="8"/>
      <c r="E536" s="8"/>
      <c r="F536" s="3"/>
      <c r="G536" s="9"/>
      <c r="O536" s="3"/>
    </row>
    <row r="537" spans="4:15" x14ac:dyDescent="0.25">
      <c r="D537" s="8"/>
      <c r="E537" s="8"/>
      <c r="F537" s="3"/>
      <c r="G537" s="9"/>
      <c r="O537" s="3"/>
    </row>
    <row r="538" spans="4:15" x14ac:dyDescent="0.25">
      <c r="D538" s="8"/>
      <c r="E538" s="8"/>
      <c r="F538" s="3"/>
      <c r="G538" s="9"/>
      <c r="O538" s="3"/>
    </row>
    <row r="539" spans="4:15" x14ac:dyDescent="0.25">
      <c r="D539" s="8"/>
      <c r="E539" s="8"/>
      <c r="F539" s="3"/>
      <c r="G539" s="9"/>
      <c r="O539" s="3"/>
    </row>
    <row r="540" spans="4:15" x14ac:dyDescent="0.25">
      <c r="D540" s="8"/>
      <c r="E540" s="8"/>
      <c r="F540" s="3"/>
      <c r="G540" s="9"/>
      <c r="O540" s="3"/>
    </row>
    <row r="541" spans="4:15" x14ac:dyDescent="0.25">
      <c r="D541" s="8"/>
      <c r="E541" s="8"/>
      <c r="F541" s="3"/>
      <c r="G541" s="9"/>
      <c r="O541" s="3"/>
    </row>
    <row r="542" spans="4:15" x14ac:dyDescent="0.25">
      <c r="D542" s="8"/>
      <c r="E542" s="8"/>
      <c r="F542" s="3"/>
      <c r="G542" s="9"/>
      <c r="O542" s="3"/>
    </row>
    <row r="543" spans="4:15" x14ac:dyDescent="0.25">
      <c r="D543" s="8"/>
      <c r="E543" s="8"/>
      <c r="F543" s="3"/>
      <c r="G543" s="9"/>
      <c r="O543" s="3"/>
    </row>
    <row r="544" spans="4:15" x14ac:dyDescent="0.25">
      <c r="D544" s="8"/>
      <c r="E544" s="8"/>
      <c r="F544" s="3"/>
      <c r="G544" s="9"/>
      <c r="O544" s="3"/>
    </row>
    <row r="545" spans="4:15" x14ac:dyDescent="0.25">
      <c r="D545" s="8"/>
      <c r="E545" s="8"/>
      <c r="F545" s="3"/>
      <c r="G545" s="9"/>
      <c r="O545" s="3"/>
    </row>
    <row r="546" spans="4:15" x14ac:dyDescent="0.25">
      <c r="D546" s="8"/>
      <c r="E546" s="8"/>
      <c r="F546" s="3"/>
      <c r="G546" s="9"/>
      <c r="O546" s="3"/>
    </row>
    <row r="547" spans="4:15" x14ac:dyDescent="0.25">
      <c r="D547" s="8"/>
      <c r="E547" s="8"/>
      <c r="F547" s="3"/>
      <c r="G547" s="9"/>
      <c r="O547" s="3"/>
    </row>
    <row r="548" spans="4:15" x14ac:dyDescent="0.25">
      <c r="D548" s="8"/>
      <c r="E548" s="8"/>
      <c r="F548" s="3"/>
      <c r="G548" s="9"/>
      <c r="O548" s="3"/>
    </row>
    <row r="549" spans="4:15" x14ac:dyDescent="0.25">
      <c r="D549" s="8"/>
      <c r="E549" s="8"/>
      <c r="F549" s="3"/>
      <c r="G549" s="9"/>
      <c r="O549" s="3"/>
    </row>
    <row r="550" spans="4:15" x14ac:dyDescent="0.25">
      <c r="D550" s="8"/>
      <c r="E550" s="8"/>
      <c r="F550" s="3"/>
      <c r="G550" s="9"/>
      <c r="O550" s="3"/>
    </row>
    <row r="551" spans="4:15" x14ac:dyDescent="0.25">
      <c r="D551" s="8"/>
      <c r="E551" s="8"/>
      <c r="F551" s="3"/>
      <c r="G551" s="9"/>
      <c r="O551" s="3"/>
    </row>
    <row r="552" spans="4:15" x14ac:dyDescent="0.25">
      <c r="D552" s="8"/>
      <c r="E552" s="8"/>
      <c r="F552" s="3"/>
      <c r="O552" s="3"/>
    </row>
    <row r="553" spans="4:15" x14ac:dyDescent="0.25">
      <c r="D553" s="8"/>
      <c r="E553" s="8"/>
      <c r="F553" s="3"/>
      <c r="G553" s="9"/>
      <c r="O553" s="3"/>
    </row>
    <row r="554" spans="4:15" x14ac:dyDescent="0.25">
      <c r="D554" s="8"/>
      <c r="E554" s="8"/>
      <c r="F554" s="3"/>
      <c r="G554" s="9"/>
      <c r="O554" s="3"/>
    </row>
    <row r="555" spans="4:15" x14ac:dyDescent="0.25">
      <c r="D555" s="8"/>
      <c r="E555" s="8"/>
      <c r="F555" s="3"/>
      <c r="G555" s="9"/>
      <c r="O555" s="3"/>
    </row>
    <row r="556" spans="4:15" x14ac:dyDescent="0.25">
      <c r="D556" s="8"/>
      <c r="E556" s="8"/>
      <c r="F556" s="3"/>
      <c r="G556" s="9"/>
      <c r="O556" s="3"/>
    </row>
    <row r="557" spans="4:15" x14ac:dyDescent="0.25">
      <c r="D557" s="8"/>
      <c r="E557" s="8"/>
      <c r="F557" s="3"/>
      <c r="G557" s="9"/>
      <c r="O557" s="3"/>
    </row>
    <row r="558" spans="4:15" x14ac:dyDescent="0.25">
      <c r="D558" s="8"/>
      <c r="E558" s="8"/>
      <c r="F558" s="3"/>
      <c r="G558" s="9"/>
      <c r="O558" s="3"/>
    </row>
    <row r="559" spans="4:15" x14ac:dyDescent="0.25">
      <c r="D559" s="8"/>
      <c r="E559" s="8"/>
      <c r="F559" s="3"/>
      <c r="G559" s="9"/>
      <c r="O559" s="3"/>
    </row>
    <row r="560" spans="4:15" x14ac:dyDescent="0.25">
      <c r="D560" s="8"/>
      <c r="E560" s="8"/>
      <c r="F560" s="3"/>
      <c r="G560" s="9"/>
      <c r="O560" s="3"/>
    </row>
    <row r="561" spans="4:15" x14ac:dyDescent="0.25">
      <c r="D561" s="8"/>
      <c r="E561" s="8"/>
      <c r="F561" s="3"/>
      <c r="G561" s="9"/>
      <c r="O561" s="3"/>
    </row>
    <row r="562" spans="4:15" x14ac:dyDescent="0.25">
      <c r="D562" s="8"/>
      <c r="E562" s="8"/>
      <c r="F562" s="3"/>
      <c r="G562" s="9"/>
      <c r="O562" s="3"/>
    </row>
    <row r="563" spans="4:15" x14ac:dyDescent="0.25">
      <c r="D563" s="8"/>
      <c r="E563" s="8"/>
      <c r="F563" s="3"/>
      <c r="G563" s="9"/>
      <c r="O563" s="3"/>
    </row>
    <row r="564" spans="4:15" x14ac:dyDescent="0.25">
      <c r="D564" s="8"/>
      <c r="E564" s="8"/>
      <c r="F564" s="3"/>
      <c r="G564" s="9"/>
      <c r="O564" s="3"/>
    </row>
    <row r="565" spans="4:15" x14ac:dyDescent="0.25">
      <c r="D565" s="8"/>
      <c r="E565" s="8"/>
      <c r="F565" s="3"/>
      <c r="G565" s="9"/>
      <c r="O565" s="3"/>
    </row>
    <row r="566" spans="4:15" x14ac:dyDescent="0.25">
      <c r="D566" s="8"/>
      <c r="E566" s="8"/>
      <c r="F566" s="3"/>
      <c r="G566" s="9"/>
      <c r="O566" s="3"/>
    </row>
    <row r="567" spans="4:15" x14ac:dyDescent="0.25">
      <c r="D567" s="8"/>
      <c r="E567" s="8"/>
      <c r="F567" s="3"/>
      <c r="G567" s="9"/>
      <c r="O567" s="3"/>
    </row>
    <row r="568" spans="4:15" x14ac:dyDescent="0.25">
      <c r="D568" s="8"/>
      <c r="E568" s="8"/>
      <c r="F568" s="3"/>
      <c r="G568" s="9"/>
      <c r="O568" s="3"/>
    </row>
    <row r="569" spans="4:15" x14ac:dyDescent="0.25">
      <c r="D569" s="8"/>
      <c r="E569" s="8"/>
      <c r="F569" s="3"/>
      <c r="G569" s="9"/>
      <c r="O569" s="3"/>
    </row>
    <row r="570" spans="4:15" x14ac:dyDescent="0.25">
      <c r="D570" s="8"/>
      <c r="E570" s="8"/>
      <c r="F570" s="3"/>
      <c r="G570" s="9"/>
      <c r="O570" s="3"/>
    </row>
    <row r="571" spans="4:15" x14ac:dyDescent="0.25">
      <c r="D571" s="8"/>
      <c r="E571" s="8"/>
      <c r="F571" s="3"/>
      <c r="G571" s="9"/>
      <c r="O571" s="3"/>
    </row>
    <row r="572" spans="4:15" x14ac:dyDescent="0.25">
      <c r="D572" s="8"/>
      <c r="E572" s="8"/>
      <c r="F572" s="3"/>
      <c r="G572" s="9"/>
      <c r="O572" s="3"/>
    </row>
    <row r="573" spans="4:15" x14ac:dyDescent="0.25">
      <c r="D573" s="8"/>
      <c r="E573" s="8"/>
      <c r="F573" s="3"/>
      <c r="G573" s="9"/>
      <c r="O573" s="3"/>
    </row>
    <row r="574" spans="4:15" x14ac:dyDescent="0.25">
      <c r="D574" s="8"/>
      <c r="E574" s="8"/>
      <c r="F574" s="3"/>
      <c r="G574" s="9"/>
      <c r="O574" s="3"/>
    </row>
    <row r="575" spans="4:15" x14ac:dyDescent="0.25">
      <c r="D575" s="8"/>
      <c r="E575" s="8"/>
      <c r="F575" s="3"/>
      <c r="G575" s="9"/>
      <c r="O575" s="3"/>
    </row>
    <row r="576" spans="4:15" x14ac:dyDescent="0.25">
      <c r="D576" s="8"/>
      <c r="E576" s="8"/>
      <c r="F576" s="3"/>
      <c r="G576" s="9"/>
      <c r="O576" s="3"/>
    </row>
    <row r="577" spans="4:15" x14ac:dyDescent="0.25">
      <c r="D577" s="8"/>
      <c r="E577" s="8"/>
      <c r="F577" s="3"/>
      <c r="O577" s="3"/>
    </row>
    <row r="578" spans="4:15" x14ac:dyDescent="0.25">
      <c r="D578" s="8"/>
      <c r="E578" s="8"/>
      <c r="F578" s="3"/>
      <c r="G578" s="9"/>
      <c r="O578" s="3"/>
    </row>
    <row r="579" spans="4:15" x14ac:dyDescent="0.25">
      <c r="D579" s="8"/>
      <c r="E579" s="8"/>
      <c r="F579" s="3"/>
      <c r="G579" s="9"/>
      <c r="O579" s="3"/>
    </row>
    <row r="580" spans="4:15" x14ac:dyDescent="0.25">
      <c r="D580" s="8"/>
      <c r="E580" s="8"/>
      <c r="F580" s="3"/>
      <c r="G580" s="9"/>
      <c r="O580" s="3"/>
    </row>
    <row r="581" spans="4:15" x14ac:dyDescent="0.25">
      <c r="D581" s="8"/>
      <c r="E581" s="8"/>
      <c r="F581" s="3"/>
      <c r="G581" s="9"/>
      <c r="O581" s="3"/>
    </row>
    <row r="582" spans="4:15" x14ac:dyDescent="0.25">
      <c r="D582" s="8"/>
      <c r="E582" s="8"/>
      <c r="F582" s="3"/>
      <c r="G582" s="9"/>
      <c r="O582" s="3"/>
    </row>
    <row r="583" spans="4:15" x14ac:dyDescent="0.25">
      <c r="D583" s="8"/>
      <c r="E583" s="8"/>
      <c r="F583" s="3"/>
      <c r="G583" s="9"/>
      <c r="O583" s="3"/>
    </row>
    <row r="584" spans="4:15" x14ac:dyDescent="0.25">
      <c r="D584" s="8"/>
      <c r="E584" s="8"/>
      <c r="F584" s="3"/>
      <c r="G584" s="9"/>
      <c r="O584" s="3"/>
    </row>
    <row r="585" spans="4:15" x14ac:dyDescent="0.25">
      <c r="D585" s="8"/>
      <c r="E585" s="8"/>
      <c r="F585" s="3"/>
      <c r="G585" s="9"/>
      <c r="O585" s="3"/>
    </row>
    <row r="586" spans="4:15" x14ac:dyDescent="0.25">
      <c r="D586" s="8"/>
      <c r="E586" s="8"/>
      <c r="F586" s="3"/>
      <c r="G586" s="9"/>
      <c r="O586" s="3"/>
    </row>
    <row r="587" spans="4:15" x14ac:dyDescent="0.25">
      <c r="D587" s="8"/>
      <c r="E587" s="8"/>
      <c r="F587" s="3"/>
      <c r="G587" s="9"/>
      <c r="O587" s="3"/>
    </row>
    <row r="588" spans="4:15" x14ac:dyDescent="0.25">
      <c r="D588" s="8"/>
      <c r="E588" s="8"/>
      <c r="F588" s="3"/>
      <c r="G588" s="9"/>
      <c r="O588" s="3"/>
    </row>
    <row r="589" spans="4:15" x14ac:dyDescent="0.25">
      <c r="D589" s="8"/>
      <c r="E589" s="8"/>
      <c r="F589" s="3"/>
      <c r="G589" s="9"/>
      <c r="O589" s="3"/>
    </row>
    <row r="590" spans="4:15" x14ac:dyDescent="0.25">
      <c r="D590" s="8"/>
      <c r="E590" s="8"/>
      <c r="F590" s="3"/>
      <c r="G590" s="9"/>
      <c r="O590" s="3"/>
    </row>
    <row r="591" spans="4:15" x14ac:dyDescent="0.25">
      <c r="D591" s="8"/>
      <c r="E591" s="8"/>
      <c r="F591" s="3"/>
      <c r="G591" s="9"/>
      <c r="O591" s="3"/>
    </row>
    <row r="592" spans="4:15" x14ac:dyDescent="0.25">
      <c r="D592" s="8"/>
      <c r="E592" s="8"/>
      <c r="F592" s="3"/>
      <c r="G592" s="9"/>
      <c r="O592" s="3"/>
    </row>
    <row r="593" spans="4:15" x14ac:dyDescent="0.25">
      <c r="D593" s="8"/>
      <c r="E593" s="8"/>
      <c r="F593" s="3"/>
      <c r="G593" s="9"/>
      <c r="O593" s="3"/>
    </row>
    <row r="594" spans="4:15" x14ac:dyDescent="0.25">
      <c r="D594" s="8"/>
      <c r="E594" s="8"/>
      <c r="F594" s="3"/>
      <c r="G594" s="9"/>
      <c r="O594" s="3"/>
    </row>
    <row r="595" spans="4:15" x14ac:dyDescent="0.25">
      <c r="D595" s="8"/>
      <c r="E595" s="8"/>
      <c r="F595" s="3"/>
      <c r="G595" s="9"/>
      <c r="O595" s="3"/>
    </row>
    <row r="596" spans="4:15" x14ac:dyDescent="0.25">
      <c r="D596" s="8"/>
      <c r="E596" s="8"/>
      <c r="F596" s="3"/>
      <c r="G596" s="9"/>
      <c r="O596" s="3"/>
    </row>
    <row r="597" spans="4:15" x14ac:dyDescent="0.25">
      <c r="D597" s="8"/>
      <c r="E597" s="8"/>
      <c r="F597" s="3"/>
      <c r="G597" s="9"/>
      <c r="O597" s="3"/>
    </row>
    <row r="598" spans="4:15" x14ac:dyDescent="0.25">
      <c r="D598" s="8"/>
      <c r="E598" s="8"/>
      <c r="F598" s="3"/>
      <c r="G598" s="9"/>
      <c r="O598" s="3"/>
    </row>
    <row r="599" spans="4:15" x14ac:dyDescent="0.25">
      <c r="D599" s="8"/>
      <c r="E599" s="8"/>
      <c r="F599" s="3"/>
      <c r="G599" s="9"/>
      <c r="O599" s="3"/>
    </row>
    <row r="600" spans="4:15" x14ac:dyDescent="0.25">
      <c r="D600" s="8"/>
      <c r="E600" s="8"/>
      <c r="F600" s="3"/>
      <c r="G600" s="9"/>
      <c r="O600" s="3"/>
    </row>
    <row r="601" spans="4:15" x14ac:dyDescent="0.25">
      <c r="D601" s="8"/>
      <c r="E601" s="8"/>
      <c r="F601" s="3"/>
      <c r="G601" s="9"/>
      <c r="O601" s="3"/>
    </row>
    <row r="602" spans="4:15" x14ac:dyDescent="0.25">
      <c r="D602" s="8"/>
      <c r="E602" s="8"/>
      <c r="F602" s="3"/>
      <c r="O602" s="3"/>
    </row>
    <row r="603" spans="4:15" x14ac:dyDescent="0.25">
      <c r="D603" s="8"/>
      <c r="E603" s="8"/>
      <c r="F603" s="3"/>
      <c r="G603" s="9"/>
      <c r="O603" s="3"/>
    </row>
    <row r="604" spans="4:15" x14ac:dyDescent="0.25">
      <c r="D604" s="8"/>
      <c r="E604" s="8"/>
      <c r="F604" s="3"/>
      <c r="G604" s="9"/>
      <c r="O604" s="3"/>
    </row>
    <row r="605" spans="4:15" x14ac:dyDescent="0.25">
      <c r="D605" s="8"/>
      <c r="E605" s="8"/>
      <c r="F605" s="3"/>
      <c r="G605" s="9"/>
      <c r="O605" s="3"/>
    </row>
    <row r="606" spans="4:15" x14ac:dyDescent="0.25">
      <c r="D606" s="8"/>
      <c r="E606" s="8"/>
      <c r="F606" s="3"/>
      <c r="G606" s="9"/>
      <c r="O606" s="3"/>
    </row>
    <row r="607" spans="4:15" x14ac:dyDescent="0.25">
      <c r="D607" s="8"/>
      <c r="E607" s="8"/>
      <c r="F607" s="3"/>
      <c r="G607" s="9"/>
      <c r="O607" s="3"/>
    </row>
    <row r="608" spans="4:15" x14ac:dyDescent="0.25">
      <c r="D608" s="8"/>
      <c r="E608" s="8"/>
      <c r="F608" s="3"/>
      <c r="G608" s="9"/>
      <c r="O608" s="3"/>
    </row>
    <row r="609" spans="4:15" x14ac:dyDescent="0.25">
      <c r="D609" s="8"/>
      <c r="E609" s="8"/>
      <c r="F609" s="3"/>
      <c r="G609" s="9"/>
      <c r="O609" s="3"/>
    </row>
    <row r="610" spans="4:15" x14ac:dyDescent="0.25">
      <c r="D610" s="8"/>
      <c r="E610" s="8"/>
      <c r="F610" s="3"/>
      <c r="G610" s="9"/>
      <c r="O610" s="3"/>
    </row>
    <row r="611" spans="4:15" x14ac:dyDescent="0.25">
      <c r="D611" s="8"/>
      <c r="E611" s="8"/>
      <c r="F611" s="3"/>
      <c r="G611" s="9"/>
      <c r="O611" s="3"/>
    </row>
    <row r="612" spans="4:15" x14ac:dyDescent="0.25">
      <c r="D612" s="8"/>
      <c r="E612" s="8"/>
      <c r="F612" s="3"/>
      <c r="G612" s="9"/>
      <c r="O612" s="3"/>
    </row>
    <row r="613" spans="4:15" x14ac:dyDescent="0.25">
      <c r="D613" s="8"/>
      <c r="E613" s="8"/>
      <c r="F613" s="3"/>
      <c r="G613" s="9"/>
      <c r="O613" s="3"/>
    </row>
    <row r="614" spans="4:15" x14ac:dyDescent="0.25">
      <c r="D614" s="8"/>
      <c r="E614" s="8"/>
      <c r="F614" s="3"/>
      <c r="G614" s="9"/>
      <c r="O614" s="3"/>
    </row>
    <row r="615" spans="4:15" x14ac:dyDescent="0.25">
      <c r="D615" s="8"/>
      <c r="E615" s="8"/>
      <c r="F615" s="3"/>
      <c r="G615" s="9"/>
      <c r="O615" s="3"/>
    </row>
    <row r="616" spans="4:15" x14ac:dyDescent="0.25">
      <c r="D616" s="8"/>
      <c r="E616" s="8"/>
      <c r="F616" s="3"/>
      <c r="G616" s="9"/>
      <c r="O616" s="3"/>
    </row>
    <row r="617" spans="4:15" x14ac:dyDescent="0.25">
      <c r="D617" s="8"/>
      <c r="E617" s="8"/>
      <c r="F617" s="3"/>
      <c r="G617" s="9"/>
      <c r="O617" s="3"/>
    </row>
    <row r="618" spans="4:15" x14ac:dyDescent="0.25">
      <c r="D618" s="8"/>
      <c r="E618" s="8"/>
      <c r="F618" s="3"/>
      <c r="G618" s="9"/>
      <c r="O618" s="3"/>
    </row>
    <row r="619" spans="4:15" x14ac:dyDescent="0.25">
      <c r="D619" s="8"/>
      <c r="E619" s="8"/>
      <c r="F619" s="3"/>
      <c r="G619" s="9"/>
      <c r="O619" s="3"/>
    </row>
    <row r="620" spans="4:15" x14ac:dyDescent="0.25">
      <c r="D620" s="8"/>
      <c r="E620" s="8"/>
      <c r="F620" s="3"/>
      <c r="G620" s="9"/>
      <c r="O620" s="3"/>
    </row>
    <row r="621" spans="4:15" x14ac:dyDescent="0.25">
      <c r="D621" s="8"/>
      <c r="E621" s="8"/>
      <c r="F621" s="3"/>
      <c r="G621" s="9"/>
      <c r="O621" s="3"/>
    </row>
    <row r="622" spans="4:15" x14ac:dyDescent="0.25">
      <c r="D622" s="8"/>
      <c r="E622" s="8"/>
      <c r="F622" s="3"/>
      <c r="G622" s="9"/>
      <c r="O622" s="3"/>
    </row>
    <row r="623" spans="4:15" x14ac:dyDescent="0.25">
      <c r="D623" s="8"/>
      <c r="E623" s="8"/>
      <c r="F623" s="3"/>
      <c r="G623" s="9"/>
      <c r="O623" s="3"/>
    </row>
    <row r="624" spans="4:15" x14ac:dyDescent="0.25">
      <c r="D624" s="8"/>
      <c r="E624" s="8"/>
      <c r="F624" s="3"/>
      <c r="G624" s="9"/>
      <c r="O624" s="3"/>
    </row>
    <row r="625" spans="4:15" x14ac:dyDescent="0.25">
      <c r="D625" s="8"/>
      <c r="E625" s="8"/>
      <c r="F625" s="3"/>
      <c r="G625" s="9"/>
      <c r="O625" s="3"/>
    </row>
    <row r="626" spans="4:15" x14ac:dyDescent="0.25">
      <c r="D626" s="8"/>
      <c r="E626" s="8"/>
      <c r="F626" s="3"/>
      <c r="G626" s="9"/>
      <c r="O626" s="3"/>
    </row>
    <row r="627" spans="4:15" x14ac:dyDescent="0.25">
      <c r="D627" s="8"/>
      <c r="E627" s="8"/>
      <c r="F627" s="3"/>
      <c r="O627" s="3"/>
    </row>
    <row r="628" spans="4:15" x14ac:dyDescent="0.25">
      <c r="D628" s="8"/>
      <c r="E628" s="8"/>
      <c r="F628" s="3"/>
      <c r="G628" s="9"/>
      <c r="O628" s="3"/>
    </row>
    <row r="629" spans="4:15" x14ac:dyDescent="0.25">
      <c r="D629" s="8"/>
      <c r="E629" s="8"/>
      <c r="F629" s="3"/>
      <c r="G629" s="9"/>
      <c r="O629" s="3"/>
    </row>
    <row r="630" spans="4:15" x14ac:dyDescent="0.25">
      <c r="D630" s="8"/>
      <c r="E630" s="8"/>
      <c r="F630" s="3"/>
      <c r="G630" s="9"/>
      <c r="O630" s="3"/>
    </row>
    <row r="631" spans="4:15" x14ac:dyDescent="0.25">
      <c r="D631" s="8"/>
      <c r="E631" s="8"/>
      <c r="F631" s="3"/>
      <c r="G631" s="9"/>
      <c r="O631" s="3"/>
    </row>
    <row r="632" spans="4:15" x14ac:dyDescent="0.25">
      <c r="D632" s="8"/>
      <c r="E632" s="8"/>
      <c r="F632" s="3"/>
      <c r="G632" s="9"/>
      <c r="O632" s="3"/>
    </row>
    <row r="633" spans="4:15" x14ac:dyDescent="0.25">
      <c r="D633" s="8"/>
      <c r="E633" s="8"/>
      <c r="F633" s="3"/>
      <c r="G633" s="9"/>
      <c r="O633" s="3"/>
    </row>
    <row r="634" spans="4:15" x14ac:dyDescent="0.25">
      <c r="D634" s="8"/>
      <c r="E634" s="8"/>
      <c r="F634" s="3"/>
      <c r="G634" s="9"/>
      <c r="O634" s="3"/>
    </row>
    <row r="635" spans="4:15" x14ac:dyDescent="0.25">
      <c r="D635" s="8"/>
      <c r="E635" s="8"/>
      <c r="F635" s="3"/>
      <c r="G635" s="9"/>
      <c r="O635" s="3"/>
    </row>
    <row r="636" spans="4:15" x14ac:dyDescent="0.25">
      <c r="D636" s="8"/>
      <c r="E636" s="8"/>
      <c r="F636" s="3"/>
      <c r="G636" s="9"/>
      <c r="O636" s="3"/>
    </row>
    <row r="637" spans="4:15" x14ac:dyDescent="0.25">
      <c r="D637" s="8"/>
      <c r="E637" s="8"/>
      <c r="F637" s="3"/>
      <c r="G637" s="9"/>
      <c r="O637" s="3"/>
    </row>
    <row r="638" spans="4:15" x14ac:dyDescent="0.25">
      <c r="D638" s="8"/>
      <c r="E638" s="8"/>
      <c r="F638" s="3"/>
      <c r="G638" s="9"/>
      <c r="O638" s="3"/>
    </row>
    <row r="639" spans="4:15" x14ac:dyDescent="0.25">
      <c r="D639" s="8"/>
      <c r="E639" s="8"/>
      <c r="F639" s="3"/>
      <c r="G639" s="9"/>
      <c r="O639" s="3"/>
    </row>
    <row r="640" spans="4:15" x14ac:dyDescent="0.25">
      <c r="D640" s="8"/>
      <c r="E640" s="8"/>
      <c r="F640" s="3"/>
      <c r="G640" s="9"/>
      <c r="O640" s="3"/>
    </row>
    <row r="641" spans="4:15" x14ac:dyDescent="0.25">
      <c r="D641" s="8"/>
      <c r="E641" s="8"/>
      <c r="F641" s="3"/>
      <c r="G641" s="9"/>
      <c r="O641" s="3"/>
    </row>
    <row r="642" spans="4:15" x14ac:dyDescent="0.25">
      <c r="D642" s="8"/>
      <c r="E642" s="8"/>
      <c r="F642" s="3"/>
      <c r="G642" s="9"/>
      <c r="O642" s="3"/>
    </row>
    <row r="643" spans="4:15" x14ac:dyDescent="0.25">
      <c r="D643" s="8"/>
      <c r="E643" s="8"/>
      <c r="F643" s="3"/>
      <c r="G643" s="9"/>
      <c r="O643" s="3"/>
    </row>
    <row r="644" spans="4:15" x14ac:dyDescent="0.25">
      <c r="D644" s="8"/>
      <c r="E644" s="8"/>
      <c r="F644" s="3"/>
      <c r="G644" s="9"/>
      <c r="O644" s="3"/>
    </row>
    <row r="645" spans="4:15" x14ac:dyDescent="0.25">
      <c r="D645" s="8"/>
      <c r="E645" s="8"/>
      <c r="F645" s="3"/>
      <c r="G645" s="9"/>
      <c r="O645" s="3"/>
    </row>
    <row r="646" spans="4:15" x14ac:dyDescent="0.25">
      <c r="D646" s="8"/>
      <c r="E646" s="8"/>
      <c r="F646" s="3"/>
      <c r="G646" s="9"/>
      <c r="O646" s="3"/>
    </row>
    <row r="647" spans="4:15" x14ac:dyDescent="0.25">
      <c r="D647" s="8"/>
      <c r="E647" s="8"/>
      <c r="F647" s="3"/>
      <c r="G647" s="9"/>
      <c r="O647" s="3"/>
    </row>
    <row r="648" spans="4:15" x14ac:dyDescent="0.25">
      <c r="D648" s="8"/>
      <c r="E648" s="8"/>
      <c r="F648" s="3"/>
      <c r="G648" s="9"/>
      <c r="O648" s="3"/>
    </row>
    <row r="649" spans="4:15" x14ac:dyDescent="0.25">
      <c r="D649" s="8"/>
      <c r="E649" s="8"/>
      <c r="F649" s="3"/>
      <c r="G649" s="9"/>
      <c r="O649" s="3"/>
    </row>
    <row r="650" spans="4:15" x14ac:dyDescent="0.25">
      <c r="D650" s="8"/>
      <c r="E650" s="8"/>
      <c r="F650" s="3"/>
      <c r="G650" s="9"/>
      <c r="O650" s="3"/>
    </row>
    <row r="651" spans="4:15" x14ac:dyDescent="0.25">
      <c r="D651" s="8"/>
      <c r="E651" s="8"/>
      <c r="F651" s="3"/>
      <c r="G651" s="9"/>
      <c r="O651" s="3"/>
    </row>
    <row r="652" spans="4:15" x14ac:dyDescent="0.25">
      <c r="D652" s="8"/>
      <c r="E652" s="8"/>
      <c r="F652" s="3"/>
      <c r="O652" s="3"/>
    </row>
    <row r="653" spans="4:15" x14ac:dyDescent="0.25">
      <c r="D653" s="8"/>
      <c r="E653" s="8"/>
      <c r="F653" s="3"/>
      <c r="G653" s="9"/>
      <c r="O653" s="3"/>
    </row>
    <row r="654" spans="4:15" x14ac:dyDescent="0.25">
      <c r="D654" s="8"/>
      <c r="E654" s="8"/>
      <c r="F654" s="3"/>
      <c r="G654" s="9"/>
      <c r="O654" s="3"/>
    </row>
    <row r="655" spans="4:15" x14ac:dyDescent="0.25">
      <c r="D655" s="8"/>
      <c r="E655" s="8"/>
      <c r="F655" s="3"/>
      <c r="G655" s="9"/>
      <c r="O655" s="3"/>
    </row>
    <row r="656" spans="4:15" x14ac:dyDescent="0.25">
      <c r="D656" s="8"/>
      <c r="E656" s="8"/>
      <c r="F656" s="3"/>
      <c r="G656" s="9"/>
      <c r="O656" s="3"/>
    </row>
    <row r="657" spans="4:15" x14ac:dyDescent="0.25">
      <c r="D657" s="8"/>
      <c r="E657" s="8"/>
      <c r="F657" s="3"/>
      <c r="G657" s="9"/>
      <c r="O657" s="3"/>
    </row>
    <row r="658" spans="4:15" x14ac:dyDescent="0.25">
      <c r="D658" s="8"/>
      <c r="E658" s="8"/>
      <c r="F658" s="3"/>
      <c r="G658" s="9"/>
      <c r="O658" s="3"/>
    </row>
    <row r="659" spans="4:15" x14ac:dyDescent="0.25">
      <c r="D659" s="8"/>
      <c r="E659" s="8"/>
      <c r="F659" s="3"/>
      <c r="G659" s="9"/>
      <c r="O659" s="3"/>
    </row>
    <row r="660" spans="4:15" x14ac:dyDescent="0.25">
      <c r="D660" s="8"/>
      <c r="E660" s="8"/>
      <c r="F660" s="3"/>
      <c r="G660" s="9"/>
      <c r="O660" s="3"/>
    </row>
    <row r="661" spans="4:15" x14ac:dyDescent="0.25">
      <c r="D661" s="8"/>
      <c r="E661" s="8"/>
      <c r="F661" s="3"/>
      <c r="G661" s="9"/>
      <c r="O661" s="3"/>
    </row>
    <row r="662" spans="4:15" x14ac:dyDescent="0.25">
      <c r="D662" s="8"/>
      <c r="E662" s="8"/>
      <c r="F662" s="3"/>
      <c r="G662" s="9"/>
      <c r="O662" s="3"/>
    </row>
    <row r="663" spans="4:15" x14ac:dyDescent="0.25">
      <c r="D663" s="8"/>
      <c r="E663" s="8"/>
      <c r="F663" s="3"/>
      <c r="G663" s="9"/>
      <c r="O663" s="3"/>
    </row>
    <row r="664" spans="4:15" x14ac:dyDescent="0.25">
      <c r="D664" s="8"/>
      <c r="E664" s="8"/>
      <c r="F664" s="3"/>
      <c r="G664" s="9"/>
      <c r="O664" s="3"/>
    </row>
    <row r="665" spans="4:15" x14ac:dyDescent="0.25">
      <c r="D665" s="8"/>
      <c r="E665" s="8"/>
      <c r="F665" s="3"/>
      <c r="G665" s="9"/>
      <c r="O665" s="3"/>
    </row>
    <row r="666" spans="4:15" x14ac:dyDescent="0.25">
      <c r="D666" s="8"/>
      <c r="E666" s="8"/>
      <c r="F666" s="3"/>
      <c r="G666" s="9"/>
      <c r="O666" s="3"/>
    </row>
    <row r="667" spans="4:15" x14ac:dyDescent="0.25">
      <c r="D667" s="8"/>
      <c r="E667" s="8"/>
      <c r="F667" s="3"/>
      <c r="G667" s="9"/>
      <c r="O667" s="3"/>
    </row>
    <row r="668" spans="4:15" x14ac:dyDescent="0.25">
      <c r="D668" s="8"/>
      <c r="E668" s="8"/>
      <c r="F668" s="3"/>
      <c r="G668" s="9"/>
      <c r="O668" s="3"/>
    </row>
    <row r="669" spans="4:15" x14ac:dyDescent="0.25">
      <c r="D669" s="8"/>
      <c r="E669" s="8"/>
      <c r="F669" s="3"/>
      <c r="G669" s="9"/>
      <c r="O669" s="3"/>
    </row>
    <row r="670" spans="4:15" x14ac:dyDescent="0.25">
      <c r="D670" s="8"/>
      <c r="E670" s="8"/>
      <c r="F670" s="3"/>
      <c r="G670" s="9"/>
      <c r="O670" s="3"/>
    </row>
    <row r="671" spans="4:15" x14ac:dyDescent="0.25">
      <c r="D671" s="8"/>
      <c r="E671" s="8"/>
      <c r="F671" s="3"/>
      <c r="G671" s="9"/>
      <c r="O671" s="3"/>
    </row>
    <row r="672" spans="4:15" x14ac:dyDescent="0.25">
      <c r="D672" s="8"/>
      <c r="E672" s="8"/>
      <c r="F672" s="3"/>
      <c r="G672" s="9"/>
      <c r="O672" s="3"/>
    </row>
    <row r="673" spans="4:15" x14ac:dyDescent="0.25">
      <c r="D673" s="8"/>
      <c r="E673" s="8"/>
      <c r="F673" s="3"/>
      <c r="G673" s="9"/>
      <c r="O673" s="3"/>
    </row>
    <row r="674" spans="4:15" x14ac:dyDescent="0.25">
      <c r="D674" s="8"/>
      <c r="E674" s="8"/>
      <c r="F674" s="3"/>
      <c r="G674" s="9"/>
      <c r="O674" s="3"/>
    </row>
    <row r="675" spans="4:15" x14ac:dyDescent="0.25">
      <c r="D675" s="8"/>
      <c r="E675" s="8"/>
      <c r="F675" s="3"/>
      <c r="G675" s="9"/>
      <c r="O675" s="3"/>
    </row>
    <row r="676" spans="4:15" x14ac:dyDescent="0.25">
      <c r="D676" s="8"/>
      <c r="E676" s="8"/>
      <c r="F676" s="3"/>
      <c r="G676" s="9"/>
      <c r="O676" s="3"/>
    </row>
    <row r="677" spans="4:15" x14ac:dyDescent="0.25">
      <c r="D677" s="8"/>
      <c r="E677" s="8"/>
      <c r="F677" s="3"/>
      <c r="O677" s="3"/>
    </row>
    <row r="678" spans="4:15" x14ac:dyDescent="0.25">
      <c r="D678" s="8"/>
      <c r="E678" s="8"/>
      <c r="F678" s="3"/>
      <c r="G678" s="9"/>
      <c r="O678" s="3"/>
    </row>
    <row r="679" spans="4:15" x14ac:dyDescent="0.25">
      <c r="D679" s="8"/>
      <c r="E679" s="8"/>
      <c r="F679" s="3"/>
      <c r="G679" s="9"/>
      <c r="O679" s="3"/>
    </row>
    <row r="680" spans="4:15" x14ac:dyDescent="0.25">
      <c r="D680" s="8"/>
      <c r="E680" s="8"/>
      <c r="F680" s="3"/>
      <c r="G680" s="9"/>
      <c r="O680" s="3"/>
    </row>
    <row r="681" spans="4:15" x14ac:dyDescent="0.25">
      <c r="D681" s="8"/>
      <c r="E681" s="8"/>
      <c r="F681" s="3"/>
      <c r="G681" s="9"/>
      <c r="O681" s="3"/>
    </row>
    <row r="682" spans="4:15" x14ac:dyDescent="0.25">
      <c r="D682" s="8"/>
      <c r="E682" s="8"/>
      <c r="F682" s="3"/>
      <c r="G682" s="9"/>
      <c r="O682" s="3"/>
    </row>
    <row r="683" spans="4:15" x14ac:dyDescent="0.25">
      <c r="D683" s="8"/>
      <c r="E683" s="8"/>
      <c r="F683" s="3"/>
      <c r="G683" s="9"/>
      <c r="O683" s="3"/>
    </row>
    <row r="684" spans="4:15" x14ac:dyDescent="0.25">
      <c r="D684" s="8"/>
      <c r="E684" s="8"/>
      <c r="F684" s="3"/>
      <c r="G684" s="9"/>
      <c r="O684" s="3"/>
    </row>
    <row r="685" spans="4:15" x14ac:dyDescent="0.25">
      <c r="D685" s="8"/>
      <c r="E685" s="8"/>
      <c r="F685" s="3"/>
      <c r="G685" s="9"/>
      <c r="O685" s="3"/>
    </row>
    <row r="686" spans="4:15" x14ac:dyDescent="0.25">
      <c r="D686" s="8"/>
      <c r="E686" s="8"/>
      <c r="F686" s="3"/>
      <c r="G686" s="9"/>
      <c r="O686" s="3"/>
    </row>
    <row r="687" spans="4:15" x14ac:dyDescent="0.25">
      <c r="D687" s="8"/>
      <c r="E687" s="8"/>
      <c r="F687" s="3"/>
      <c r="G687" s="9"/>
      <c r="O687" s="3"/>
    </row>
    <row r="688" spans="4:15" x14ac:dyDescent="0.25">
      <c r="D688" s="8"/>
      <c r="E688" s="8"/>
      <c r="F688" s="3"/>
      <c r="G688" s="9"/>
      <c r="O688" s="3"/>
    </row>
    <row r="689" spans="4:15" x14ac:dyDescent="0.25">
      <c r="D689" s="8"/>
      <c r="E689" s="8"/>
      <c r="F689" s="3"/>
      <c r="G689" s="9"/>
      <c r="O689" s="3"/>
    </row>
    <row r="690" spans="4:15" x14ac:dyDescent="0.25">
      <c r="D690" s="8"/>
      <c r="E690" s="8"/>
      <c r="F690" s="3"/>
      <c r="G690" s="9"/>
      <c r="O690" s="3"/>
    </row>
    <row r="691" spans="4:15" x14ac:dyDescent="0.25">
      <c r="D691" s="8"/>
      <c r="E691" s="8"/>
      <c r="F691" s="3"/>
      <c r="G691" s="9"/>
      <c r="O691" s="3"/>
    </row>
    <row r="692" spans="4:15" x14ac:dyDescent="0.25">
      <c r="D692" s="8"/>
      <c r="E692" s="8"/>
      <c r="F692" s="3"/>
      <c r="G692" s="9"/>
      <c r="O692" s="3"/>
    </row>
    <row r="693" spans="4:15" x14ac:dyDescent="0.25">
      <c r="D693" s="8"/>
      <c r="E693" s="8"/>
      <c r="F693" s="3"/>
      <c r="G693" s="9"/>
      <c r="O693" s="3"/>
    </row>
    <row r="694" spans="4:15" x14ac:dyDescent="0.25">
      <c r="D694" s="8"/>
      <c r="E694" s="8"/>
      <c r="F694" s="3"/>
      <c r="G694" s="9"/>
      <c r="O694" s="3"/>
    </row>
    <row r="695" spans="4:15" x14ac:dyDescent="0.25">
      <c r="D695" s="8"/>
      <c r="E695" s="8"/>
      <c r="F695" s="3"/>
      <c r="G695" s="9"/>
      <c r="O695" s="3"/>
    </row>
    <row r="696" spans="4:15" x14ac:dyDescent="0.25">
      <c r="D696" s="8"/>
      <c r="E696" s="8"/>
      <c r="F696" s="3"/>
      <c r="G696" s="9"/>
      <c r="O696" s="3"/>
    </row>
    <row r="697" spans="4:15" x14ac:dyDescent="0.25">
      <c r="D697" s="8"/>
      <c r="E697" s="8"/>
      <c r="F697" s="3"/>
      <c r="G697" s="9"/>
      <c r="O697" s="3"/>
    </row>
    <row r="698" spans="4:15" x14ac:dyDescent="0.25">
      <c r="D698" s="8"/>
      <c r="E698" s="8"/>
      <c r="F698" s="3"/>
      <c r="G698" s="9"/>
      <c r="O698" s="3"/>
    </row>
    <row r="699" spans="4:15" x14ac:dyDescent="0.25">
      <c r="D699" s="8"/>
      <c r="E699" s="8"/>
      <c r="F699" s="3"/>
      <c r="G699" s="9"/>
      <c r="O699" s="3"/>
    </row>
    <row r="700" spans="4:15" x14ac:dyDescent="0.25">
      <c r="D700" s="8"/>
      <c r="E700" s="8"/>
      <c r="F700" s="3"/>
      <c r="G700" s="9"/>
      <c r="O700" s="3"/>
    </row>
    <row r="701" spans="4:15" x14ac:dyDescent="0.25">
      <c r="D701" s="8"/>
      <c r="E701" s="8"/>
      <c r="F701" s="3"/>
      <c r="G701" s="9"/>
      <c r="O701" s="3"/>
    </row>
    <row r="702" spans="4:15" x14ac:dyDescent="0.25">
      <c r="D702" s="8"/>
      <c r="E702" s="8"/>
      <c r="F702" s="3"/>
      <c r="O702" s="3"/>
    </row>
    <row r="703" spans="4:15" x14ac:dyDescent="0.25">
      <c r="D703" s="8"/>
      <c r="E703" s="8"/>
      <c r="F703" s="3"/>
      <c r="G703" s="9"/>
      <c r="O703" s="3"/>
    </row>
    <row r="704" spans="4:15" x14ac:dyDescent="0.25">
      <c r="D704" s="8"/>
      <c r="E704" s="8"/>
      <c r="F704" s="3"/>
      <c r="G704" s="9"/>
      <c r="O704" s="3"/>
    </row>
    <row r="705" spans="4:15" x14ac:dyDescent="0.25">
      <c r="D705" s="8"/>
      <c r="E705" s="8"/>
      <c r="F705" s="3"/>
      <c r="G705" s="9"/>
      <c r="O705" s="3"/>
    </row>
    <row r="706" spans="4:15" x14ac:dyDescent="0.25">
      <c r="D706" s="8"/>
      <c r="E706" s="8"/>
      <c r="F706" s="3"/>
      <c r="G706" s="9"/>
      <c r="O706" s="3"/>
    </row>
    <row r="707" spans="4:15" x14ac:dyDescent="0.25">
      <c r="D707" s="8"/>
      <c r="E707" s="8"/>
      <c r="F707" s="3"/>
      <c r="G707" s="9"/>
      <c r="O707" s="3"/>
    </row>
    <row r="708" spans="4:15" x14ac:dyDescent="0.25">
      <c r="D708" s="8"/>
      <c r="E708" s="8"/>
      <c r="F708" s="3"/>
      <c r="G708" s="9"/>
      <c r="O708" s="3"/>
    </row>
    <row r="709" spans="4:15" x14ac:dyDescent="0.25">
      <c r="D709" s="8"/>
      <c r="E709" s="8"/>
      <c r="F709" s="3"/>
      <c r="G709" s="9"/>
      <c r="O709" s="3"/>
    </row>
    <row r="710" spans="4:15" x14ac:dyDescent="0.25">
      <c r="D710" s="8"/>
      <c r="E710" s="8"/>
      <c r="F710" s="3"/>
      <c r="G710" s="9"/>
      <c r="O710" s="3"/>
    </row>
    <row r="711" spans="4:15" x14ac:dyDescent="0.25">
      <c r="D711" s="8"/>
      <c r="E711" s="8"/>
      <c r="F711" s="3"/>
      <c r="G711" s="9"/>
      <c r="O711" s="3"/>
    </row>
    <row r="712" spans="4:15" x14ac:dyDescent="0.25">
      <c r="D712" s="8"/>
      <c r="E712" s="8"/>
      <c r="F712" s="3"/>
      <c r="G712" s="9"/>
      <c r="O712" s="3"/>
    </row>
    <row r="713" spans="4:15" x14ac:dyDescent="0.25">
      <c r="D713" s="8"/>
      <c r="E713" s="8"/>
      <c r="F713" s="3"/>
      <c r="G713" s="9"/>
      <c r="O713" s="3"/>
    </row>
    <row r="714" spans="4:15" x14ac:dyDescent="0.25">
      <c r="D714" s="8"/>
      <c r="E714" s="8"/>
      <c r="F714" s="3"/>
      <c r="G714" s="9"/>
      <c r="O714" s="3"/>
    </row>
    <row r="715" spans="4:15" x14ac:dyDescent="0.25">
      <c r="D715" s="8"/>
      <c r="E715" s="8"/>
      <c r="F715" s="3"/>
      <c r="G715" s="9"/>
      <c r="O715" s="3"/>
    </row>
    <row r="716" spans="4:15" x14ac:dyDescent="0.25">
      <c r="D716" s="8"/>
      <c r="E716" s="8"/>
      <c r="F716" s="3"/>
      <c r="G716" s="9"/>
      <c r="O716" s="3"/>
    </row>
    <row r="717" spans="4:15" x14ac:dyDescent="0.25">
      <c r="D717" s="8"/>
      <c r="E717" s="8"/>
      <c r="F717" s="3"/>
      <c r="G717" s="9"/>
      <c r="O717" s="3"/>
    </row>
    <row r="718" spans="4:15" x14ac:dyDescent="0.25">
      <c r="D718" s="3"/>
      <c r="F718" s="3"/>
      <c r="G718" s="9"/>
      <c r="O718" s="3"/>
    </row>
    <row r="719" spans="4:15" x14ac:dyDescent="0.25">
      <c r="F719" s="3"/>
      <c r="G719" s="9"/>
      <c r="O719" s="3"/>
    </row>
    <row r="720" spans="4:15" x14ac:dyDescent="0.25">
      <c r="F720" s="3"/>
      <c r="G720" s="9"/>
      <c r="O720" s="3"/>
    </row>
    <row r="721" spans="6:15" x14ac:dyDescent="0.25">
      <c r="F721" s="3"/>
      <c r="G721" s="9"/>
      <c r="O721" s="3"/>
    </row>
    <row r="722" spans="6:15" x14ac:dyDescent="0.25">
      <c r="F722" s="3"/>
      <c r="G722" s="9"/>
      <c r="O722" s="3"/>
    </row>
    <row r="723" spans="6:15" x14ac:dyDescent="0.25">
      <c r="F723" s="3"/>
      <c r="G723" s="9"/>
      <c r="O723" s="3"/>
    </row>
    <row r="724" spans="6:15" x14ac:dyDescent="0.25">
      <c r="F724" s="3"/>
      <c r="G724" s="9"/>
      <c r="O724" s="3"/>
    </row>
    <row r="725" spans="6:15" x14ac:dyDescent="0.25">
      <c r="F725" s="3"/>
      <c r="G725" s="9"/>
      <c r="O725" s="3"/>
    </row>
    <row r="726" spans="6:15" x14ac:dyDescent="0.25">
      <c r="F726" s="3"/>
      <c r="G726" s="9"/>
      <c r="O726" s="3"/>
    </row>
    <row r="727" spans="6:15" x14ac:dyDescent="0.25">
      <c r="F727" s="3"/>
      <c r="O727" s="3"/>
    </row>
    <row r="728" spans="6:15" x14ac:dyDescent="0.25">
      <c r="F728" s="3"/>
      <c r="G728" s="9"/>
      <c r="O728" s="3"/>
    </row>
    <row r="729" spans="6:15" x14ac:dyDescent="0.25">
      <c r="F729" s="3"/>
      <c r="G729" s="9"/>
      <c r="O729" s="3"/>
    </row>
    <row r="730" spans="6:15" x14ac:dyDescent="0.25">
      <c r="F730" s="3"/>
      <c r="G730" s="9"/>
      <c r="O730" s="3"/>
    </row>
    <row r="731" spans="6:15" x14ac:dyDescent="0.25">
      <c r="F731" s="3"/>
      <c r="G731" s="9"/>
      <c r="O731" s="3"/>
    </row>
    <row r="732" spans="6:15" x14ac:dyDescent="0.25">
      <c r="F732" s="3"/>
      <c r="G732" s="9"/>
      <c r="O732" s="3"/>
    </row>
    <row r="733" spans="6:15" x14ac:dyDescent="0.25">
      <c r="F733" s="3"/>
      <c r="G733" s="9"/>
      <c r="O733" s="3"/>
    </row>
    <row r="734" spans="6:15" x14ac:dyDescent="0.25">
      <c r="F734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4"/>
  <sheetViews>
    <sheetView zoomScale="80" zoomScaleNormal="80" workbookViewId="0">
      <selection activeCell="B1" sqref="B1:C1048576"/>
    </sheetView>
  </sheetViews>
  <sheetFormatPr defaultRowHeight="15" x14ac:dyDescent="0.25"/>
  <cols>
    <col min="11" max="11" width="11.85546875" bestFit="1" customWidth="1"/>
    <col min="12" max="12" width="12.42578125" bestFit="1" customWidth="1"/>
    <col min="14" max="14" width="12.28515625" bestFit="1" customWidth="1"/>
    <col min="15" max="15" width="9.5703125" customWidth="1"/>
  </cols>
  <sheetData>
    <row r="1" spans="1:15" x14ac:dyDescent="0.25">
      <c r="B1" s="2">
        <v>45134.5</v>
      </c>
      <c r="C1" s="2">
        <v>45176.909090909088</v>
      </c>
      <c r="I1" s="5"/>
      <c r="K1" t="s">
        <v>17</v>
      </c>
      <c r="L1" s="9">
        <f>C1-B1</f>
        <v>42.409090909088263</v>
      </c>
      <c r="M1" s="9"/>
    </row>
    <row r="2" spans="1:15" x14ac:dyDescent="0.25">
      <c r="A2" t="s">
        <v>0</v>
      </c>
      <c r="B2" t="s">
        <v>1</v>
      </c>
      <c r="C2" t="s">
        <v>1</v>
      </c>
      <c r="D2" s="6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6" t="s">
        <v>10</v>
      </c>
      <c r="J2" s="6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15</v>
      </c>
    </row>
    <row r="3" spans="1:15" x14ac:dyDescent="0.25">
      <c r="A3">
        <v>2</v>
      </c>
      <c r="B3" s="3">
        <v>10.790749999999997</v>
      </c>
      <c r="C3" s="3">
        <v>11.22891818181818</v>
      </c>
      <c r="D3">
        <f>C3-B3</f>
        <v>0.43816818181818284</v>
      </c>
      <c r="E3">
        <f>(D3+D4)/2</f>
        <v>1.1004281250000005</v>
      </c>
      <c r="F3">
        <v>70</v>
      </c>
      <c r="G3">
        <v>7381</v>
      </c>
      <c r="H3">
        <f>E3*F3</f>
        <v>77.029968750000037</v>
      </c>
      <c r="I3">
        <f t="shared" ref="I3:I22" si="0">I4+H3</f>
        <v>180.02516079545433</v>
      </c>
      <c r="J3">
        <f t="shared" ref="J3:J23" si="1">(I3/G3)*1000</f>
        <v>24.390348299072528</v>
      </c>
    </row>
    <row r="4" spans="1:15" x14ac:dyDescent="0.25">
      <c r="A4">
        <v>10</v>
      </c>
      <c r="B4" s="3">
        <v>6.2359937500000004</v>
      </c>
      <c r="C4" s="3">
        <v>7.9986818181818187</v>
      </c>
      <c r="D4">
        <f t="shared" ref="D4:D36" si="2">C4-B4</f>
        <v>1.7626880681818182</v>
      </c>
      <c r="E4">
        <f t="shared" ref="E4:E36" si="3">(D4+D5)/2</f>
        <v>1.0598178977272723</v>
      </c>
      <c r="F4">
        <v>70</v>
      </c>
      <c r="G4">
        <v>7338</v>
      </c>
      <c r="H4">
        <f t="shared" ref="H4:H36" si="4">E4*F4</f>
        <v>74.187252840909068</v>
      </c>
      <c r="I4">
        <f t="shared" si="0"/>
        <v>102.99519204545429</v>
      </c>
      <c r="J4">
        <f t="shared" si="1"/>
        <v>14.035866999925632</v>
      </c>
      <c r="K4">
        <f>(B5-B3)/(A5-A3)</f>
        <v>-0.35085694444444426</v>
      </c>
      <c r="L4">
        <f>(C5-C3)/(A5-A3)</f>
        <v>-0.35536919191919186</v>
      </c>
      <c r="M4">
        <f>(K4+L4)/2</f>
        <v>-0.35311306818181809</v>
      </c>
      <c r="N4">
        <f>-J4/(M4*86400*$L$1)</f>
        <v>1.0848076732446721E-5</v>
      </c>
      <c r="O4" s="3">
        <f>N4*10000</f>
        <v>0.10848076732446721</v>
      </c>
    </row>
    <row r="5" spans="1:15" x14ac:dyDescent="0.25">
      <c r="A5">
        <v>20</v>
      </c>
      <c r="B5" s="3">
        <v>4.4753250000000007</v>
      </c>
      <c r="C5" s="3">
        <v>4.8322727272727271</v>
      </c>
      <c r="D5">
        <f t="shared" si="2"/>
        <v>0.35694772727272639</v>
      </c>
      <c r="E5">
        <f t="shared" si="3"/>
        <v>0.21553352272727233</v>
      </c>
      <c r="F5">
        <v>70</v>
      </c>
      <c r="G5">
        <v>7252</v>
      </c>
      <c r="H5">
        <f t="shared" si="4"/>
        <v>15.087346590909064</v>
      </c>
      <c r="I5">
        <f t="shared" si="0"/>
        <v>28.807939204545221</v>
      </c>
      <c r="J5">
        <f t="shared" si="1"/>
        <v>3.9724130177254855</v>
      </c>
      <c r="K5">
        <f t="shared" ref="K5:K36" si="5">(B6-B4)/(A6-A4)</f>
        <v>-0.10548656250000002</v>
      </c>
      <c r="L5">
        <f t="shared" ref="L5:L36" si="6">(C6-C4)/(A6-A4)</f>
        <v>-0.189915</v>
      </c>
      <c r="M5">
        <f t="shared" ref="M5:M36" si="7">(K5+L5)/2</f>
        <v>-0.14770078125000002</v>
      </c>
      <c r="N5">
        <f t="shared" ref="N5:N36" si="8">-J5/(M5*86400*$L$1)</f>
        <v>7.3400479755869236E-6</v>
      </c>
      <c r="O5" s="3">
        <f t="shared" ref="O5:O36" si="9">N5*10000</f>
        <v>7.3400479755869233E-2</v>
      </c>
    </row>
    <row r="6" spans="1:15" x14ac:dyDescent="0.25">
      <c r="A6">
        <v>30</v>
      </c>
      <c r="B6" s="3">
        <v>4.1262625000000002</v>
      </c>
      <c r="C6" s="3">
        <v>4.2003818181818184</v>
      </c>
      <c r="D6">
        <f t="shared" si="2"/>
        <v>7.4119318181818272E-2</v>
      </c>
      <c r="E6">
        <f t="shared" si="3"/>
        <v>3.6953409090909162E-2</v>
      </c>
      <c r="F6">
        <v>70</v>
      </c>
      <c r="G6">
        <v>7218</v>
      </c>
      <c r="H6">
        <f t="shared" si="4"/>
        <v>2.5867386363636413</v>
      </c>
      <c r="I6">
        <f t="shared" si="0"/>
        <v>13.720592613636157</v>
      </c>
      <c r="J6">
        <f t="shared" si="1"/>
        <v>1.9008856488828147</v>
      </c>
      <c r="K6">
        <f t="shared" si="5"/>
        <v>-2.2165625000000012E-2</v>
      </c>
      <c r="L6">
        <f t="shared" si="6"/>
        <v>-4.0023636363636331E-2</v>
      </c>
      <c r="M6">
        <f t="shared" si="7"/>
        <v>-3.1094630681818169E-2</v>
      </c>
      <c r="N6">
        <f t="shared" si="8"/>
        <v>1.6683911733456811E-5</v>
      </c>
      <c r="O6" s="3">
        <f t="shared" si="9"/>
        <v>0.1668391173345681</v>
      </c>
    </row>
    <row r="7" spans="1:15" x14ac:dyDescent="0.25">
      <c r="A7">
        <v>40</v>
      </c>
      <c r="B7" s="3">
        <v>4.0320125000000004</v>
      </c>
      <c r="C7" s="3">
        <v>4.0318000000000005</v>
      </c>
      <c r="D7">
        <f t="shared" si="2"/>
        <v>-2.1249999999994884E-4</v>
      </c>
      <c r="E7">
        <f t="shared" si="3"/>
        <v>-8.125568181817755E-3</v>
      </c>
      <c r="F7">
        <v>70</v>
      </c>
      <c r="G7">
        <v>7128.25</v>
      </c>
      <c r="H7">
        <f t="shared" si="4"/>
        <v>-0.56878977272724285</v>
      </c>
      <c r="I7">
        <f t="shared" si="0"/>
        <v>11.133853977272516</v>
      </c>
      <c r="J7">
        <f t="shared" si="1"/>
        <v>1.5619337112576743</v>
      </c>
      <c r="K7">
        <f t="shared" si="5"/>
        <v>-7.3293750000000156E-3</v>
      </c>
      <c r="L7">
        <f t="shared" si="6"/>
        <v>-1.1837272727272707E-2</v>
      </c>
      <c r="M7">
        <f t="shared" si="7"/>
        <v>-9.5833238636363616E-3</v>
      </c>
      <c r="N7">
        <f t="shared" si="8"/>
        <v>4.4480916583543312E-5</v>
      </c>
      <c r="O7" s="3">
        <f t="shared" si="9"/>
        <v>0.44480916583543312</v>
      </c>
    </row>
    <row r="8" spans="1:15" x14ac:dyDescent="0.25">
      <c r="A8">
        <v>50</v>
      </c>
      <c r="B8" s="3">
        <v>3.9796749999999999</v>
      </c>
      <c r="C8" s="3">
        <v>3.9636363636363643</v>
      </c>
      <c r="D8">
        <f t="shared" si="2"/>
        <v>-1.6038636363635561E-2</v>
      </c>
      <c r="E8">
        <f t="shared" si="3"/>
        <v>-1.6917613636363571E-2</v>
      </c>
      <c r="F8">
        <v>65</v>
      </c>
      <c r="G8">
        <v>6875.5</v>
      </c>
      <c r="H8">
        <f t="shared" si="4"/>
        <v>-1.0996448863636321</v>
      </c>
      <c r="I8">
        <f t="shared" si="0"/>
        <v>11.702643749999758</v>
      </c>
      <c r="J8">
        <f t="shared" si="1"/>
        <v>1.7020789397134402</v>
      </c>
      <c r="K8">
        <f t="shared" si="5"/>
        <v>-4.6312499999999982E-3</v>
      </c>
      <c r="L8">
        <f t="shared" si="6"/>
        <v>-5.5104545454545796E-3</v>
      </c>
      <c r="M8">
        <f t="shared" si="7"/>
        <v>-5.0708522727272894E-3</v>
      </c>
      <c r="N8">
        <f t="shared" si="8"/>
        <v>9.1606445937030876E-5</v>
      </c>
      <c r="O8" s="3">
        <f t="shared" si="9"/>
        <v>0.91606445937030878</v>
      </c>
    </row>
    <row r="9" spans="1:15" x14ac:dyDescent="0.25">
      <c r="A9">
        <v>60</v>
      </c>
      <c r="B9" s="3">
        <v>3.9393875000000005</v>
      </c>
      <c r="C9" s="3">
        <v>3.9215909090909089</v>
      </c>
      <c r="D9">
        <f t="shared" si="2"/>
        <v>-1.7796590909091581E-2</v>
      </c>
      <c r="E9">
        <f t="shared" si="3"/>
        <v>-2.0315624999999837E-2</v>
      </c>
      <c r="F9">
        <v>65</v>
      </c>
      <c r="G9">
        <v>6622.75</v>
      </c>
      <c r="H9">
        <f t="shared" si="4"/>
        <v>-1.3205156249999894</v>
      </c>
      <c r="I9">
        <f>I10+H9</f>
        <v>12.802288636363391</v>
      </c>
      <c r="J9">
        <f>(I9/G9)*1000</f>
        <v>1.9330774431110023</v>
      </c>
      <c r="K9">
        <f t="shared" si="5"/>
        <v>-3.0915625000000222E-3</v>
      </c>
      <c r="L9">
        <f t="shared" si="6"/>
        <v>-3.4313636363636491E-3</v>
      </c>
      <c r="M9">
        <f t="shared" si="7"/>
        <v>-3.2614630681818356E-3</v>
      </c>
      <c r="N9">
        <f t="shared" si="8"/>
        <v>1.6175737204967693E-4</v>
      </c>
      <c r="O9" s="3">
        <f>N9*10000</f>
        <v>1.6175737204967693</v>
      </c>
    </row>
    <row r="10" spans="1:15" x14ac:dyDescent="0.25">
      <c r="A10">
        <v>70</v>
      </c>
      <c r="B10" s="3">
        <v>3.9178437499999994</v>
      </c>
      <c r="C10" s="3">
        <v>3.8950090909090913</v>
      </c>
      <c r="D10">
        <f t="shared" si="2"/>
        <v>-2.2834659090908094E-2</v>
      </c>
      <c r="E10">
        <f t="shared" si="3"/>
        <v>-2.4145170454545006E-2</v>
      </c>
      <c r="F10">
        <v>65</v>
      </c>
      <c r="G10">
        <v>6370</v>
      </c>
      <c r="H10">
        <f>E10*F10</f>
        <v>-1.5694360795454254</v>
      </c>
      <c r="I10">
        <f t="shared" si="0"/>
        <v>14.122804261363381</v>
      </c>
      <c r="J10">
        <f t="shared" si="1"/>
        <v>2.217080731768192</v>
      </c>
      <c r="K10">
        <f t="shared" si="5"/>
        <v>-1.8674999999999998E-3</v>
      </c>
      <c r="L10">
        <f t="shared" si="6"/>
        <v>-2.2504545454545164E-3</v>
      </c>
      <c r="M10">
        <f t="shared" si="7"/>
        <v>-2.0589772727272583E-3</v>
      </c>
      <c r="N10">
        <f t="shared" si="8"/>
        <v>2.9387135088187831E-4</v>
      </c>
      <c r="O10" s="3">
        <f t="shared" si="9"/>
        <v>2.938713508818783</v>
      </c>
    </row>
    <row r="11" spans="1:15" x14ac:dyDescent="0.25">
      <c r="A11">
        <v>80</v>
      </c>
      <c r="B11" s="3">
        <v>3.9020375000000005</v>
      </c>
      <c r="C11" s="3">
        <v>3.8765818181818186</v>
      </c>
      <c r="D11">
        <f t="shared" si="2"/>
        <v>-2.5455681818181919E-2</v>
      </c>
      <c r="E11">
        <f>(D11+D12)/2</f>
        <v>-2.647670454545481E-2</v>
      </c>
      <c r="F11">
        <v>65</v>
      </c>
      <c r="G11">
        <v>6223</v>
      </c>
      <c r="H11">
        <f t="shared" si="4"/>
        <v>-1.7209857954545627</v>
      </c>
      <c r="I11">
        <f t="shared" si="0"/>
        <v>15.692240340908807</v>
      </c>
      <c r="J11">
        <f t="shared" si="1"/>
        <v>2.5216519911471651</v>
      </c>
      <c r="K11">
        <f t="shared" si="5"/>
        <v>-1.64593749999995E-3</v>
      </c>
      <c r="L11">
        <f t="shared" si="6"/>
        <v>-1.8790909090909303E-3</v>
      </c>
      <c r="M11">
        <f t="shared" si="7"/>
        <v>-1.7625142045454402E-3</v>
      </c>
      <c r="N11">
        <f t="shared" si="8"/>
        <v>3.904629390845992E-4</v>
      </c>
      <c r="O11" s="3">
        <f t="shared" si="9"/>
        <v>3.9046293908459919</v>
      </c>
    </row>
    <row r="12" spans="1:15" x14ac:dyDescent="0.25">
      <c r="A12">
        <v>90</v>
      </c>
      <c r="B12" s="3">
        <v>3.8849250000000004</v>
      </c>
      <c r="C12" s="3">
        <v>3.8574272727272727</v>
      </c>
      <c r="D12">
        <f t="shared" si="2"/>
        <v>-2.7497727272727701E-2</v>
      </c>
      <c r="E12">
        <f t="shared" si="3"/>
        <v>-2.6980681818181917E-2</v>
      </c>
      <c r="F12">
        <v>65</v>
      </c>
      <c r="G12">
        <v>6076</v>
      </c>
      <c r="H12">
        <f t="shared" si="4"/>
        <v>-1.7537443181818246</v>
      </c>
      <c r="I12">
        <f t="shared" si="0"/>
        <v>17.41322613636337</v>
      </c>
      <c r="J12">
        <f t="shared" si="1"/>
        <v>2.8659029190854786</v>
      </c>
      <c r="K12">
        <f t="shared" si="5"/>
        <v>-1.9418750000000484E-3</v>
      </c>
      <c r="L12">
        <f t="shared" si="6"/>
        <v>-1.9922727272727592E-3</v>
      </c>
      <c r="M12">
        <f t="shared" si="7"/>
        <v>-1.9670738636364039E-3</v>
      </c>
      <c r="N12">
        <f t="shared" si="8"/>
        <v>3.9761989055037876E-4</v>
      </c>
      <c r="O12" s="3">
        <f t="shared" si="9"/>
        <v>3.9761989055037876</v>
      </c>
    </row>
    <row r="13" spans="1:15" x14ac:dyDescent="0.25">
      <c r="A13">
        <v>100</v>
      </c>
      <c r="B13" s="3">
        <v>3.8631999999999995</v>
      </c>
      <c r="C13" s="3">
        <v>3.8367363636363634</v>
      </c>
      <c r="D13">
        <f t="shared" si="2"/>
        <v>-2.6463636363636134E-2</v>
      </c>
      <c r="E13">
        <f t="shared" si="3"/>
        <v>-1.7265909090909082E-2</v>
      </c>
      <c r="F13">
        <v>315</v>
      </c>
      <c r="G13">
        <v>5919</v>
      </c>
      <c r="H13">
        <f t="shared" si="4"/>
        <v>-5.4387613636363605</v>
      </c>
      <c r="I13">
        <f t="shared" si="0"/>
        <v>19.166970454545194</v>
      </c>
      <c r="J13">
        <f t="shared" si="1"/>
        <v>3.2382109232210161</v>
      </c>
      <c r="K13">
        <f t="shared" si="5"/>
        <v>-2.1495833333333345E-3</v>
      </c>
      <c r="L13">
        <f t="shared" si="6"/>
        <v>-1.8257575757575732E-3</v>
      </c>
      <c r="M13">
        <f t="shared" si="7"/>
        <v>-1.9876704545454538E-3</v>
      </c>
      <c r="N13">
        <f t="shared" si="8"/>
        <v>4.4461902887655663E-4</v>
      </c>
      <c r="O13" s="3">
        <f t="shared" si="9"/>
        <v>4.4461902887655667</v>
      </c>
    </row>
    <row r="14" spans="1:15" x14ac:dyDescent="0.25">
      <c r="A14">
        <v>150</v>
      </c>
      <c r="B14" s="3">
        <v>3.7559500000000003</v>
      </c>
      <c r="C14" s="3">
        <v>3.7478818181818183</v>
      </c>
      <c r="D14">
        <f t="shared" si="2"/>
        <v>-8.0681818181820297E-3</v>
      </c>
      <c r="E14">
        <f t="shared" si="3"/>
        <v>-8.086931818181764E-3</v>
      </c>
      <c r="F14">
        <v>311</v>
      </c>
      <c r="G14">
        <v>5762</v>
      </c>
      <c r="H14">
        <f t="shared" si="4"/>
        <v>-2.5150357954545286</v>
      </c>
      <c r="I14">
        <f t="shared" si="0"/>
        <v>24.605731818181553</v>
      </c>
      <c r="J14">
        <f t="shared" si="1"/>
        <v>4.2703456817392489</v>
      </c>
      <c r="K14">
        <f t="shared" si="5"/>
        <v>-1.9081249999999938E-3</v>
      </c>
      <c r="L14">
        <f t="shared" si="6"/>
        <v>-1.7245454545454476E-3</v>
      </c>
      <c r="M14">
        <f t="shared" si="7"/>
        <v>-1.8163352272727207E-3</v>
      </c>
      <c r="N14">
        <f t="shared" si="8"/>
        <v>6.4164427085487382E-4</v>
      </c>
      <c r="O14" s="3">
        <f t="shared" si="9"/>
        <v>6.4164427085487379</v>
      </c>
    </row>
    <row r="15" spans="1:15" x14ac:dyDescent="0.25">
      <c r="A15">
        <v>200</v>
      </c>
      <c r="B15" s="3">
        <v>3.6723875000000001</v>
      </c>
      <c r="C15" s="3">
        <v>3.6642818181818186</v>
      </c>
      <c r="D15">
        <f t="shared" si="2"/>
        <v>-8.1056818181814982E-3</v>
      </c>
      <c r="E15">
        <f t="shared" si="3"/>
        <v>5.3749999999985754E-4</v>
      </c>
      <c r="F15">
        <v>305</v>
      </c>
      <c r="G15">
        <v>5461</v>
      </c>
      <c r="H15">
        <f t="shared" si="4"/>
        <v>0.16393749999995655</v>
      </c>
      <c r="I15">
        <f t="shared" si="0"/>
        <v>27.120767613636083</v>
      </c>
      <c r="J15">
        <f t="shared" si="1"/>
        <v>4.9662639834528628</v>
      </c>
      <c r="K15">
        <f t="shared" si="5"/>
        <v>-1.6271250000000003E-3</v>
      </c>
      <c r="L15">
        <f t="shared" si="6"/>
        <v>-1.454636363636368E-3</v>
      </c>
      <c r="M15">
        <f t="shared" si="7"/>
        <v>-1.5408806818181841E-3</v>
      </c>
      <c r="N15">
        <f t="shared" si="8"/>
        <v>8.7960580145959996E-4</v>
      </c>
      <c r="O15" s="3">
        <f t="shared" si="9"/>
        <v>8.7960580145959995</v>
      </c>
    </row>
    <row r="16" spans="1:15" x14ac:dyDescent="0.25">
      <c r="A16">
        <v>250</v>
      </c>
      <c r="B16" s="3">
        <v>3.5932375000000003</v>
      </c>
      <c r="C16" s="3">
        <v>3.6024181818181815</v>
      </c>
      <c r="D16">
        <f t="shared" si="2"/>
        <v>9.1806818181812133E-3</v>
      </c>
      <c r="E16">
        <f t="shared" si="3"/>
        <v>1.1521874999999904E-2</v>
      </c>
      <c r="F16">
        <v>298</v>
      </c>
      <c r="G16">
        <v>5186</v>
      </c>
      <c r="H16">
        <f t="shared" si="4"/>
        <v>3.4335187499999713</v>
      </c>
      <c r="I16">
        <f t="shared" si="0"/>
        <v>26.956830113636126</v>
      </c>
      <c r="J16">
        <f t="shared" si="1"/>
        <v>5.198000407565778</v>
      </c>
      <c r="K16">
        <f t="shared" si="5"/>
        <v>-1.2676875000000054E-3</v>
      </c>
      <c r="L16">
        <f t="shared" si="6"/>
        <v>-1.0480000000000044E-3</v>
      </c>
      <c r="M16">
        <f t="shared" si="7"/>
        <v>-1.1578437500000048E-3</v>
      </c>
      <c r="N16">
        <f t="shared" si="8"/>
        <v>1.2252187888344419E-3</v>
      </c>
      <c r="O16" s="3">
        <f t="shared" si="9"/>
        <v>12.25218788834442</v>
      </c>
    </row>
    <row r="17" spans="1:15" x14ac:dyDescent="0.25">
      <c r="A17">
        <v>300</v>
      </c>
      <c r="B17" s="3">
        <v>3.5456187499999996</v>
      </c>
      <c r="C17" s="3">
        <v>3.5594818181818182</v>
      </c>
      <c r="D17">
        <f t="shared" si="2"/>
        <v>1.3863068181818594E-2</v>
      </c>
      <c r="E17">
        <f t="shared" si="3"/>
        <v>1.4769034090909461E-2</v>
      </c>
      <c r="F17">
        <v>289</v>
      </c>
      <c r="G17">
        <v>4893</v>
      </c>
      <c r="H17">
        <f t="shared" si="4"/>
        <v>4.2682508522728337</v>
      </c>
      <c r="I17">
        <f t="shared" si="0"/>
        <v>23.523311363636154</v>
      </c>
      <c r="J17">
        <f t="shared" si="1"/>
        <v>4.8075437080801455</v>
      </c>
      <c r="K17">
        <f t="shared" si="5"/>
        <v>-8.0712500000001074E-4</v>
      </c>
      <c r="L17">
        <f t="shared" si="6"/>
        <v>-7.4218181818181956E-4</v>
      </c>
      <c r="M17">
        <f t="shared" si="7"/>
        <v>-7.7465340909091515E-4</v>
      </c>
      <c r="N17">
        <f t="shared" si="8"/>
        <v>1.6937257860794553E-3</v>
      </c>
      <c r="O17" s="3">
        <f t="shared" si="9"/>
        <v>16.937257860794553</v>
      </c>
    </row>
    <row r="18" spans="1:15" x14ac:dyDescent="0.25">
      <c r="A18">
        <v>350</v>
      </c>
      <c r="B18" s="3">
        <v>3.5125249999999992</v>
      </c>
      <c r="C18" s="3">
        <v>3.5281999999999996</v>
      </c>
      <c r="D18">
        <f t="shared" si="2"/>
        <v>1.5675000000000328E-2</v>
      </c>
      <c r="E18">
        <f t="shared" si="3"/>
        <v>1.6390340909091083E-2</v>
      </c>
      <c r="F18">
        <v>284</v>
      </c>
      <c r="G18">
        <v>4615</v>
      </c>
      <c r="H18">
        <f t="shared" si="4"/>
        <v>4.6548568181818677</v>
      </c>
      <c r="I18">
        <f t="shared" si="0"/>
        <v>19.255060511363322</v>
      </c>
      <c r="J18">
        <f t="shared" si="1"/>
        <v>4.172277467250991</v>
      </c>
      <c r="K18">
        <f t="shared" si="5"/>
        <v>-5.8606249999999078E-4</v>
      </c>
      <c r="L18">
        <f t="shared" si="6"/>
        <v>-5.5363636363635837E-4</v>
      </c>
      <c r="M18">
        <f t="shared" si="7"/>
        <v>-5.6984943181817463E-4</v>
      </c>
      <c r="N18">
        <f t="shared" si="8"/>
        <v>1.9982064543126671E-3</v>
      </c>
      <c r="O18" s="3">
        <f t="shared" si="9"/>
        <v>19.982064543126672</v>
      </c>
    </row>
    <row r="19" spans="1:15" x14ac:dyDescent="0.25">
      <c r="A19">
        <v>400</v>
      </c>
      <c r="B19" s="3">
        <v>3.4870125000000005</v>
      </c>
      <c r="C19" s="3">
        <v>3.5041181818181824</v>
      </c>
      <c r="D19">
        <f t="shared" si="2"/>
        <v>1.7105681818181839E-2</v>
      </c>
      <c r="E19">
        <f t="shared" si="3"/>
        <v>1.5334090909090659E-2</v>
      </c>
      <c r="F19">
        <v>279</v>
      </c>
      <c r="G19">
        <v>4306</v>
      </c>
      <c r="H19">
        <f t="shared" si="4"/>
        <v>4.2782113636362933</v>
      </c>
      <c r="I19">
        <f t="shared" si="0"/>
        <v>14.600203693181454</v>
      </c>
      <c r="J19">
        <f t="shared" si="1"/>
        <v>3.3906650471856605</v>
      </c>
      <c r="K19">
        <f t="shared" si="5"/>
        <v>-4.7087499999999062E-4</v>
      </c>
      <c r="L19">
        <f t="shared" si="6"/>
        <v>-4.9199999999999906E-4</v>
      </c>
      <c r="M19">
        <f t="shared" si="7"/>
        <v>-4.8143749999999484E-4</v>
      </c>
      <c r="N19">
        <f t="shared" si="8"/>
        <v>1.9220835804996364E-3</v>
      </c>
      <c r="O19" s="3">
        <f t="shared" si="9"/>
        <v>19.220835804996366</v>
      </c>
    </row>
    <row r="20" spans="1:15" x14ac:dyDescent="0.25">
      <c r="A20">
        <v>450</v>
      </c>
      <c r="B20" s="3">
        <v>3.4654375000000002</v>
      </c>
      <c r="C20" s="3">
        <v>3.4789999999999996</v>
      </c>
      <c r="D20">
        <f t="shared" si="2"/>
        <v>1.3562499999999478E-2</v>
      </c>
      <c r="E20">
        <f t="shared" si="3"/>
        <v>1.303664772727231E-2</v>
      </c>
      <c r="F20">
        <v>271</v>
      </c>
      <c r="G20">
        <v>3966</v>
      </c>
      <c r="H20">
        <f t="shared" si="4"/>
        <v>3.5329315340907961</v>
      </c>
      <c r="I20">
        <f t="shared" si="0"/>
        <v>10.321992329545161</v>
      </c>
      <c r="J20">
        <f t="shared" si="1"/>
        <v>2.6026203554072516</v>
      </c>
      <c r="K20">
        <f t="shared" si="5"/>
        <v>-4.0268750000000076E-4</v>
      </c>
      <c r="L20">
        <f t="shared" si="6"/>
        <v>-4.4863636363636774E-4</v>
      </c>
      <c r="M20">
        <f t="shared" si="7"/>
        <v>-4.2566193181818427E-4</v>
      </c>
      <c r="N20">
        <f t="shared" si="8"/>
        <v>1.6686809386740691E-3</v>
      </c>
      <c r="O20" s="3">
        <f t="shared" si="9"/>
        <v>16.686809386740691</v>
      </c>
    </row>
    <row r="21" spans="1:15" x14ac:dyDescent="0.25">
      <c r="A21">
        <v>500</v>
      </c>
      <c r="B21" s="3">
        <v>3.4467437500000004</v>
      </c>
      <c r="C21" s="3">
        <v>3.4592545454545456</v>
      </c>
      <c r="D21">
        <f t="shared" si="2"/>
        <v>1.2510795454545143E-2</v>
      </c>
      <c r="E21">
        <f t="shared" si="3"/>
        <v>1.0740056818181465E-2</v>
      </c>
      <c r="F21">
        <v>262</v>
      </c>
      <c r="G21">
        <v>3571</v>
      </c>
      <c r="H21">
        <f t="shared" si="4"/>
        <v>2.8138948863635438</v>
      </c>
      <c r="I21">
        <f t="shared" si="0"/>
        <v>6.7890607954543647</v>
      </c>
      <c r="J21">
        <f t="shared" si="1"/>
        <v>1.9011651625467276</v>
      </c>
      <c r="K21">
        <f t="shared" si="5"/>
        <v>-3.3325000000000493E-4</v>
      </c>
      <c r="L21">
        <f t="shared" si="6"/>
        <v>-3.7918181818182185E-4</v>
      </c>
      <c r="M21">
        <f t="shared" si="7"/>
        <v>-3.5621590909091339E-4</v>
      </c>
      <c r="N21">
        <f t="shared" si="8"/>
        <v>1.4565782826939169E-3</v>
      </c>
      <c r="O21" s="3">
        <f t="shared" si="9"/>
        <v>14.56578282693917</v>
      </c>
    </row>
    <row r="22" spans="1:15" x14ac:dyDescent="0.25">
      <c r="A22">
        <v>550</v>
      </c>
      <c r="B22" s="3">
        <v>3.4321124999999997</v>
      </c>
      <c r="C22" s="3">
        <v>3.4410818181818175</v>
      </c>
      <c r="D22">
        <f t="shared" si="2"/>
        <v>8.969318181817787E-3</v>
      </c>
      <c r="E22">
        <f t="shared" si="3"/>
        <v>7.9210227272725753E-3</v>
      </c>
      <c r="F22">
        <v>251</v>
      </c>
      <c r="G22">
        <v>3239</v>
      </c>
      <c r="H22">
        <f t="shared" si="4"/>
        <v>1.9881767045454164</v>
      </c>
      <c r="I22">
        <f t="shared" si="0"/>
        <v>3.9751659090908213</v>
      </c>
      <c r="J22">
        <f t="shared" si="1"/>
        <v>1.2272818490555175</v>
      </c>
      <c r="K22">
        <f t="shared" si="5"/>
        <v>-2.834375000000078E-4</v>
      </c>
      <c r="L22">
        <f t="shared" si="6"/>
        <v>-3.3981818181818559E-4</v>
      </c>
      <c r="M22">
        <f t="shared" si="7"/>
        <v>-3.1162784090909667E-4</v>
      </c>
      <c r="N22">
        <f t="shared" si="8"/>
        <v>1.0748190497638194E-3</v>
      </c>
      <c r="O22" s="3">
        <f t="shared" si="9"/>
        <v>10.748190497638195</v>
      </c>
    </row>
    <row r="23" spans="1:15" x14ac:dyDescent="0.25">
      <c r="A23">
        <v>600</v>
      </c>
      <c r="B23" s="3">
        <v>3.4183999999999997</v>
      </c>
      <c r="C23" s="3">
        <v>3.425272727272727</v>
      </c>
      <c r="D23">
        <f t="shared" si="2"/>
        <v>6.8727272727273636E-3</v>
      </c>
      <c r="E23">
        <f t="shared" si="3"/>
        <v>5.3249999999998021E-3</v>
      </c>
      <c r="F23">
        <v>240</v>
      </c>
      <c r="G23">
        <v>2767</v>
      </c>
      <c r="H23">
        <f t="shared" si="4"/>
        <v>1.2779999999999525</v>
      </c>
      <c r="I23">
        <f>I24+H23</f>
        <v>1.986989204545405</v>
      </c>
      <c r="J23">
        <f t="shared" si="1"/>
        <v>0.71810235075728412</v>
      </c>
      <c r="K23">
        <f t="shared" si="5"/>
        <v>-2.3562499999999709E-4</v>
      </c>
      <c r="L23">
        <f t="shared" si="6"/>
        <v>-2.8754545454545255E-4</v>
      </c>
      <c r="M23">
        <f t="shared" si="7"/>
        <v>-2.6158522727272483E-4</v>
      </c>
      <c r="N23">
        <f t="shared" si="8"/>
        <v>7.4920458921397693E-4</v>
      </c>
      <c r="O23" s="3">
        <f t="shared" si="9"/>
        <v>7.4920458921397692</v>
      </c>
    </row>
    <row r="24" spans="1:15" x14ac:dyDescent="0.25">
      <c r="A24">
        <v>650</v>
      </c>
      <c r="B24" s="3">
        <v>3.40855</v>
      </c>
      <c r="C24" s="3">
        <v>3.4123272727272722</v>
      </c>
      <c r="D24">
        <f t="shared" si="2"/>
        <v>3.7772727272722406E-3</v>
      </c>
      <c r="E24">
        <f t="shared" si="3"/>
        <v>3.0960227272727181E-3</v>
      </c>
      <c r="F24">
        <v>229</v>
      </c>
      <c r="G24">
        <v>2129</v>
      </c>
      <c r="H24">
        <f t="shared" si="4"/>
        <v>0.70898920454545244</v>
      </c>
      <c r="I24">
        <f>H24</f>
        <v>0.70898920454545244</v>
      </c>
      <c r="J24">
        <f>(I24/G24)*1000</f>
        <v>0.33301512660660049</v>
      </c>
      <c r="K24">
        <f t="shared" si="5"/>
        <v>-1.6287499999999787E-4</v>
      </c>
      <c r="L24">
        <f t="shared" si="6"/>
        <v>-2.0745454545453956E-4</v>
      </c>
      <c r="M24">
        <f t="shared" si="7"/>
        <v>-1.8516477272726871E-4</v>
      </c>
      <c r="N24">
        <f t="shared" si="8"/>
        <v>4.9083202277954059E-4</v>
      </c>
      <c r="O24" s="3">
        <f t="shared" si="9"/>
        <v>4.9083202277954063</v>
      </c>
    </row>
    <row r="25" spans="1:15" x14ac:dyDescent="0.25">
      <c r="A25">
        <v>700</v>
      </c>
      <c r="B25" s="3">
        <v>3.4021124999999999</v>
      </c>
      <c r="C25" s="3">
        <v>3.4045272727272731</v>
      </c>
      <c r="D25">
        <f t="shared" si="2"/>
        <v>2.4147727272731956E-3</v>
      </c>
      <c r="E25">
        <f t="shared" si="3"/>
        <v>2.8366477272729895E-3</v>
      </c>
      <c r="F25" s="3">
        <v>216</v>
      </c>
      <c r="G25">
        <v>2130</v>
      </c>
      <c r="H25">
        <f t="shared" si="4"/>
        <v>0.61271590909096574</v>
      </c>
      <c r="I25">
        <f t="shared" ref="I25:I36" si="10">H25</f>
        <v>0.61271590909096574</v>
      </c>
      <c r="J25">
        <f t="shared" ref="J25:J36" si="11">(I25/G25)*1000</f>
        <v>0.28766005121641586</v>
      </c>
      <c r="K25">
        <f t="shared" si="5"/>
        <v>-1.2781250000000189E-4</v>
      </c>
      <c r="L25">
        <f t="shared" si="6"/>
        <v>-1.3299999999999646E-4</v>
      </c>
      <c r="M25">
        <f t="shared" si="7"/>
        <v>-1.3040624999999918E-4</v>
      </c>
      <c r="N25">
        <f t="shared" si="8"/>
        <v>6.0201656533269464E-4</v>
      </c>
      <c r="O25" s="3">
        <f t="shared" si="9"/>
        <v>6.0201656533269468</v>
      </c>
    </row>
    <row r="26" spans="1:15" x14ac:dyDescent="0.25">
      <c r="A26">
        <v>750</v>
      </c>
      <c r="B26" s="3">
        <v>3.3957687499999998</v>
      </c>
      <c r="C26" s="3">
        <v>3.3990272727272726</v>
      </c>
      <c r="D26">
        <f t="shared" si="2"/>
        <v>3.2585227272727835E-3</v>
      </c>
      <c r="E26">
        <f t="shared" si="3"/>
        <v>3.1227272727274435E-3</v>
      </c>
      <c r="F26" s="3">
        <v>205</v>
      </c>
      <c r="G26">
        <v>2131</v>
      </c>
      <c r="H26">
        <f t="shared" si="4"/>
        <v>0.64015909090912593</v>
      </c>
      <c r="I26">
        <f t="shared" si="10"/>
        <v>0.64015909090912593</v>
      </c>
      <c r="J26">
        <f t="shared" si="11"/>
        <v>0.30040313979780658</v>
      </c>
      <c r="K26">
        <f t="shared" si="5"/>
        <v>-1.1981250000000277E-4</v>
      </c>
      <c r="L26">
        <f t="shared" si="6"/>
        <v>-1.1409090909091369E-4</v>
      </c>
      <c r="M26">
        <f t="shared" si="7"/>
        <v>-1.1695170454545823E-4</v>
      </c>
      <c r="N26">
        <f t="shared" si="8"/>
        <v>7.0101160277146021E-4</v>
      </c>
      <c r="O26" s="3">
        <f t="shared" si="9"/>
        <v>7.0101160277146022</v>
      </c>
    </row>
    <row r="27" spans="1:15" x14ac:dyDescent="0.25">
      <c r="A27">
        <v>800</v>
      </c>
      <c r="B27" s="3">
        <v>3.3901312499999996</v>
      </c>
      <c r="C27" s="3">
        <v>3.3931181818181817</v>
      </c>
      <c r="D27">
        <f t="shared" si="2"/>
        <v>2.9869318181821036E-3</v>
      </c>
      <c r="E27">
        <f t="shared" si="3"/>
        <v>2.8343750000001666E-3</v>
      </c>
      <c r="F27" s="3">
        <v>192</v>
      </c>
      <c r="G27">
        <v>2132</v>
      </c>
      <c r="H27">
        <f t="shared" si="4"/>
        <v>0.54420000000003199</v>
      </c>
      <c r="I27">
        <f t="shared" si="10"/>
        <v>0.54420000000003199</v>
      </c>
      <c r="J27">
        <f t="shared" si="11"/>
        <v>0.2552532833020788</v>
      </c>
      <c r="K27">
        <f t="shared" si="5"/>
        <v>-1.1968749999999862E-4</v>
      </c>
      <c r="L27">
        <f t="shared" si="6"/>
        <v>-1.2545454545454416E-4</v>
      </c>
      <c r="M27">
        <f t="shared" si="7"/>
        <v>-1.2257102272727138E-4</v>
      </c>
      <c r="N27">
        <f t="shared" si="8"/>
        <v>5.6834340105938852E-4</v>
      </c>
      <c r="O27" s="3">
        <f t="shared" si="9"/>
        <v>5.683434010593885</v>
      </c>
    </row>
    <row r="28" spans="1:15" x14ac:dyDescent="0.25">
      <c r="A28">
        <v>850</v>
      </c>
      <c r="B28" s="3">
        <v>3.3837999999999999</v>
      </c>
      <c r="C28" s="3">
        <v>3.3864818181818181</v>
      </c>
      <c r="D28">
        <f t="shared" si="2"/>
        <v>2.6818181818182296E-3</v>
      </c>
      <c r="E28">
        <f t="shared" si="3"/>
        <v>3.2830519480513409E-3</v>
      </c>
      <c r="F28" s="3">
        <v>181</v>
      </c>
      <c r="G28">
        <v>2133</v>
      </c>
      <c r="H28">
        <f t="shared" si="4"/>
        <v>0.59423240259729271</v>
      </c>
      <c r="I28">
        <f t="shared" si="10"/>
        <v>0.59423240259729271</v>
      </c>
      <c r="J28">
        <f t="shared" si="11"/>
        <v>0.27858996840004346</v>
      </c>
      <c r="K28">
        <f t="shared" si="5"/>
        <v>-1.2445535714284973E-4</v>
      </c>
      <c r="L28">
        <f t="shared" si="6"/>
        <v>-1.1548181818182623E-4</v>
      </c>
      <c r="M28">
        <f t="shared" si="7"/>
        <v>-1.1996858766233798E-4</v>
      </c>
      <c r="N28">
        <f t="shared" si="8"/>
        <v>6.337605800659699E-4</v>
      </c>
      <c r="O28" s="3">
        <f t="shared" si="9"/>
        <v>6.3376058006596994</v>
      </c>
    </row>
    <row r="29" spans="1:15" x14ac:dyDescent="0.25">
      <c r="A29">
        <v>900</v>
      </c>
      <c r="B29" s="3">
        <v>3.3776857142857146</v>
      </c>
      <c r="C29" s="3">
        <v>3.3815699999999991</v>
      </c>
      <c r="D29">
        <f t="shared" si="2"/>
        <v>3.8842857142844522E-3</v>
      </c>
      <c r="E29">
        <f t="shared" si="3"/>
        <v>3.465714285713295E-3</v>
      </c>
      <c r="F29" s="3">
        <v>177</v>
      </c>
      <c r="G29">
        <v>2134</v>
      </c>
      <c r="H29">
        <f t="shared" si="4"/>
        <v>0.61343142857125321</v>
      </c>
      <c r="I29">
        <f t="shared" si="10"/>
        <v>0.61343142857125321</v>
      </c>
      <c r="J29">
        <f t="shared" si="11"/>
        <v>0.28745615209524522</v>
      </c>
      <c r="K29">
        <f t="shared" si="5"/>
        <v>-1.0907142857142116E-4</v>
      </c>
      <c r="L29">
        <f t="shared" si="6"/>
        <v>-1.0541818181818208E-4</v>
      </c>
      <c r="M29">
        <f t="shared" si="7"/>
        <v>-1.0724480519480161E-4</v>
      </c>
      <c r="N29">
        <f t="shared" si="8"/>
        <v>7.3151399236585815E-4</v>
      </c>
      <c r="O29" s="3">
        <f t="shared" si="9"/>
        <v>7.3151399236585819</v>
      </c>
    </row>
    <row r="30" spans="1:15" x14ac:dyDescent="0.25">
      <c r="A30">
        <v>950</v>
      </c>
      <c r="B30" s="3">
        <v>3.3728928571428578</v>
      </c>
      <c r="C30" s="3">
        <v>3.3759399999999999</v>
      </c>
      <c r="D30">
        <f t="shared" si="2"/>
        <v>3.0471428571421377E-3</v>
      </c>
      <c r="E30">
        <f t="shared" si="3"/>
        <v>2.4969841269835147E-3</v>
      </c>
      <c r="F30" s="3">
        <v>172</v>
      </c>
      <c r="G30">
        <v>2135</v>
      </c>
      <c r="H30">
        <f t="shared" si="4"/>
        <v>0.42948126984116453</v>
      </c>
      <c r="I30">
        <f t="shared" si="10"/>
        <v>0.42948126984116453</v>
      </c>
      <c r="J30">
        <f t="shared" si="11"/>
        <v>0.20116218727923396</v>
      </c>
      <c r="K30">
        <f t="shared" si="5"/>
        <v>-8.5214285714285687E-5</v>
      </c>
      <c r="L30">
        <f t="shared" si="6"/>
        <v>-1.0458888888888129E-4</v>
      </c>
      <c r="M30">
        <f t="shared" si="7"/>
        <v>-9.4901587301583496E-5</v>
      </c>
      <c r="N30">
        <f t="shared" si="8"/>
        <v>5.784957428844826E-4</v>
      </c>
      <c r="O30" s="3">
        <f t="shared" si="9"/>
        <v>5.7849574288448258</v>
      </c>
    </row>
    <row r="31" spans="1:15" x14ac:dyDescent="0.25">
      <c r="A31">
        <v>1000</v>
      </c>
      <c r="B31" s="3">
        <v>3.3691642857142861</v>
      </c>
      <c r="C31" s="3">
        <v>3.3711111111111109</v>
      </c>
      <c r="D31">
        <f t="shared" si="2"/>
        <v>1.9468253968248916E-3</v>
      </c>
      <c r="E31">
        <f t="shared" si="3"/>
        <v>2.3861111111109778E-3</v>
      </c>
      <c r="F31" s="3">
        <v>167</v>
      </c>
      <c r="G31">
        <v>2136</v>
      </c>
      <c r="H31">
        <f t="shared" si="4"/>
        <v>0.3984805555555333</v>
      </c>
      <c r="I31">
        <f t="shared" si="10"/>
        <v>0.3984805555555333</v>
      </c>
      <c r="J31">
        <f t="shared" si="11"/>
        <v>0.18655456720764668</v>
      </c>
      <c r="K31">
        <f t="shared" si="5"/>
        <v>-8.5071428571441559E-5</v>
      </c>
      <c r="L31">
        <f t="shared" si="6"/>
        <v>-8.7288888888892297E-5</v>
      </c>
      <c r="M31">
        <f t="shared" si="7"/>
        <v>-8.6180158730166928E-5</v>
      </c>
      <c r="N31">
        <f t="shared" si="8"/>
        <v>5.9078014462701626E-4</v>
      </c>
      <c r="O31" s="3">
        <f t="shared" si="9"/>
        <v>5.9078014462701622</v>
      </c>
    </row>
    <row r="32" spans="1:15" x14ac:dyDescent="0.25">
      <c r="A32">
        <v>1050</v>
      </c>
      <c r="B32" s="3">
        <v>3.3643857142857136</v>
      </c>
      <c r="C32" s="3">
        <v>3.3672111111111107</v>
      </c>
      <c r="D32">
        <f t="shared" si="2"/>
        <v>2.825396825397064E-3</v>
      </c>
      <c r="E32">
        <f t="shared" si="3"/>
        <v>2.4468253968257248E-3</v>
      </c>
      <c r="F32" s="3">
        <v>160</v>
      </c>
      <c r="G32">
        <v>2137</v>
      </c>
      <c r="H32">
        <f t="shared" si="4"/>
        <v>0.39149206349211596</v>
      </c>
      <c r="I32">
        <f t="shared" si="10"/>
        <v>0.39149206349211596</v>
      </c>
      <c r="J32">
        <f t="shared" si="11"/>
        <v>0.18319703485826672</v>
      </c>
      <c r="K32">
        <f t="shared" si="5"/>
        <v>-8.4214285714288021E-5</v>
      </c>
      <c r="L32">
        <f t="shared" si="6"/>
        <v>-8.2999999999993073E-5</v>
      </c>
      <c r="M32">
        <f t="shared" si="7"/>
        <v>-8.3607142857140547E-5</v>
      </c>
      <c r="N32">
        <f t="shared" si="8"/>
        <v>5.980016087636297E-4</v>
      </c>
      <c r="O32" s="3">
        <f t="shared" si="9"/>
        <v>5.9800160876362973</v>
      </c>
    </row>
    <row r="33" spans="1:15" x14ac:dyDescent="0.25">
      <c r="A33">
        <v>1100</v>
      </c>
      <c r="B33" s="3">
        <v>3.3607428571428573</v>
      </c>
      <c r="C33" s="3">
        <v>3.3628111111111116</v>
      </c>
      <c r="D33">
        <f t="shared" si="2"/>
        <v>2.0682539682543855E-3</v>
      </c>
      <c r="E33">
        <f t="shared" si="3"/>
        <v>1.5717338217344778E-3</v>
      </c>
      <c r="F33" s="3">
        <v>151</v>
      </c>
      <c r="G33">
        <v>2138</v>
      </c>
      <c r="H33">
        <f t="shared" si="4"/>
        <v>0.23733180708190615</v>
      </c>
      <c r="I33">
        <f t="shared" si="10"/>
        <v>0.23733180708190615</v>
      </c>
      <c r="J33">
        <f t="shared" si="11"/>
        <v>0.11100645794289343</v>
      </c>
      <c r="K33">
        <f t="shared" si="5"/>
        <v>-6.0164835164835396E-5</v>
      </c>
      <c r="L33">
        <f t="shared" si="6"/>
        <v>-7.7666666666660337E-5</v>
      </c>
      <c r="M33">
        <f t="shared" si="7"/>
        <v>-6.8915750915747863E-5</v>
      </c>
      <c r="N33">
        <f t="shared" si="8"/>
        <v>4.3959935557967052E-4</v>
      </c>
      <c r="O33" s="3">
        <f t="shared" si="9"/>
        <v>4.3959935557967054</v>
      </c>
    </row>
    <row r="34" spans="1:15" x14ac:dyDescent="0.25">
      <c r="A34">
        <v>1150</v>
      </c>
      <c r="B34" s="3">
        <v>3.3583692307692301</v>
      </c>
      <c r="C34" s="3">
        <v>3.3594444444444447</v>
      </c>
      <c r="D34">
        <f t="shared" si="2"/>
        <v>1.0752136752145702E-3</v>
      </c>
      <c r="E34">
        <f t="shared" si="3"/>
        <v>8.0058760683821006E-4</v>
      </c>
      <c r="F34" s="3">
        <v>145</v>
      </c>
      <c r="G34">
        <v>2139</v>
      </c>
      <c r="H34">
        <f t="shared" si="4"/>
        <v>0.11608520299154046</v>
      </c>
      <c r="I34">
        <f t="shared" si="10"/>
        <v>0.11608520299154046</v>
      </c>
      <c r="J34">
        <f t="shared" si="11"/>
        <v>5.4270782137232562E-2</v>
      </c>
      <c r="K34">
        <f t="shared" si="5"/>
        <v>-5.1813186813189918E-5</v>
      </c>
      <c r="L34">
        <f t="shared" si="6"/>
        <v>-6.7236111111115268E-5</v>
      </c>
      <c r="M34">
        <f t="shared" si="7"/>
        <v>-5.9524648962152593E-5</v>
      </c>
      <c r="N34">
        <f t="shared" si="8"/>
        <v>2.4882644354500618E-4</v>
      </c>
      <c r="O34" s="3">
        <f t="shared" si="9"/>
        <v>2.4882644354500618</v>
      </c>
    </row>
    <row r="35" spans="1:15" x14ac:dyDescent="0.25">
      <c r="A35">
        <v>1200</v>
      </c>
      <c r="B35" s="3">
        <v>3.3555615384615383</v>
      </c>
      <c r="C35" s="3">
        <v>3.3560875000000001</v>
      </c>
      <c r="D35">
        <f t="shared" si="2"/>
        <v>5.259615384618499E-4</v>
      </c>
      <c r="E35">
        <f t="shared" si="3"/>
        <v>9.1298076923074234E-4</v>
      </c>
      <c r="F35" s="3">
        <v>137</v>
      </c>
      <c r="G35">
        <v>2140</v>
      </c>
      <c r="H35">
        <f t="shared" si="4"/>
        <v>0.1250783653846117</v>
      </c>
      <c r="I35">
        <f t="shared" si="10"/>
        <v>0.1250783653846117</v>
      </c>
      <c r="J35">
        <f t="shared" si="11"/>
        <v>5.8447834291874626E-2</v>
      </c>
      <c r="K35">
        <f t="shared" si="5"/>
        <v>-5.9692307692298388E-5</v>
      </c>
      <c r="L35">
        <f t="shared" si="6"/>
        <v>-5.7444444444447737E-5</v>
      </c>
      <c r="M35">
        <f t="shared" si="7"/>
        <v>-5.8568376068373063E-5</v>
      </c>
      <c r="N35">
        <f t="shared" si="8"/>
        <v>2.7235323345854815E-4</v>
      </c>
      <c r="O35" s="3">
        <f t="shared" si="9"/>
        <v>2.7235323345854816</v>
      </c>
    </row>
    <row r="36" spans="1:15" x14ac:dyDescent="0.25">
      <c r="A36">
        <v>1250</v>
      </c>
      <c r="B36" s="3">
        <v>3.3524000000000003</v>
      </c>
      <c r="C36" s="3">
        <v>3.3536999999999999</v>
      </c>
      <c r="D36">
        <f t="shared" si="2"/>
        <v>1.2999999999996348E-3</v>
      </c>
      <c r="E36">
        <f t="shared" si="3"/>
        <v>6.4999999999981739E-4</v>
      </c>
      <c r="F36" s="3">
        <v>124</v>
      </c>
      <c r="G36">
        <v>2141</v>
      </c>
      <c r="H36">
        <f t="shared" si="4"/>
        <v>8.0599999999977356E-2</v>
      </c>
      <c r="I36">
        <f t="shared" si="10"/>
        <v>8.0599999999977356E-2</v>
      </c>
      <c r="J36">
        <f t="shared" si="11"/>
        <v>3.7645959831843698E-2</v>
      </c>
      <c r="K36">
        <f t="shared" si="5"/>
        <v>-7.0979020979016199E-5</v>
      </c>
      <c r="L36">
        <f t="shared" si="6"/>
        <v>-4.3674999999998575E-5</v>
      </c>
      <c r="M36">
        <f t="shared" si="7"/>
        <v>-5.732701048950739E-5</v>
      </c>
      <c r="N36">
        <f t="shared" si="8"/>
        <v>1.7921995935468594E-4</v>
      </c>
      <c r="O36" s="3">
        <f t="shared" si="9"/>
        <v>1.7921995935468593</v>
      </c>
    </row>
    <row r="37" spans="1:15" x14ac:dyDescent="0.25">
      <c r="A37">
        <v>1300</v>
      </c>
      <c r="B37" s="3">
        <v>3.3484636363636366</v>
      </c>
      <c r="C37" s="3">
        <v>3.3517200000000003</v>
      </c>
      <c r="F37" s="3">
        <v>101</v>
      </c>
      <c r="O37" s="3"/>
    </row>
    <row r="38" spans="1:15" x14ac:dyDescent="0.25">
      <c r="A38" s="8"/>
      <c r="B38" s="8"/>
      <c r="C38" s="3"/>
      <c r="F38" s="3">
        <v>67</v>
      </c>
      <c r="O38" s="3"/>
    </row>
    <row r="39" spans="1:15" x14ac:dyDescent="0.25">
      <c r="A39" s="8"/>
      <c r="B39" s="8"/>
      <c r="C39" s="3"/>
      <c r="F39" s="3">
        <v>25.9</v>
      </c>
      <c r="O39" s="3"/>
    </row>
    <row r="40" spans="1:15" x14ac:dyDescent="0.25">
      <c r="A40" s="8"/>
      <c r="B40" s="8"/>
      <c r="C40" s="3"/>
      <c r="D40" s="8"/>
      <c r="E40" s="8"/>
      <c r="F40" s="3"/>
      <c r="G40" s="9"/>
      <c r="O40" s="3"/>
    </row>
    <row r="41" spans="1:15" x14ac:dyDescent="0.25">
      <c r="A41" s="8"/>
      <c r="B41" s="8"/>
      <c r="C41" s="3"/>
      <c r="D41" s="8"/>
      <c r="E41" s="8"/>
      <c r="F41" s="3"/>
      <c r="G41" s="9"/>
      <c r="O41" s="3"/>
    </row>
    <row r="42" spans="1:15" x14ac:dyDescent="0.25">
      <c r="A42" s="8"/>
      <c r="B42" s="8"/>
      <c r="C42" s="3"/>
      <c r="D42" s="8"/>
      <c r="E42" s="8"/>
      <c r="F42" s="3"/>
      <c r="G42" s="9"/>
      <c r="O42" s="3"/>
    </row>
    <row r="43" spans="1:15" x14ac:dyDescent="0.25">
      <c r="A43" s="8"/>
      <c r="B43" s="8"/>
      <c r="C43" s="3"/>
      <c r="D43" s="8"/>
      <c r="E43" s="8"/>
      <c r="F43" s="3"/>
      <c r="G43" s="9"/>
      <c r="O43" s="3"/>
    </row>
    <row r="44" spans="1:15" x14ac:dyDescent="0.25">
      <c r="A44" s="8"/>
      <c r="B44" s="8"/>
      <c r="C44" s="3"/>
      <c r="D44" s="8"/>
      <c r="E44" s="8"/>
      <c r="F44" s="3"/>
      <c r="G44" s="9"/>
      <c r="O44" s="3"/>
    </row>
    <row r="45" spans="1:15" x14ac:dyDescent="0.25">
      <c r="A45" s="8"/>
      <c r="B45" s="8"/>
      <c r="C45" s="3"/>
      <c r="D45" s="8"/>
      <c r="E45" s="8"/>
      <c r="F45" s="3"/>
      <c r="G45" s="9"/>
      <c r="O45" s="3"/>
    </row>
    <row r="46" spans="1:15" x14ac:dyDescent="0.25">
      <c r="A46" s="8"/>
      <c r="B46" s="8"/>
      <c r="C46" s="3"/>
      <c r="D46" s="8"/>
      <c r="E46" s="8"/>
      <c r="F46" s="3"/>
      <c r="G46" s="9"/>
      <c r="O46" s="3"/>
    </row>
    <row r="47" spans="1:15" x14ac:dyDescent="0.25">
      <c r="A47" s="8"/>
      <c r="B47" s="8"/>
      <c r="C47" s="3"/>
      <c r="D47" s="8"/>
      <c r="E47" s="8"/>
      <c r="F47" s="3"/>
      <c r="G47" s="9"/>
      <c r="O47" s="3"/>
    </row>
    <row r="48" spans="1:15" x14ac:dyDescent="0.25">
      <c r="A48" s="8"/>
      <c r="B48" s="8"/>
      <c r="C48" s="3"/>
      <c r="D48" s="8"/>
      <c r="E48" s="8"/>
      <c r="F48" s="3"/>
      <c r="G48" s="9"/>
      <c r="O48" s="3"/>
    </row>
    <row r="49" spans="1:15" x14ac:dyDescent="0.25">
      <c r="A49" s="8"/>
      <c r="B49" s="8"/>
      <c r="C49" s="3"/>
      <c r="D49" s="8"/>
      <c r="E49" s="8"/>
      <c r="F49" s="3"/>
      <c r="G49" s="9"/>
      <c r="O49" s="3"/>
    </row>
    <row r="50" spans="1:15" x14ac:dyDescent="0.25">
      <c r="A50" s="8"/>
      <c r="B50" s="8"/>
      <c r="C50" s="3"/>
      <c r="D50" s="8"/>
      <c r="E50" s="8"/>
      <c r="F50" s="3"/>
      <c r="G50" s="9"/>
      <c r="O50" s="3"/>
    </row>
    <row r="51" spans="1:15" x14ac:dyDescent="0.25">
      <c r="A51" s="8"/>
      <c r="B51" s="8"/>
      <c r="C51" s="3"/>
      <c r="D51" s="8"/>
      <c r="E51" s="8"/>
      <c r="F51" s="3"/>
      <c r="G51" s="9"/>
      <c r="O51" s="3"/>
    </row>
    <row r="52" spans="1:15" x14ac:dyDescent="0.25">
      <c r="A52" s="8"/>
      <c r="B52" s="8"/>
      <c r="C52" s="3"/>
      <c r="D52" s="8"/>
      <c r="E52" s="8"/>
      <c r="F52" s="3"/>
      <c r="O52" s="3"/>
    </row>
    <row r="53" spans="1:15" x14ac:dyDescent="0.25">
      <c r="A53" s="8"/>
      <c r="B53" s="8"/>
      <c r="C53" s="3"/>
      <c r="D53" s="8"/>
      <c r="E53" s="8"/>
      <c r="F53" s="3"/>
      <c r="G53" s="9"/>
      <c r="O53" s="3"/>
    </row>
    <row r="54" spans="1:15" x14ac:dyDescent="0.25">
      <c r="A54" s="8"/>
      <c r="B54" s="8"/>
      <c r="C54" s="3"/>
      <c r="D54" s="8"/>
      <c r="E54" s="8"/>
      <c r="F54" s="3"/>
      <c r="G54" s="9"/>
      <c r="O54" s="3"/>
    </row>
    <row r="55" spans="1:15" x14ac:dyDescent="0.25">
      <c r="A55" s="8"/>
      <c r="B55" s="8"/>
      <c r="C55" s="3"/>
      <c r="D55" s="8"/>
      <c r="E55" s="8"/>
      <c r="F55" s="3"/>
      <c r="G55" s="9"/>
      <c r="O55" s="3"/>
    </row>
    <row r="56" spans="1:15" x14ac:dyDescent="0.25">
      <c r="A56" s="8"/>
      <c r="B56" s="8"/>
      <c r="C56" s="3"/>
      <c r="D56" s="8"/>
      <c r="E56" s="8"/>
      <c r="F56" s="3"/>
      <c r="G56" s="9"/>
      <c r="O56" s="3"/>
    </row>
    <row r="57" spans="1:15" x14ac:dyDescent="0.25">
      <c r="A57" s="8"/>
      <c r="B57" s="8"/>
      <c r="C57" s="3"/>
      <c r="D57" s="8"/>
      <c r="E57" s="8"/>
      <c r="F57" s="3"/>
      <c r="G57" s="9"/>
      <c r="O57" s="3"/>
    </row>
    <row r="58" spans="1:15" x14ac:dyDescent="0.25">
      <c r="A58" s="8"/>
      <c r="B58" s="8"/>
      <c r="C58" s="3"/>
      <c r="D58" s="8"/>
      <c r="E58" s="8"/>
      <c r="F58" s="3"/>
      <c r="G58" s="9"/>
      <c r="O58" s="3"/>
    </row>
    <row r="59" spans="1:15" x14ac:dyDescent="0.25">
      <c r="A59" s="8"/>
      <c r="B59" s="8"/>
      <c r="C59" s="3"/>
      <c r="D59" s="8"/>
      <c r="E59" s="8"/>
      <c r="F59" s="3"/>
      <c r="G59" s="9"/>
      <c r="O59" s="3"/>
    </row>
    <row r="60" spans="1:15" x14ac:dyDescent="0.25">
      <c r="B60" s="3"/>
      <c r="C60" s="3"/>
      <c r="D60" s="8"/>
      <c r="E60" s="8"/>
      <c r="F60" s="3"/>
      <c r="G60" s="9"/>
      <c r="O60" s="3"/>
    </row>
    <row r="61" spans="1:15" x14ac:dyDescent="0.25">
      <c r="B61" s="3"/>
      <c r="C61" s="3"/>
      <c r="D61" s="8"/>
      <c r="E61" s="8"/>
      <c r="F61" s="3"/>
      <c r="G61" s="9"/>
      <c r="O61" s="3"/>
    </row>
    <row r="62" spans="1:15" x14ac:dyDescent="0.25">
      <c r="B62" s="3"/>
      <c r="C62" s="3"/>
      <c r="D62" s="8"/>
      <c r="E62" s="8"/>
      <c r="F62" s="3"/>
      <c r="G62" s="9"/>
      <c r="O62" s="3"/>
    </row>
    <row r="63" spans="1:15" x14ac:dyDescent="0.25">
      <c r="B63" s="3"/>
      <c r="C63" s="3"/>
      <c r="D63" s="8"/>
      <c r="E63" s="8"/>
      <c r="F63" s="3"/>
      <c r="G63" s="9"/>
      <c r="O63" s="3"/>
    </row>
    <row r="64" spans="1:15" x14ac:dyDescent="0.25">
      <c r="B64" s="3"/>
      <c r="C64" s="3"/>
      <c r="D64" s="8"/>
      <c r="E64" s="8"/>
      <c r="F64" s="3"/>
      <c r="G64" s="9"/>
      <c r="O64" s="3"/>
    </row>
    <row r="65" spans="2:15" x14ac:dyDescent="0.25">
      <c r="B65" s="3"/>
      <c r="C65" s="3"/>
      <c r="D65" s="8"/>
      <c r="E65" s="8"/>
      <c r="F65" s="3"/>
      <c r="G65" s="9"/>
      <c r="O65" s="3"/>
    </row>
    <row r="66" spans="2:15" x14ac:dyDescent="0.25">
      <c r="B66" s="3"/>
      <c r="C66" s="3"/>
      <c r="D66" s="8"/>
      <c r="E66" s="8"/>
      <c r="F66" s="3"/>
      <c r="G66" s="9"/>
      <c r="O66" s="3"/>
    </row>
    <row r="67" spans="2:15" x14ac:dyDescent="0.25">
      <c r="B67" s="3"/>
      <c r="C67" s="3"/>
      <c r="D67" s="8"/>
      <c r="E67" s="8"/>
      <c r="F67" s="3"/>
      <c r="G67" s="9"/>
      <c r="O67" s="3"/>
    </row>
    <row r="68" spans="2:15" x14ac:dyDescent="0.25">
      <c r="B68" s="3"/>
      <c r="C68" s="3"/>
      <c r="D68" s="8"/>
      <c r="E68" s="8"/>
      <c r="F68" s="3"/>
      <c r="G68" s="9"/>
      <c r="O68" s="3"/>
    </row>
    <row r="69" spans="2:15" x14ac:dyDescent="0.25">
      <c r="B69" s="3"/>
      <c r="C69" s="3"/>
      <c r="D69" s="8"/>
      <c r="E69" s="8"/>
      <c r="F69" s="3"/>
      <c r="G69" s="9"/>
      <c r="O69" s="3"/>
    </row>
    <row r="70" spans="2:15" x14ac:dyDescent="0.25">
      <c r="B70" s="3"/>
      <c r="C70" s="3"/>
      <c r="D70" s="8"/>
      <c r="E70" s="8"/>
      <c r="F70" s="3"/>
      <c r="G70" s="9"/>
      <c r="O70" s="3"/>
    </row>
    <row r="71" spans="2:15" x14ac:dyDescent="0.25">
      <c r="B71" s="3"/>
      <c r="C71" s="3"/>
      <c r="D71" s="8"/>
      <c r="E71" s="8"/>
      <c r="F71" s="3"/>
      <c r="G71" s="9"/>
      <c r="O71" s="3"/>
    </row>
    <row r="72" spans="2:15" x14ac:dyDescent="0.25">
      <c r="B72" s="3"/>
      <c r="C72" s="3"/>
      <c r="D72" s="8"/>
      <c r="E72" s="8"/>
      <c r="F72" s="3"/>
      <c r="G72" s="9"/>
      <c r="O72" s="3"/>
    </row>
    <row r="73" spans="2:15" x14ac:dyDescent="0.25">
      <c r="B73" s="3"/>
      <c r="C73" s="3"/>
      <c r="D73" s="8"/>
      <c r="E73" s="8"/>
      <c r="F73" s="3"/>
      <c r="G73" s="9"/>
      <c r="O73" s="3"/>
    </row>
    <row r="74" spans="2:15" x14ac:dyDescent="0.25">
      <c r="B74" s="3"/>
      <c r="C74" s="3"/>
      <c r="D74" s="8"/>
      <c r="E74" s="8"/>
      <c r="F74" s="3"/>
      <c r="G74" s="9"/>
      <c r="O74" s="3"/>
    </row>
    <row r="75" spans="2:15" x14ac:dyDescent="0.25">
      <c r="B75" s="3"/>
      <c r="C75" s="3"/>
      <c r="D75" s="8"/>
      <c r="E75" s="8"/>
      <c r="F75" s="3"/>
      <c r="G75" s="9"/>
      <c r="O75" s="3"/>
    </row>
    <row r="76" spans="2:15" x14ac:dyDescent="0.25">
      <c r="B76" s="3"/>
      <c r="C76" s="3"/>
      <c r="D76" s="8"/>
      <c r="E76" s="8"/>
      <c r="F76" s="3"/>
      <c r="G76" s="9"/>
      <c r="O76" s="3"/>
    </row>
    <row r="77" spans="2:15" x14ac:dyDescent="0.25">
      <c r="B77" s="3"/>
      <c r="C77" s="3"/>
      <c r="D77" s="8"/>
      <c r="E77" s="8"/>
      <c r="F77" s="3"/>
      <c r="O77" s="3"/>
    </row>
    <row r="78" spans="2:15" x14ac:dyDescent="0.25">
      <c r="B78" s="3"/>
      <c r="C78" s="3"/>
      <c r="D78" s="8"/>
      <c r="E78" s="8"/>
      <c r="F78" s="3"/>
      <c r="G78" s="9"/>
      <c r="O78" s="3"/>
    </row>
    <row r="79" spans="2:15" x14ac:dyDescent="0.25">
      <c r="B79" s="3"/>
      <c r="C79" s="3"/>
      <c r="D79" s="8"/>
      <c r="E79" s="8"/>
      <c r="F79" s="3"/>
      <c r="G79" s="9"/>
      <c r="O79" s="3"/>
    </row>
    <row r="80" spans="2:15" x14ac:dyDescent="0.25">
      <c r="B80" s="3"/>
      <c r="C80" s="3"/>
      <c r="D80" s="8"/>
      <c r="E80" s="8"/>
      <c r="F80" s="3"/>
      <c r="G80" s="9"/>
      <c r="O80" s="3"/>
    </row>
    <row r="81" spans="2:15" x14ac:dyDescent="0.25">
      <c r="B81" s="3"/>
      <c r="C81" s="3"/>
      <c r="D81" s="8"/>
      <c r="E81" s="8"/>
      <c r="F81" s="3"/>
      <c r="G81" s="9"/>
      <c r="O81" s="3"/>
    </row>
    <row r="82" spans="2:15" x14ac:dyDescent="0.25">
      <c r="B82" s="3"/>
      <c r="C82" s="3"/>
      <c r="D82" s="8"/>
      <c r="E82" s="8"/>
      <c r="F82" s="3"/>
      <c r="G82" s="9"/>
      <c r="O82" s="3"/>
    </row>
    <row r="83" spans="2:15" x14ac:dyDescent="0.25">
      <c r="B83" s="3"/>
      <c r="C83" s="3"/>
      <c r="D83" s="8"/>
      <c r="E83" s="8"/>
      <c r="F83" s="3"/>
      <c r="G83" s="9"/>
      <c r="O83" s="3"/>
    </row>
    <row r="84" spans="2:15" x14ac:dyDescent="0.25">
      <c r="B84" s="3"/>
      <c r="C84" s="3"/>
      <c r="D84" s="8"/>
      <c r="E84" s="8"/>
      <c r="F84" s="3"/>
      <c r="G84" s="9"/>
      <c r="O84" s="3"/>
    </row>
    <row r="85" spans="2:15" x14ac:dyDescent="0.25">
      <c r="B85" s="3"/>
      <c r="C85" s="3"/>
      <c r="D85" s="8"/>
      <c r="E85" s="8"/>
      <c r="F85" s="3"/>
      <c r="G85" s="9"/>
      <c r="O85" s="3"/>
    </row>
    <row r="86" spans="2:15" x14ac:dyDescent="0.25">
      <c r="B86" s="3"/>
      <c r="C86" s="3"/>
      <c r="D86" s="8"/>
      <c r="E86" s="8"/>
      <c r="F86" s="3"/>
      <c r="G86" s="9"/>
      <c r="O86" s="3"/>
    </row>
    <row r="87" spans="2:15" x14ac:dyDescent="0.25">
      <c r="B87" s="3"/>
      <c r="C87" s="3"/>
      <c r="D87" s="8"/>
      <c r="E87" s="8"/>
      <c r="F87" s="3"/>
      <c r="G87" s="9"/>
      <c r="O87" s="3"/>
    </row>
    <row r="88" spans="2:15" x14ac:dyDescent="0.25">
      <c r="B88" s="3"/>
      <c r="C88" s="3"/>
      <c r="D88" s="8"/>
      <c r="E88" s="8"/>
      <c r="F88" s="3"/>
      <c r="G88" s="9"/>
      <c r="O88" s="3"/>
    </row>
    <row r="89" spans="2:15" x14ac:dyDescent="0.25">
      <c r="B89" s="3"/>
      <c r="C89" s="3"/>
      <c r="D89" s="8"/>
      <c r="E89" s="8"/>
      <c r="F89" s="3"/>
      <c r="G89" s="9"/>
      <c r="O89" s="3"/>
    </row>
    <row r="90" spans="2:15" x14ac:dyDescent="0.25">
      <c r="B90" s="3"/>
      <c r="C90" s="3"/>
      <c r="D90" s="8"/>
      <c r="E90" s="8"/>
      <c r="F90" s="3"/>
      <c r="G90" s="9"/>
      <c r="O90" s="3"/>
    </row>
    <row r="91" spans="2:15" x14ac:dyDescent="0.25">
      <c r="B91" s="3"/>
      <c r="C91" s="3"/>
      <c r="D91" s="8"/>
      <c r="E91" s="8"/>
      <c r="F91" s="3"/>
      <c r="G91" s="9"/>
      <c r="O91" s="3"/>
    </row>
    <row r="92" spans="2:15" x14ac:dyDescent="0.25">
      <c r="B92" s="3"/>
      <c r="C92" s="3"/>
      <c r="D92" s="8"/>
      <c r="E92" s="8"/>
      <c r="F92" s="3"/>
      <c r="G92" s="9"/>
      <c r="O92" s="3"/>
    </row>
    <row r="93" spans="2:15" x14ac:dyDescent="0.25">
      <c r="B93" s="3"/>
      <c r="C93" s="3"/>
      <c r="D93" s="8"/>
      <c r="E93" s="8"/>
      <c r="F93" s="3"/>
      <c r="G93" s="9"/>
      <c r="O93" s="3"/>
    </row>
    <row r="94" spans="2:15" x14ac:dyDescent="0.25">
      <c r="B94" s="3"/>
      <c r="C94" s="3"/>
      <c r="D94" s="8"/>
      <c r="E94" s="8"/>
      <c r="F94" s="3"/>
      <c r="G94" s="9"/>
      <c r="O94" s="3"/>
    </row>
    <row r="95" spans="2:15" x14ac:dyDescent="0.25">
      <c r="B95" s="3"/>
      <c r="C95" s="3"/>
      <c r="D95" s="8"/>
      <c r="E95" s="8"/>
      <c r="F95" s="3"/>
      <c r="G95" s="9"/>
      <c r="O95" s="3"/>
    </row>
    <row r="96" spans="2:15" x14ac:dyDescent="0.25">
      <c r="B96" s="3"/>
      <c r="C96" s="3"/>
      <c r="D96" s="8"/>
      <c r="E96" s="8"/>
      <c r="F96" s="3"/>
      <c r="G96" s="9"/>
      <c r="O96" s="3"/>
    </row>
    <row r="97" spans="2:15" x14ac:dyDescent="0.25">
      <c r="B97" s="3"/>
      <c r="C97" s="3"/>
      <c r="D97" s="8"/>
      <c r="E97" s="8"/>
      <c r="F97" s="3"/>
      <c r="G97" s="9"/>
      <c r="O97" s="3"/>
    </row>
    <row r="98" spans="2:15" x14ac:dyDescent="0.25">
      <c r="B98" s="3"/>
      <c r="C98" s="3"/>
      <c r="D98" s="8"/>
      <c r="E98" s="8"/>
      <c r="F98" s="3"/>
      <c r="G98" s="9"/>
      <c r="O98" s="3"/>
    </row>
    <row r="99" spans="2:15" x14ac:dyDescent="0.25">
      <c r="B99" s="3"/>
      <c r="C99" s="3"/>
      <c r="D99" s="8"/>
      <c r="E99" s="8"/>
      <c r="F99" s="3"/>
      <c r="G99" s="9"/>
      <c r="O99" s="3"/>
    </row>
    <row r="100" spans="2:15" x14ac:dyDescent="0.25">
      <c r="B100" s="3"/>
      <c r="C100" s="3"/>
      <c r="D100" s="8"/>
      <c r="E100" s="8"/>
      <c r="F100" s="3"/>
      <c r="G100" s="9"/>
      <c r="O100" s="3"/>
    </row>
    <row r="101" spans="2:15" x14ac:dyDescent="0.25">
      <c r="B101" s="3"/>
      <c r="C101" s="3"/>
      <c r="D101" s="8"/>
      <c r="E101" s="8"/>
      <c r="F101" s="3"/>
      <c r="G101" s="9"/>
      <c r="O101" s="3"/>
    </row>
    <row r="102" spans="2:15" x14ac:dyDescent="0.25">
      <c r="B102" s="3"/>
      <c r="C102" s="3"/>
      <c r="D102" s="8"/>
      <c r="E102" s="8"/>
      <c r="F102" s="3"/>
      <c r="O102" s="3"/>
    </row>
    <row r="103" spans="2:15" x14ac:dyDescent="0.25">
      <c r="B103" s="3"/>
      <c r="C103" s="3"/>
      <c r="D103" s="8"/>
      <c r="E103" s="8"/>
      <c r="F103" s="3"/>
      <c r="G103" s="9"/>
      <c r="O103" s="3"/>
    </row>
    <row r="104" spans="2:15" x14ac:dyDescent="0.25">
      <c r="B104" s="3"/>
      <c r="C104" s="3"/>
      <c r="D104" s="8"/>
      <c r="E104" s="8"/>
      <c r="F104" s="3"/>
      <c r="G104" s="9"/>
      <c r="O104" s="3"/>
    </row>
    <row r="105" spans="2:15" x14ac:dyDescent="0.25">
      <c r="B105" s="3"/>
      <c r="C105" s="3"/>
      <c r="D105" s="8"/>
      <c r="E105" s="8"/>
      <c r="F105" s="3"/>
      <c r="G105" s="9"/>
      <c r="O105" s="3"/>
    </row>
    <row r="106" spans="2:15" x14ac:dyDescent="0.25">
      <c r="B106" s="3"/>
      <c r="D106" s="8"/>
      <c r="E106" s="8"/>
      <c r="F106" s="3"/>
      <c r="G106" s="9"/>
      <c r="O106" s="3"/>
    </row>
    <row r="107" spans="2:15" x14ac:dyDescent="0.25">
      <c r="B107" s="3"/>
      <c r="D107" s="8"/>
      <c r="E107" s="8"/>
      <c r="F107" s="3"/>
      <c r="G107" s="9"/>
      <c r="O107" s="3"/>
    </row>
    <row r="108" spans="2:15" x14ac:dyDescent="0.25">
      <c r="B108" s="3"/>
      <c r="D108" s="8"/>
      <c r="E108" s="8"/>
      <c r="F108" s="3"/>
      <c r="G108" s="9"/>
      <c r="O108" s="3"/>
    </row>
    <row r="109" spans="2:15" x14ac:dyDescent="0.25">
      <c r="B109" s="3"/>
      <c r="D109" s="8"/>
      <c r="E109" s="8"/>
      <c r="F109" s="3"/>
      <c r="G109" s="9"/>
      <c r="O109" s="3"/>
    </row>
    <row r="110" spans="2:15" x14ac:dyDescent="0.25">
      <c r="B110" s="3"/>
      <c r="D110" s="8"/>
      <c r="E110" s="8"/>
      <c r="F110" s="3"/>
      <c r="G110" s="9"/>
      <c r="O110" s="3"/>
    </row>
    <row r="111" spans="2:15" x14ac:dyDescent="0.25">
      <c r="B111" s="3"/>
      <c r="D111" s="8"/>
      <c r="E111" s="8"/>
      <c r="F111" s="3"/>
      <c r="G111" s="9"/>
      <c r="O111" s="3"/>
    </row>
    <row r="112" spans="2:15" x14ac:dyDescent="0.25">
      <c r="B112" s="3"/>
      <c r="D112" s="8"/>
      <c r="E112" s="8"/>
      <c r="F112" s="3"/>
      <c r="G112" s="9"/>
      <c r="O112" s="3"/>
    </row>
    <row r="113" spans="2:15" x14ac:dyDescent="0.25">
      <c r="B113" s="3"/>
      <c r="D113" s="8"/>
      <c r="E113" s="8"/>
      <c r="F113" s="3"/>
      <c r="G113" s="9"/>
      <c r="O113" s="3"/>
    </row>
    <row r="114" spans="2:15" x14ac:dyDescent="0.25">
      <c r="B114" s="3"/>
      <c r="D114" s="8"/>
      <c r="E114" s="8"/>
      <c r="F114" s="3"/>
      <c r="G114" s="9"/>
      <c r="O114" s="3"/>
    </row>
    <row r="115" spans="2:15" x14ac:dyDescent="0.25">
      <c r="B115" s="3"/>
      <c r="D115" s="8"/>
      <c r="E115" s="8"/>
      <c r="F115" s="3"/>
      <c r="G115" s="9"/>
      <c r="O115" s="3"/>
    </row>
    <row r="116" spans="2:15" x14ac:dyDescent="0.25">
      <c r="B116" s="3"/>
      <c r="D116" s="8"/>
      <c r="E116" s="8"/>
      <c r="F116" s="3"/>
      <c r="G116" s="9"/>
      <c r="O116" s="3"/>
    </row>
    <row r="117" spans="2:15" x14ac:dyDescent="0.25">
      <c r="B117" s="3"/>
      <c r="D117" s="8"/>
      <c r="E117" s="8"/>
      <c r="F117" s="3"/>
      <c r="G117" s="9"/>
      <c r="O117" s="3"/>
    </row>
    <row r="118" spans="2:15" x14ac:dyDescent="0.25">
      <c r="B118" s="3"/>
      <c r="D118" s="8"/>
      <c r="E118" s="8"/>
      <c r="F118" s="3"/>
      <c r="G118" s="9"/>
      <c r="O118" s="3"/>
    </row>
    <row r="119" spans="2:15" x14ac:dyDescent="0.25">
      <c r="B119" s="3"/>
      <c r="D119" s="8"/>
      <c r="E119" s="8"/>
      <c r="F119" s="3"/>
      <c r="G119" s="9"/>
      <c r="O119" s="3"/>
    </row>
    <row r="120" spans="2:15" x14ac:dyDescent="0.25">
      <c r="B120" s="3"/>
      <c r="D120" s="8"/>
      <c r="E120" s="8"/>
      <c r="F120" s="3"/>
      <c r="G120" s="9"/>
      <c r="O120" s="3"/>
    </row>
    <row r="121" spans="2:15" x14ac:dyDescent="0.25">
      <c r="B121" s="3"/>
      <c r="D121" s="8"/>
      <c r="E121" s="8"/>
      <c r="F121" s="3"/>
      <c r="G121" s="9"/>
      <c r="O121" s="3"/>
    </row>
    <row r="122" spans="2:15" x14ac:dyDescent="0.25">
      <c r="B122" s="3"/>
      <c r="D122" s="8"/>
      <c r="E122" s="8"/>
      <c r="F122" s="3"/>
      <c r="G122" s="9"/>
      <c r="O122" s="3"/>
    </row>
    <row r="123" spans="2:15" x14ac:dyDescent="0.25">
      <c r="B123" s="3"/>
      <c r="D123" s="8"/>
      <c r="E123" s="8"/>
      <c r="F123" s="3"/>
      <c r="G123" s="9"/>
      <c r="O123" s="3"/>
    </row>
    <row r="124" spans="2:15" x14ac:dyDescent="0.25">
      <c r="B124" s="3"/>
      <c r="D124" s="8"/>
      <c r="E124" s="8"/>
      <c r="F124" s="3"/>
      <c r="G124" s="9"/>
      <c r="O124" s="3"/>
    </row>
    <row r="125" spans="2:15" x14ac:dyDescent="0.25">
      <c r="B125" s="3"/>
      <c r="D125" s="8"/>
      <c r="E125" s="8"/>
      <c r="F125" s="3"/>
      <c r="G125" s="9"/>
      <c r="O125" s="3"/>
    </row>
    <row r="126" spans="2:15" x14ac:dyDescent="0.25">
      <c r="B126" s="3"/>
      <c r="D126" s="8"/>
      <c r="E126" s="8"/>
      <c r="F126" s="3"/>
      <c r="G126" s="9"/>
      <c r="O126" s="3"/>
    </row>
    <row r="127" spans="2:15" x14ac:dyDescent="0.25">
      <c r="B127" s="3"/>
      <c r="D127" s="8"/>
      <c r="E127" s="8"/>
      <c r="F127" s="3"/>
      <c r="O127" s="3"/>
    </row>
    <row r="128" spans="2:15" x14ac:dyDescent="0.25">
      <c r="B128" s="3"/>
      <c r="D128" s="8"/>
      <c r="E128" s="8"/>
      <c r="F128" s="3"/>
      <c r="G128" s="9"/>
      <c r="O128" s="3"/>
    </row>
    <row r="129" spans="4:15" x14ac:dyDescent="0.25">
      <c r="D129" s="8"/>
      <c r="E129" s="8"/>
      <c r="F129" s="3"/>
      <c r="G129" s="9"/>
      <c r="O129" s="3"/>
    </row>
    <row r="130" spans="4:15" x14ac:dyDescent="0.25">
      <c r="D130" s="8"/>
      <c r="E130" s="8"/>
      <c r="F130" s="3"/>
      <c r="G130" s="9"/>
      <c r="O130" s="3"/>
    </row>
    <row r="131" spans="4:15" x14ac:dyDescent="0.25">
      <c r="D131" s="8"/>
      <c r="E131" s="8"/>
      <c r="F131" s="3"/>
      <c r="G131" s="9"/>
      <c r="O131" s="3"/>
    </row>
    <row r="132" spans="4:15" x14ac:dyDescent="0.25">
      <c r="D132" s="8"/>
      <c r="E132" s="8"/>
      <c r="F132" s="3"/>
      <c r="G132" s="9"/>
      <c r="O132" s="3"/>
    </row>
    <row r="133" spans="4:15" x14ac:dyDescent="0.25">
      <c r="D133" s="8"/>
      <c r="E133" s="8"/>
      <c r="F133" s="3"/>
      <c r="G133" s="9"/>
      <c r="O133" s="3"/>
    </row>
    <row r="134" spans="4:15" x14ac:dyDescent="0.25">
      <c r="D134" s="8"/>
      <c r="E134" s="8"/>
      <c r="F134" s="3"/>
      <c r="G134" s="9"/>
      <c r="O134" s="3"/>
    </row>
    <row r="135" spans="4:15" x14ac:dyDescent="0.25">
      <c r="D135" s="8"/>
      <c r="E135" s="8"/>
      <c r="F135" s="3"/>
      <c r="G135" s="9"/>
      <c r="O135" s="3"/>
    </row>
    <row r="136" spans="4:15" x14ac:dyDescent="0.25">
      <c r="D136" s="8"/>
      <c r="E136" s="8"/>
      <c r="F136" s="3"/>
      <c r="G136" s="9"/>
      <c r="O136" s="3"/>
    </row>
    <row r="137" spans="4:15" x14ac:dyDescent="0.25">
      <c r="D137" s="8"/>
      <c r="E137" s="8"/>
      <c r="F137" s="3"/>
      <c r="G137" s="9"/>
      <c r="O137" s="3"/>
    </row>
    <row r="138" spans="4:15" x14ac:dyDescent="0.25">
      <c r="D138" s="8"/>
      <c r="E138" s="8"/>
      <c r="F138" s="3"/>
      <c r="G138" s="9"/>
      <c r="O138" s="3"/>
    </row>
    <row r="139" spans="4:15" x14ac:dyDescent="0.25">
      <c r="D139" s="8"/>
      <c r="E139" s="8"/>
      <c r="F139" s="3"/>
      <c r="G139" s="9"/>
      <c r="O139" s="3"/>
    </row>
    <row r="140" spans="4:15" x14ac:dyDescent="0.25">
      <c r="D140" s="8"/>
      <c r="E140" s="8"/>
      <c r="F140" s="3"/>
      <c r="G140" s="9"/>
      <c r="O140" s="3"/>
    </row>
    <row r="141" spans="4:15" x14ac:dyDescent="0.25">
      <c r="D141" s="8"/>
      <c r="E141" s="8"/>
      <c r="F141" s="3"/>
      <c r="G141" s="9"/>
      <c r="O141" s="3"/>
    </row>
    <row r="142" spans="4:15" x14ac:dyDescent="0.25">
      <c r="D142" s="8"/>
      <c r="E142" s="8"/>
      <c r="F142" s="3"/>
      <c r="G142" s="9"/>
      <c r="O142" s="3"/>
    </row>
    <row r="143" spans="4:15" x14ac:dyDescent="0.25">
      <c r="D143" s="8"/>
      <c r="E143" s="8"/>
      <c r="F143" s="3"/>
      <c r="G143" s="9"/>
      <c r="O143" s="3"/>
    </row>
    <row r="144" spans="4:15" x14ac:dyDescent="0.25">
      <c r="D144" s="8"/>
      <c r="E144" s="8"/>
      <c r="F144" s="3"/>
      <c r="G144" s="9"/>
      <c r="O144" s="3"/>
    </row>
    <row r="145" spans="4:15" x14ac:dyDescent="0.25">
      <c r="D145" s="8"/>
      <c r="E145" s="8"/>
      <c r="F145" s="3"/>
      <c r="G145" s="9"/>
      <c r="O145" s="3"/>
    </row>
    <row r="146" spans="4:15" x14ac:dyDescent="0.25">
      <c r="D146" s="8"/>
      <c r="E146" s="8"/>
      <c r="F146" s="3"/>
      <c r="G146" s="9"/>
      <c r="O146" s="3"/>
    </row>
    <row r="147" spans="4:15" x14ac:dyDescent="0.25">
      <c r="D147" s="8"/>
      <c r="E147" s="8"/>
      <c r="F147" s="3"/>
      <c r="G147" s="9"/>
      <c r="O147" s="3"/>
    </row>
    <row r="148" spans="4:15" x14ac:dyDescent="0.25">
      <c r="D148" s="8"/>
      <c r="E148" s="8"/>
      <c r="F148" s="3"/>
      <c r="G148" s="9"/>
      <c r="O148" s="3"/>
    </row>
    <row r="149" spans="4:15" x14ac:dyDescent="0.25">
      <c r="D149" s="8"/>
      <c r="E149" s="8"/>
      <c r="F149" s="3"/>
      <c r="G149" s="9"/>
      <c r="O149" s="3"/>
    </row>
    <row r="150" spans="4:15" x14ac:dyDescent="0.25">
      <c r="D150" s="8"/>
      <c r="E150" s="8"/>
      <c r="F150" s="3"/>
      <c r="G150" s="9"/>
      <c r="O150" s="3"/>
    </row>
    <row r="151" spans="4:15" x14ac:dyDescent="0.25">
      <c r="D151" s="8"/>
      <c r="E151" s="8"/>
      <c r="F151" s="3"/>
      <c r="G151" s="9"/>
      <c r="O151" s="3"/>
    </row>
    <row r="152" spans="4:15" x14ac:dyDescent="0.25">
      <c r="D152" s="8"/>
      <c r="E152" s="8"/>
      <c r="F152" s="3"/>
      <c r="O152" s="3"/>
    </row>
    <row r="153" spans="4:15" x14ac:dyDescent="0.25">
      <c r="D153" s="8"/>
      <c r="E153" s="8"/>
      <c r="F153" s="3"/>
      <c r="G153" s="9"/>
      <c r="O153" s="3"/>
    </row>
    <row r="154" spans="4:15" x14ac:dyDescent="0.25">
      <c r="D154" s="8"/>
      <c r="E154" s="8"/>
      <c r="F154" s="3"/>
      <c r="G154" s="9"/>
      <c r="O154" s="3"/>
    </row>
    <row r="155" spans="4:15" x14ac:dyDescent="0.25">
      <c r="D155" s="8"/>
      <c r="E155" s="8"/>
      <c r="F155" s="3"/>
      <c r="G155" s="9"/>
      <c r="O155" s="3"/>
    </row>
    <row r="156" spans="4:15" x14ac:dyDescent="0.25">
      <c r="D156" s="8"/>
      <c r="E156" s="8"/>
      <c r="F156" s="3"/>
      <c r="G156" s="9"/>
      <c r="O156" s="3"/>
    </row>
    <row r="157" spans="4:15" x14ac:dyDescent="0.25">
      <c r="D157" s="8"/>
      <c r="E157" s="8"/>
      <c r="F157" s="3"/>
      <c r="G157" s="9"/>
      <c r="O157" s="3"/>
    </row>
    <row r="158" spans="4:15" x14ac:dyDescent="0.25">
      <c r="D158" s="8"/>
      <c r="E158" s="8"/>
      <c r="F158" s="3"/>
      <c r="G158" s="9"/>
      <c r="O158" s="3"/>
    </row>
    <row r="159" spans="4:15" x14ac:dyDescent="0.25">
      <c r="D159" s="8"/>
      <c r="E159" s="8"/>
      <c r="F159" s="3"/>
      <c r="G159" s="9"/>
      <c r="O159" s="3"/>
    </row>
    <row r="160" spans="4:15" x14ac:dyDescent="0.25">
      <c r="D160" s="8"/>
      <c r="E160" s="8"/>
      <c r="F160" s="3"/>
      <c r="G160" s="9"/>
      <c r="O160" s="3"/>
    </row>
    <row r="161" spans="4:15" x14ac:dyDescent="0.25">
      <c r="D161" s="8"/>
      <c r="E161" s="8"/>
      <c r="F161" s="3"/>
      <c r="G161" s="9"/>
      <c r="O161" s="3"/>
    </row>
    <row r="162" spans="4:15" x14ac:dyDescent="0.25">
      <c r="D162" s="8"/>
      <c r="E162" s="8"/>
      <c r="F162" s="3"/>
      <c r="G162" s="9"/>
      <c r="O162" s="3"/>
    </row>
    <row r="163" spans="4:15" x14ac:dyDescent="0.25">
      <c r="D163" s="8"/>
      <c r="E163" s="8"/>
      <c r="F163" s="3"/>
      <c r="G163" s="9"/>
      <c r="O163" s="3"/>
    </row>
    <row r="164" spans="4:15" x14ac:dyDescent="0.25">
      <c r="D164" s="8"/>
      <c r="E164" s="8"/>
      <c r="F164" s="3"/>
      <c r="G164" s="9"/>
      <c r="O164" s="3"/>
    </row>
    <row r="165" spans="4:15" x14ac:dyDescent="0.25">
      <c r="D165" s="8"/>
      <c r="E165" s="8"/>
      <c r="F165" s="3"/>
      <c r="G165" s="9"/>
      <c r="O165" s="3"/>
    </row>
    <row r="166" spans="4:15" x14ac:dyDescent="0.25">
      <c r="D166" s="8"/>
      <c r="E166" s="8"/>
      <c r="F166" s="3"/>
      <c r="G166" s="9"/>
      <c r="O166" s="3"/>
    </row>
    <row r="167" spans="4:15" x14ac:dyDescent="0.25">
      <c r="D167" s="8"/>
      <c r="E167" s="8"/>
      <c r="F167" s="3"/>
      <c r="G167" s="9"/>
      <c r="O167" s="3"/>
    </row>
    <row r="168" spans="4:15" x14ac:dyDescent="0.25">
      <c r="D168" s="8"/>
      <c r="E168" s="8"/>
      <c r="F168" s="3"/>
      <c r="G168" s="9"/>
      <c r="O168" s="3"/>
    </row>
    <row r="169" spans="4:15" x14ac:dyDescent="0.25">
      <c r="D169" s="8"/>
      <c r="E169" s="8"/>
      <c r="F169" s="3"/>
      <c r="G169" s="9"/>
      <c r="O169" s="3"/>
    </row>
    <row r="170" spans="4:15" x14ac:dyDescent="0.25">
      <c r="D170" s="8"/>
      <c r="E170" s="8"/>
      <c r="F170" s="3"/>
      <c r="G170" s="9"/>
      <c r="O170" s="3"/>
    </row>
    <row r="171" spans="4:15" x14ac:dyDescent="0.25">
      <c r="D171" s="8"/>
      <c r="E171" s="8"/>
      <c r="F171" s="3"/>
      <c r="G171" s="9"/>
      <c r="O171" s="3"/>
    </row>
    <row r="172" spans="4:15" x14ac:dyDescent="0.25">
      <c r="D172" s="8"/>
      <c r="E172" s="8"/>
      <c r="F172" s="3"/>
      <c r="G172" s="9"/>
      <c r="O172" s="3"/>
    </row>
    <row r="173" spans="4:15" x14ac:dyDescent="0.25">
      <c r="D173" s="8"/>
      <c r="E173" s="8"/>
      <c r="F173" s="3"/>
      <c r="G173" s="9"/>
      <c r="O173" s="3"/>
    </row>
    <row r="174" spans="4:15" x14ac:dyDescent="0.25">
      <c r="D174" s="8"/>
      <c r="E174" s="8"/>
      <c r="F174" s="3"/>
      <c r="G174" s="9"/>
      <c r="O174" s="3"/>
    </row>
    <row r="175" spans="4:15" x14ac:dyDescent="0.25">
      <c r="D175" s="8"/>
      <c r="E175" s="8"/>
      <c r="F175" s="3"/>
      <c r="G175" s="9"/>
      <c r="O175" s="3"/>
    </row>
    <row r="176" spans="4:15" x14ac:dyDescent="0.25">
      <c r="D176" s="8"/>
      <c r="E176" s="8"/>
      <c r="F176" s="3"/>
      <c r="G176" s="9"/>
      <c r="O176" s="3"/>
    </row>
    <row r="177" spans="4:15" x14ac:dyDescent="0.25">
      <c r="D177" s="8"/>
      <c r="E177" s="8"/>
      <c r="F177" s="3"/>
      <c r="O177" s="3"/>
    </row>
    <row r="178" spans="4:15" x14ac:dyDescent="0.25">
      <c r="D178" s="8"/>
      <c r="E178" s="8"/>
      <c r="F178" s="3"/>
      <c r="G178" s="9"/>
      <c r="O178" s="3"/>
    </row>
    <row r="179" spans="4:15" x14ac:dyDescent="0.25">
      <c r="D179" s="8"/>
      <c r="E179" s="8"/>
      <c r="F179" s="3"/>
      <c r="G179" s="9"/>
      <c r="O179" s="3"/>
    </row>
    <row r="180" spans="4:15" x14ac:dyDescent="0.25">
      <c r="D180" s="8"/>
      <c r="E180" s="8"/>
      <c r="F180" s="3"/>
      <c r="G180" s="9"/>
      <c r="O180" s="3"/>
    </row>
    <row r="181" spans="4:15" x14ac:dyDescent="0.25">
      <c r="D181" s="8"/>
      <c r="E181" s="8"/>
      <c r="F181" s="3"/>
      <c r="G181" s="9"/>
      <c r="O181" s="3"/>
    </row>
    <row r="182" spans="4:15" x14ac:dyDescent="0.25">
      <c r="D182" s="8"/>
      <c r="E182" s="8"/>
      <c r="F182" s="3"/>
      <c r="G182" s="9"/>
      <c r="O182" s="3"/>
    </row>
    <row r="183" spans="4:15" x14ac:dyDescent="0.25">
      <c r="D183" s="8"/>
      <c r="E183" s="8"/>
      <c r="F183" s="3"/>
      <c r="G183" s="9"/>
      <c r="O183" s="3"/>
    </row>
    <row r="184" spans="4:15" x14ac:dyDescent="0.25">
      <c r="D184" s="8"/>
      <c r="E184" s="8"/>
      <c r="F184" s="3"/>
      <c r="G184" s="9"/>
      <c r="O184" s="3"/>
    </row>
    <row r="185" spans="4:15" x14ac:dyDescent="0.25">
      <c r="D185" s="8"/>
      <c r="E185" s="8"/>
      <c r="F185" s="3"/>
      <c r="G185" s="9"/>
      <c r="O185" s="3"/>
    </row>
    <row r="186" spans="4:15" x14ac:dyDescent="0.25">
      <c r="D186" s="8"/>
      <c r="E186" s="8"/>
      <c r="F186" s="3"/>
      <c r="G186" s="9"/>
      <c r="O186" s="3"/>
    </row>
    <row r="187" spans="4:15" x14ac:dyDescent="0.25">
      <c r="D187" s="8"/>
      <c r="E187" s="8"/>
      <c r="F187" s="3"/>
      <c r="G187" s="9"/>
      <c r="O187" s="3"/>
    </row>
    <row r="188" spans="4:15" x14ac:dyDescent="0.25">
      <c r="D188" s="8"/>
      <c r="E188" s="8"/>
      <c r="F188" s="3"/>
      <c r="G188" s="9"/>
      <c r="O188" s="3"/>
    </row>
    <row r="189" spans="4:15" x14ac:dyDescent="0.25">
      <c r="D189" s="8"/>
      <c r="E189" s="8"/>
      <c r="F189" s="3"/>
      <c r="G189" s="9"/>
      <c r="O189" s="3"/>
    </row>
    <row r="190" spans="4:15" x14ac:dyDescent="0.25">
      <c r="D190" s="8"/>
      <c r="E190" s="8"/>
      <c r="F190" s="3"/>
      <c r="G190" s="9"/>
      <c r="O190" s="3"/>
    </row>
    <row r="191" spans="4:15" x14ac:dyDescent="0.25">
      <c r="D191" s="8"/>
      <c r="E191" s="8"/>
      <c r="F191" s="3"/>
      <c r="G191" s="9"/>
      <c r="O191" s="3"/>
    </row>
    <row r="192" spans="4:15" x14ac:dyDescent="0.25">
      <c r="D192" s="8"/>
      <c r="E192" s="8"/>
      <c r="F192" s="3"/>
      <c r="G192" s="9"/>
      <c r="O192" s="3"/>
    </row>
    <row r="193" spans="4:15" x14ac:dyDescent="0.25">
      <c r="D193" s="8"/>
      <c r="E193" s="8"/>
      <c r="F193" s="3"/>
      <c r="G193" s="9"/>
      <c r="O193" s="3"/>
    </row>
    <row r="194" spans="4:15" x14ac:dyDescent="0.25">
      <c r="D194" s="8"/>
      <c r="E194" s="8"/>
      <c r="F194" s="3"/>
      <c r="G194" s="9"/>
      <c r="O194" s="3"/>
    </row>
    <row r="195" spans="4:15" x14ac:dyDescent="0.25">
      <c r="D195" s="8"/>
      <c r="E195" s="8"/>
      <c r="F195" s="3"/>
      <c r="G195" s="9"/>
      <c r="O195" s="3"/>
    </row>
    <row r="196" spans="4:15" x14ac:dyDescent="0.25">
      <c r="D196" s="8"/>
      <c r="E196" s="8"/>
      <c r="F196" s="3"/>
      <c r="G196" s="9"/>
      <c r="O196" s="3"/>
    </row>
    <row r="197" spans="4:15" x14ac:dyDescent="0.25">
      <c r="D197" s="8"/>
      <c r="E197" s="8"/>
      <c r="F197" s="3"/>
      <c r="G197" s="9"/>
      <c r="O197" s="3"/>
    </row>
    <row r="198" spans="4:15" x14ac:dyDescent="0.25">
      <c r="D198" s="8"/>
      <c r="E198" s="8"/>
      <c r="F198" s="3"/>
      <c r="G198" s="9"/>
      <c r="O198" s="3"/>
    </row>
    <row r="199" spans="4:15" x14ac:dyDescent="0.25">
      <c r="D199" s="8"/>
      <c r="E199" s="8"/>
      <c r="F199" s="3"/>
      <c r="G199" s="9"/>
      <c r="O199" s="3"/>
    </row>
    <row r="200" spans="4:15" x14ac:dyDescent="0.25">
      <c r="D200" s="8"/>
      <c r="E200" s="8"/>
      <c r="F200" s="3"/>
      <c r="G200" s="9"/>
      <c r="O200" s="3"/>
    </row>
    <row r="201" spans="4:15" x14ac:dyDescent="0.25">
      <c r="D201" s="8"/>
      <c r="E201" s="8"/>
      <c r="F201" s="3"/>
      <c r="G201" s="9"/>
      <c r="O201" s="3"/>
    </row>
    <row r="202" spans="4:15" x14ac:dyDescent="0.25">
      <c r="D202" s="8"/>
      <c r="E202" s="8"/>
      <c r="F202" s="3"/>
      <c r="O202" s="3"/>
    </row>
    <row r="203" spans="4:15" x14ac:dyDescent="0.25">
      <c r="D203" s="8"/>
      <c r="E203" s="8"/>
      <c r="F203" s="3"/>
      <c r="G203" s="9"/>
      <c r="O203" s="3"/>
    </row>
    <row r="204" spans="4:15" x14ac:dyDescent="0.25">
      <c r="D204" s="8"/>
      <c r="E204" s="8"/>
      <c r="F204" s="3"/>
      <c r="G204" s="9"/>
      <c r="O204" s="3"/>
    </row>
    <row r="205" spans="4:15" x14ac:dyDescent="0.25">
      <c r="D205" s="8"/>
      <c r="E205" s="8"/>
      <c r="F205" s="3"/>
      <c r="G205" s="9"/>
      <c r="O205" s="3"/>
    </row>
    <row r="206" spans="4:15" x14ac:dyDescent="0.25">
      <c r="D206" s="8"/>
      <c r="E206" s="8"/>
      <c r="F206" s="3"/>
      <c r="G206" s="9"/>
      <c r="O206" s="3"/>
    </row>
    <row r="207" spans="4:15" x14ac:dyDescent="0.25">
      <c r="D207" s="8"/>
      <c r="E207" s="8"/>
      <c r="F207" s="3"/>
      <c r="G207" s="9"/>
      <c r="O207" s="3"/>
    </row>
    <row r="208" spans="4:15" x14ac:dyDescent="0.25">
      <c r="D208" s="8"/>
      <c r="E208" s="8"/>
      <c r="F208" s="3"/>
      <c r="G208" s="9"/>
      <c r="O208" s="3"/>
    </row>
    <row r="209" spans="4:15" x14ac:dyDescent="0.25">
      <c r="D209" s="8"/>
      <c r="E209" s="8"/>
      <c r="F209" s="3"/>
      <c r="G209" s="9"/>
      <c r="O209" s="3"/>
    </row>
    <row r="210" spans="4:15" x14ac:dyDescent="0.25">
      <c r="D210" s="8"/>
      <c r="E210" s="8"/>
      <c r="F210" s="3"/>
      <c r="G210" s="9"/>
      <c r="O210" s="3"/>
    </row>
    <row r="211" spans="4:15" x14ac:dyDescent="0.25">
      <c r="D211" s="8"/>
      <c r="E211" s="8"/>
      <c r="F211" s="3"/>
      <c r="G211" s="9"/>
      <c r="O211" s="3"/>
    </row>
    <row r="212" spans="4:15" x14ac:dyDescent="0.25">
      <c r="D212" s="8"/>
      <c r="E212" s="8"/>
      <c r="F212" s="3"/>
      <c r="G212" s="9"/>
      <c r="O212" s="3"/>
    </row>
    <row r="213" spans="4:15" x14ac:dyDescent="0.25">
      <c r="D213" s="8"/>
      <c r="E213" s="8"/>
      <c r="F213" s="3"/>
      <c r="G213" s="9"/>
      <c r="O213" s="3"/>
    </row>
    <row r="214" spans="4:15" x14ac:dyDescent="0.25">
      <c r="D214" s="8"/>
      <c r="E214" s="8"/>
      <c r="F214" s="3"/>
      <c r="G214" s="9"/>
      <c r="O214" s="3"/>
    </row>
    <row r="215" spans="4:15" x14ac:dyDescent="0.25">
      <c r="D215" s="8"/>
      <c r="E215" s="8"/>
      <c r="F215" s="3"/>
      <c r="G215" s="9"/>
      <c r="O215" s="3"/>
    </row>
    <row r="216" spans="4:15" x14ac:dyDescent="0.25">
      <c r="D216" s="8"/>
      <c r="E216" s="8"/>
      <c r="F216" s="3"/>
      <c r="G216" s="9"/>
      <c r="O216" s="3"/>
    </row>
    <row r="217" spans="4:15" x14ac:dyDescent="0.25">
      <c r="D217" s="8"/>
      <c r="E217" s="8"/>
      <c r="F217" s="3"/>
      <c r="G217" s="9"/>
      <c r="O217" s="3"/>
    </row>
    <row r="218" spans="4:15" x14ac:dyDescent="0.25">
      <c r="D218" s="8"/>
      <c r="E218" s="8"/>
      <c r="F218" s="3"/>
      <c r="G218" s="9"/>
      <c r="O218" s="3"/>
    </row>
    <row r="219" spans="4:15" x14ac:dyDescent="0.25">
      <c r="D219" s="8"/>
      <c r="E219" s="8"/>
      <c r="F219" s="3"/>
      <c r="G219" s="9"/>
      <c r="O219" s="3"/>
    </row>
    <row r="220" spans="4:15" x14ac:dyDescent="0.25">
      <c r="D220" s="8"/>
      <c r="E220" s="8"/>
      <c r="F220" s="3"/>
      <c r="G220" s="9"/>
      <c r="O220" s="3"/>
    </row>
    <row r="221" spans="4:15" x14ac:dyDescent="0.25">
      <c r="D221" s="8"/>
      <c r="E221" s="8"/>
      <c r="F221" s="3"/>
      <c r="G221" s="9"/>
      <c r="O221" s="3"/>
    </row>
    <row r="222" spans="4:15" x14ac:dyDescent="0.25">
      <c r="D222" s="8"/>
      <c r="E222" s="8"/>
      <c r="F222" s="3"/>
      <c r="G222" s="9"/>
      <c r="O222" s="3"/>
    </row>
    <row r="223" spans="4:15" x14ac:dyDescent="0.25">
      <c r="D223" s="8"/>
      <c r="E223" s="8"/>
      <c r="F223" s="3"/>
      <c r="G223" s="9"/>
      <c r="O223" s="3"/>
    </row>
    <row r="224" spans="4:15" x14ac:dyDescent="0.25">
      <c r="D224" s="8"/>
      <c r="E224" s="8"/>
      <c r="F224" s="3"/>
      <c r="G224" s="9"/>
      <c r="O224" s="3"/>
    </row>
    <row r="225" spans="4:15" x14ac:dyDescent="0.25">
      <c r="D225" s="8"/>
      <c r="E225" s="8"/>
      <c r="F225" s="3"/>
      <c r="G225" s="9"/>
      <c r="O225" s="3"/>
    </row>
    <row r="226" spans="4:15" x14ac:dyDescent="0.25">
      <c r="D226" s="8"/>
      <c r="E226" s="8"/>
      <c r="F226" s="3"/>
      <c r="G226" s="9"/>
      <c r="O226" s="3"/>
    </row>
    <row r="227" spans="4:15" x14ac:dyDescent="0.25">
      <c r="D227" s="8"/>
      <c r="E227" s="8"/>
      <c r="F227" s="3"/>
      <c r="O227" s="3"/>
    </row>
    <row r="228" spans="4:15" x14ac:dyDescent="0.25">
      <c r="D228" s="8"/>
      <c r="E228" s="8"/>
      <c r="F228" s="3"/>
      <c r="G228" s="9"/>
      <c r="O228" s="3"/>
    </row>
    <row r="229" spans="4:15" x14ac:dyDescent="0.25">
      <c r="D229" s="8"/>
      <c r="E229" s="8"/>
      <c r="F229" s="3"/>
      <c r="G229" s="9"/>
      <c r="O229" s="3"/>
    </row>
    <row r="230" spans="4:15" x14ac:dyDescent="0.25">
      <c r="D230" s="8"/>
      <c r="E230" s="8"/>
      <c r="F230" s="3"/>
      <c r="G230" s="9"/>
      <c r="O230" s="3"/>
    </row>
    <row r="231" spans="4:15" x14ac:dyDescent="0.25">
      <c r="D231" s="8"/>
      <c r="E231" s="8"/>
      <c r="F231" s="3"/>
      <c r="G231" s="9"/>
      <c r="O231" s="3"/>
    </row>
    <row r="232" spans="4:15" x14ac:dyDescent="0.25">
      <c r="D232" s="8"/>
      <c r="E232" s="8"/>
      <c r="F232" s="3"/>
      <c r="G232" s="9"/>
      <c r="O232" s="3"/>
    </row>
    <row r="233" spans="4:15" x14ac:dyDescent="0.25">
      <c r="D233" s="8"/>
      <c r="E233" s="8"/>
      <c r="F233" s="3"/>
      <c r="G233" s="9"/>
      <c r="O233" s="3"/>
    </row>
    <row r="234" spans="4:15" x14ac:dyDescent="0.25">
      <c r="D234" s="8"/>
      <c r="E234" s="8"/>
      <c r="F234" s="3"/>
      <c r="G234" s="9"/>
      <c r="O234" s="3"/>
    </row>
    <row r="235" spans="4:15" x14ac:dyDescent="0.25">
      <c r="D235" s="8"/>
      <c r="E235" s="8"/>
      <c r="F235" s="3"/>
      <c r="G235" s="9"/>
      <c r="O235" s="3"/>
    </row>
    <row r="236" spans="4:15" x14ac:dyDescent="0.25">
      <c r="D236" s="8"/>
      <c r="E236" s="8"/>
      <c r="F236" s="3"/>
      <c r="G236" s="9"/>
      <c r="O236" s="3"/>
    </row>
    <row r="237" spans="4:15" x14ac:dyDescent="0.25">
      <c r="D237" s="8"/>
      <c r="E237" s="8"/>
      <c r="F237" s="3"/>
      <c r="G237" s="9"/>
      <c r="O237" s="3"/>
    </row>
    <row r="238" spans="4:15" x14ac:dyDescent="0.25">
      <c r="D238" s="8"/>
      <c r="E238" s="8"/>
      <c r="F238" s="3"/>
      <c r="G238" s="9"/>
      <c r="O238" s="3"/>
    </row>
    <row r="239" spans="4:15" x14ac:dyDescent="0.25">
      <c r="D239" s="8"/>
      <c r="E239" s="8"/>
      <c r="F239" s="3"/>
      <c r="G239" s="9"/>
      <c r="O239" s="3"/>
    </row>
    <row r="240" spans="4:15" x14ac:dyDescent="0.25">
      <c r="D240" s="8"/>
      <c r="E240" s="8"/>
      <c r="F240" s="3"/>
      <c r="G240" s="9"/>
      <c r="O240" s="3"/>
    </row>
    <row r="241" spans="4:15" x14ac:dyDescent="0.25">
      <c r="D241" s="8"/>
      <c r="E241" s="8"/>
      <c r="F241" s="3"/>
      <c r="G241" s="9"/>
      <c r="O241" s="3"/>
    </row>
    <row r="242" spans="4:15" x14ac:dyDescent="0.25">
      <c r="D242" s="8"/>
      <c r="E242" s="8"/>
      <c r="F242" s="3"/>
      <c r="G242" s="9"/>
      <c r="O242" s="3"/>
    </row>
    <row r="243" spans="4:15" x14ac:dyDescent="0.25">
      <c r="D243" s="8"/>
      <c r="E243" s="8"/>
      <c r="F243" s="3"/>
      <c r="G243" s="9"/>
      <c r="O243" s="3"/>
    </row>
    <row r="244" spans="4:15" x14ac:dyDescent="0.25">
      <c r="D244" s="8"/>
      <c r="E244" s="8"/>
      <c r="F244" s="3"/>
      <c r="G244" s="9"/>
      <c r="O244" s="3"/>
    </row>
    <row r="245" spans="4:15" x14ac:dyDescent="0.25">
      <c r="D245" s="8"/>
      <c r="E245" s="8"/>
      <c r="F245" s="3"/>
      <c r="G245" s="9"/>
      <c r="O245" s="3"/>
    </row>
    <row r="246" spans="4:15" x14ac:dyDescent="0.25">
      <c r="D246" s="8"/>
      <c r="E246" s="8"/>
      <c r="F246" s="3"/>
      <c r="G246" s="9"/>
      <c r="O246" s="3"/>
    </row>
    <row r="247" spans="4:15" x14ac:dyDescent="0.25">
      <c r="D247" s="8"/>
      <c r="E247" s="8"/>
      <c r="F247" s="3"/>
      <c r="G247" s="9"/>
      <c r="O247" s="3"/>
    </row>
    <row r="248" spans="4:15" x14ac:dyDescent="0.25">
      <c r="D248" s="8"/>
      <c r="E248" s="8"/>
      <c r="F248" s="3"/>
      <c r="G248" s="9"/>
      <c r="O248" s="3"/>
    </row>
    <row r="249" spans="4:15" x14ac:dyDescent="0.25">
      <c r="D249" s="8"/>
      <c r="E249" s="8"/>
      <c r="F249" s="3"/>
      <c r="G249" s="9"/>
      <c r="O249" s="3"/>
    </row>
    <row r="250" spans="4:15" x14ac:dyDescent="0.25">
      <c r="D250" s="8"/>
      <c r="E250" s="8"/>
      <c r="F250" s="3"/>
      <c r="G250" s="9"/>
      <c r="O250" s="3"/>
    </row>
    <row r="251" spans="4:15" x14ac:dyDescent="0.25">
      <c r="D251" s="8"/>
      <c r="E251" s="8"/>
      <c r="F251" s="3"/>
      <c r="G251" s="9"/>
      <c r="O251" s="3"/>
    </row>
    <row r="252" spans="4:15" x14ac:dyDescent="0.25">
      <c r="D252" s="8"/>
      <c r="E252" s="8"/>
      <c r="F252" s="3"/>
      <c r="O252" s="3"/>
    </row>
    <row r="253" spans="4:15" x14ac:dyDescent="0.25">
      <c r="D253" s="8"/>
      <c r="E253" s="8"/>
      <c r="F253" s="3"/>
      <c r="G253" s="9"/>
      <c r="O253" s="3"/>
    </row>
    <row r="254" spans="4:15" x14ac:dyDescent="0.25">
      <c r="D254" s="8"/>
      <c r="E254" s="8"/>
      <c r="F254" s="3"/>
      <c r="G254" s="9"/>
      <c r="O254" s="3"/>
    </row>
    <row r="255" spans="4:15" x14ac:dyDescent="0.25">
      <c r="D255" s="8"/>
      <c r="E255" s="8"/>
      <c r="F255" s="3"/>
      <c r="G255" s="9"/>
      <c r="O255" s="3"/>
    </row>
    <row r="256" spans="4:15" x14ac:dyDescent="0.25">
      <c r="D256" s="8"/>
      <c r="E256" s="8"/>
      <c r="F256" s="3"/>
      <c r="G256" s="9"/>
      <c r="O256" s="3"/>
    </row>
    <row r="257" spans="4:15" x14ac:dyDescent="0.25">
      <c r="D257" s="8"/>
      <c r="E257" s="8"/>
      <c r="F257" s="3"/>
      <c r="G257" s="9"/>
      <c r="O257" s="3"/>
    </row>
    <row r="258" spans="4:15" x14ac:dyDescent="0.25">
      <c r="D258" s="8"/>
      <c r="E258" s="8"/>
      <c r="F258" s="3"/>
      <c r="G258" s="9"/>
      <c r="O258" s="3"/>
    </row>
    <row r="259" spans="4:15" x14ac:dyDescent="0.25">
      <c r="D259" s="8"/>
      <c r="E259" s="8"/>
      <c r="F259" s="3"/>
      <c r="G259" s="9"/>
      <c r="O259" s="3"/>
    </row>
    <row r="260" spans="4:15" x14ac:dyDescent="0.25">
      <c r="D260" s="8"/>
      <c r="E260" s="8"/>
      <c r="F260" s="3"/>
      <c r="G260" s="9"/>
      <c r="O260" s="3"/>
    </row>
    <row r="261" spans="4:15" x14ac:dyDescent="0.25">
      <c r="D261" s="8"/>
      <c r="E261" s="8"/>
      <c r="F261" s="3"/>
      <c r="G261" s="9"/>
      <c r="O261" s="3"/>
    </row>
    <row r="262" spans="4:15" x14ac:dyDescent="0.25">
      <c r="D262" s="8"/>
      <c r="E262" s="8"/>
      <c r="F262" s="3"/>
      <c r="G262" s="9"/>
      <c r="O262" s="3"/>
    </row>
    <row r="263" spans="4:15" x14ac:dyDescent="0.25">
      <c r="D263" s="8"/>
      <c r="E263" s="8"/>
      <c r="F263" s="3"/>
      <c r="G263" s="9"/>
      <c r="O263" s="3"/>
    </row>
    <row r="264" spans="4:15" x14ac:dyDescent="0.25">
      <c r="D264" s="8"/>
      <c r="E264" s="8"/>
      <c r="F264" s="3"/>
      <c r="G264" s="9"/>
      <c r="O264" s="3"/>
    </row>
    <row r="265" spans="4:15" x14ac:dyDescent="0.25">
      <c r="D265" s="8"/>
      <c r="E265" s="8"/>
      <c r="F265" s="3"/>
      <c r="G265" s="9"/>
      <c r="O265" s="3"/>
    </row>
    <row r="266" spans="4:15" x14ac:dyDescent="0.25">
      <c r="D266" s="8"/>
      <c r="E266" s="8"/>
      <c r="F266" s="3"/>
      <c r="G266" s="9"/>
      <c r="O266" s="3"/>
    </row>
    <row r="267" spans="4:15" x14ac:dyDescent="0.25">
      <c r="D267" s="8"/>
      <c r="E267" s="8"/>
      <c r="F267" s="3"/>
      <c r="G267" s="9"/>
      <c r="O267" s="3"/>
    </row>
    <row r="268" spans="4:15" x14ac:dyDescent="0.25">
      <c r="D268" s="8"/>
      <c r="E268" s="8"/>
      <c r="F268" s="3"/>
      <c r="G268" s="9"/>
      <c r="O268" s="3"/>
    </row>
    <row r="269" spans="4:15" x14ac:dyDescent="0.25">
      <c r="D269" s="8"/>
      <c r="E269" s="8"/>
      <c r="F269" s="3"/>
      <c r="G269" s="9"/>
      <c r="O269" s="3"/>
    </row>
    <row r="270" spans="4:15" x14ac:dyDescent="0.25">
      <c r="D270" s="8"/>
      <c r="E270" s="8"/>
      <c r="F270" s="3"/>
      <c r="G270" s="9"/>
      <c r="O270" s="3"/>
    </row>
    <row r="271" spans="4:15" x14ac:dyDescent="0.25">
      <c r="D271" s="8"/>
      <c r="E271" s="8"/>
      <c r="F271" s="3"/>
      <c r="G271" s="9"/>
      <c r="O271" s="3"/>
    </row>
    <row r="272" spans="4:15" x14ac:dyDescent="0.25">
      <c r="D272" s="8"/>
      <c r="E272" s="8"/>
      <c r="F272" s="3"/>
      <c r="G272" s="9"/>
      <c r="O272" s="3"/>
    </row>
    <row r="273" spans="4:15" x14ac:dyDescent="0.25">
      <c r="D273" s="8"/>
      <c r="E273" s="8"/>
      <c r="F273" s="3"/>
      <c r="G273" s="9"/>
      <c r="O273" s="3"/>
    </row>
    <row r="274" spans="4:15" x14ac:dyDescent="0.25">
      <c r="D274" s="8"/>
      <c r="E274" s="8"/>
      <c r="F274" s="3"/>
      <c r="G274" s="9"/>
      <c r="O274" s="3"/>
    </row>
    <row r="275" spans="4:15" x14ac:dyDescent="0.25">
      <c r="D275" s="8"/>
      <c r="E275" s="8"/>
      <c r="F275" s="3"/>
      <c r="G275" s="9"/>
      <c r="O275" s="3"/>
    </row>
    <row r="276" spans="4:15" x14ac:dyDescent="0.25">
      <c r="D276" s="8"/>
      <c r="E276" s="8"/>
      <c r="F276" s="3"/>
      <c r="G276" s="9"/>
      <c r="O276" s="3"/>
    </row>
    <row r="277" spans="4:15" x14ac:dyDescent="0.25">
      <c r="D277" s="8"/>
      <c r="E277" s="8"/>
      <c r="F277" s="3"/>
      <c r="O277" s="3"/>
    </row>
    <row r="278" spans="4:15" x14ac:dyDescent="0.25">
      <c r="D278" s="8"/>
      <c r="E278" s="8"/>
      <c r="F278" s="3"/>
      <c r="G278" s="9"/>
      <c r="O278" s="3"/>
    </row>
    <row r="279" spans="4:15" x14ac:dyDescent="0.25">
      <c r="D279" s="8"/>
      <c r="E279" s="8"/>
      <c r="F279" s="3"/>
      <c r="G279" s="9"/>
      <c r="O279" s="3"/>
    </row>
    <row r="280" spans="4:15" x14ac:dyDescent="0.25">
      <c r="D280" s="8"/>
      <c r="E280" s="8"/>
      <c r="F280" s="3"/>
      <c r="G280" s="9"/>
      <c r="O280" s="3"/>
    </row>
    <row r="281" spans="4:15" x14ac:dyDescent="0.25">
      <c r="D281" s="8"/>
      <c r="E281" s="8"/>
      <c r="F281" s="3"/>
      <c r="G281" s="9"/>
      <c r="O281" s="3"/>
    </row>
    <row r="282" spans="4:15" x14ac:dyDescent="0.25">
      <c r="D282" s="8"/>
      <c r="E282" s="8"/>
      <c r="F282" s="3"/>
      <c r="G282" s="9"/>
      <c r="O282" s="3"/>
    </row>
    <row r="283" spans="4:15" x14ac:dyDescent="0.25">
      <c r="D283" s="8"/>
      <c r="E283" s="8"/>
      <c r="F283" s="3"/>
      <c r="G283" s="9"/>
      <c r="O283" s="3"/>
    </row>
    <row r="284" spans="4:15" x14ac:dyDescent="0.25">
      <c r="D284" s="8"/>
      <c r="E284" s="8"/>
      <c r="F284" s="3"/>
      <c r="G284" s="9"/>
      <c r="O284" s="3"/>
    </row>
    <row r="285" spans="4:15" x14ac:dyDescent="0.25">
      <c r="D285" s="8"/>
      <c r="E285" s="8"/>
      <c r="F285" s="3"/>
      <c r="G285" s="9"/>
      <c r="O285" s="3"/>
    </row>
    <row r="286" spans="4:15" x14ac:dyDescent="0.25">
      <c r="D286" s="8"/>
      <c r="E286" s="8"/>
      <c r="F286" s="3"/>
      <c r="G286" s="9"/>
      <c r="O286" s="3"/>
    </row>
    <row r="287" spans="4:15" x14ac:dyDescent="0.25">
      <c r="D287" s="8"/>
      <c r="E287" s="8"/>
      <c r="F287" s="3"/>
      <c r="G287" s="9"/>
      <c r="O287" s="3"/>
    </row>
    <row r="288" spans="4:15" x14ac:dyDescent="0.25">
      <c r="D288" s="8"/>
      <c r="E288" s="8"/>
      <c r="F288" s="3"/>
      <c r="G288" s="9"/>
      <c r="O288" s="3"/>
    </row>
    <row r="289" spans="4:15" x14ac:dyDescent="0.25">
      <c r="D289" s="8"/>
      <c r="E289" s="8"/>
      <c r="F289" s="3"/>
      <c r="G289" s="9"/>
      <c r="O289" s="3"/>
    </row>
    <row r="290" spans="4:15" x14ac:dyDescent="0.25">
      <c r="D290" s="8"/>
      <c r="E290" s="8"/>
      <c r="F290" s="3"/>
      <c r="G290" s="9"/>
      <c r="O290" s="3"/>
    </row>
    <row r="291" spans="4:15" x14ac:dyDescent="0.25">
      <c r="D291" s="8"/>
      <c r="E291" s="8"/>
      <c r="F291" s="3"/>
      <c r="G291" s="9"/>
      <c r="O291" s="3"/>
    </row>
    <row r="292" spans="4:15" x14ac:dyDescent="0.25">
      <c r="D292" s="8"/>
      <c r="E292" s="8"/>
      <c r="F292" s="3"/>
      <c r="G292" s="9"/>
      <c r="O292" s="3"/>
    </row>
    <row r="293" spans="4:15" x14ac:dyDescent="0.25">
      <c r="D293" s="8"/>
      <c r="E293" s="8"/>
      <c r="F293" s="3"/>
      <c r="G293" s="9"/>
      <c r="O293" s="3"/>
    </row>
    <row r="294" spans="4:15" x14ac:dyDescent="0.25">
      <c r="D294" s="8"/>
      <c r="E294" s="8"/>
      <c r="F294" s="3"/>
      <c r="G294" s="9"/>
      <c r="O294" s="3"/>
    </row>
    <row r="295" spans="4:15" x14ac:dyDescent="0.25">
      <c r="D295" s="8"/>
      <c r="E295" s="8"/>
      <c r="F295" s="3"/>
      <c r="G295" s="9"/>
      <c r="O295" s="3"/>
    </row>
    <row r="296" spans="4:15" x14ac:dyDescent="0.25">
      <c r="D296" s="8"/>
      <c r="E296" s="8"/>
      <c r="F296" s="3"/>
      <c r="G296" s="9"/>
      <c r="O296" s="3"/>
    </row>
    <row r="297" spans="4:15" x14ac:dyDescent="0.25">
      <c r="D297" s="8"/>
      <c r="E297" s="8"/>
      <c r="F297" s="3"/>
      <c r="G297" s="9"/>
      <c r="O297" s="3"/>
    </row>
    <row r="298" spans="4:15" x14ac:dyDescent="0.25">
      <c r="D298" s="8"/>
      <c r="E298" s="8"/>
      <c r="F298" s="3"/>
      <c r="G298" s="9"/>
      <c r="O298" s="3"/>
    </row>
    <row r="299" spans="4:15" x14ac:dyDescent="0.25">
      <c r="D299" s="8"/>
      <c r="E299" s="8"/>
      <c r="F299" s="3"/>
      <c r="G299" s="9"/>
      <c r="O299" s="3"/>
    </row>
    <row r="300" spans="4:15" x14ac:dyDescent="0.25">
      <c r="D300" s="8"/>
      <c r="E300" s="8"/>
      <c r="F300" s="3"/>
      <c r="G300" s="9"/>
      <c r="O300" s="3"/>
    </row>
    <row r="301" spans="4:15" x14ac:dyDescent="0.25">
      <c r="D301" s="8"/>
      <c r="E301" s="8"/>
      <c r="F301" s="3"/>
      <c r="G301" s="9"/>
      <c r="O301" s="3"/>
    </row>
    <row r="302" spans="4:15" x14ac:dyDescent="0.25">
      <c r="D302" s="8"/>
      <c r="E302" s="8"/>
      <c r="F302" s="3"/>
      <c r="O302" s="3"/>
    </row>
    <row r="303" spans="4:15" x14ac:dyDescent="0.25">
      <c r="D303" s="8"/>
      <c r="E303" s="8"/>
      <c r="F303" s="3"/>
      <c r="G303" s="9"/>
      <c r="O303" s="3"/>
    </row>
    <row r="304" spans="4:15" x14ac:dyDescent="0.25">
      <c r="D304" s="8"/>
      <c r="E304" s="8"/>
      <c r="F304" s="3"/>
      <c r="G304" s="9"/>
      <c r="O304" s="3"/>
    </row>
    <row r="305" spans="4:15" x14ac:dyDescent="0.25">
      <c r="D305" s="8"/>
      <c r="E305" s="8"/>
      <c r="F305" s="3"/>
      <c r="G305" s="9"/>
      <c r="O305" s="3"/>
    </row>
    <row r="306" spans="4:15" x14ac:dyDescent="0.25">
      <c r="D306" s="8"/>
      <c r="E306" s="8"/>
      <c r="F306" s="3"/>
      <c r="G306" s="9"/>
      <c r="O306" s="3"/>
    </row>
    <row r="307" spans="4:15" x14ac:dyDescent="0.25">
      <c r="D307" s="8"/>
      <c r="E307" s="8"/>
      <c r="F307" s="3"/>
      <c r="G307" s="9"/>
      <c r="O307" s="3"/>
    </row>
    <row r="308" spans="4:15" x14ac:dyDescent="0.25">
      <c r="D308" s="8"/>
      <c r="E308" s="8"/>
      <c r="F308" s="3"/>
      <c r="G308" s="9"/>
      <c r="O308" s="3"/>
    </row>
    <row r="309" spans="4:15" x14ac:dyDescent="0.25">
      <c r="D309" s="8"/>
      <c r="E309" s="8"/>
      <c r="F309" s="3"/>
      <c r="G309" s="9"/>
      <c r="O309" s="3"/>
    </row>
    <row r="310" spans="4:15" x14ac:dyDescent="0.25">
      <c r="D310" s="8"/>
      <c r="E310" s="8"/>
      <c r="F310" s="3"/>
      <c r="G310" s="9"/>
      <c r="O310" s="3"/>
    </row>
    <row r="311" spans="4:15" x14ac:dyDescent="0.25">
      <c r="D311" s="8"/>
      <c r="E311" s="8"/>
      <c r="F311" s="3"/>
      <c r="G311" s="9"/>
      <c r="O311" s="3"/>
    </row>
    <row r="312" spans="4:15" x14ac:dyDescent="0.25">
      <c r="D312" s="8"/>
      <c r="E312" s="8"/>
      <c r="F312" s="3"/>
      <c r="G312" s="9"/>
      <c r="O312" s="3"/>
    </row>
    <row r="313" spans="4:15" x14ac:dyDescent="0.25">
      <c r="D313" s="8"/>
      <c r="E313" s="8"/>
      <c r="F313" s="3"/>
      <c r="G313" s="9"/>
      <c r="O313" s="3"/>
    </row>
    <row r="314" spans="4:15" x14ac:dyDescent="0.25">
      <c r="D314" s="8"/>
      <c r="E314" s="8"/>
      <c r="F314" s="3"/>
      <c r="G314" s="9"/>
      <c r="O314" s="3"/>
    </row>
    <row r="315" spans="4:15" x14ac:dyDescent="0.25">
      <c r="D315" s="8"/>
      <c r="E315" s="8"/>
      <c r="F315" s="3"/>
      <c r="G315" s="9"/>
      <c r="O315" s="3"/>
    </row>
    <row r="316" spans="4:15" x14ac:dyDescent="0.25">
      <c r="D316" s="8"/>
      <c r="E316" s="8"/>
      <c r="F316" s="3"/>
      <c r="G316" s="9"/>
      <c r="O316" s="3"/>
    </row>
    <row r="317" spans="4:15" x14ac:dyDescent="0.25">
      <c r="D317" s="8"/>
      <c r="E317" s="8"/>
      <c r="F317" s="3"/>
      <c r="G317" s="9"/>
      <c r="O317" s="3"/>
    </row>
    <row r="318" spans="4:15" x14ac:dyDescent="0.25">
      <c r="D318" s="8"/>
      <c r="E318" s="8"/>
      <c r="F318" s="3"/>
      <c r="G318" s="9"/>
      <c r="O318" s="3"/>
    </row>
    <row r="319" spans="4:15" x14ac:dyDescent="0.25">
      <c r="D319" s="8"/>
      <c r="E319" s="8"/>
      <c r="F319" s="3"/>
      <c r="G319" s="9"/>
      <c r="O319" s="3"/>
    </row>
    <row r="320" spans="4:15" x14ac:dyDescent="0.25">
      <c r="D320" s="8"/>
      <c r="E320" s="8"/>
      <c r="F320" s="3"/>
      <c r="G320" s="9"/>
      <c r="O320" s="3"/>
    </row>
    <row r="321" spans="4:15" x14ac:dyDescent="0.25">
      <c r="D321" s="8"/>
      <c r="E321" s="8"/>
      <c r="F321" s="3"/>
      <c r="G321" s="9"/>
      <c r="O321" s="3"/>
    </row>
    <row r="322" spans="4:15" x14ac:dyDescent="0.25">
      <c r="D322" s="8"/>
      <c r="E322" s="8"/>
      <c r="F322" s="3"/>
      <c r="G322" s="9"/>
      <c r="O322" s="3"/>
    </row>
    <row r="323" spans="4:15" x14ac:dyDescent="0.25">
      <c r="D323" s="8"/>
      <c r="E323" s="8"/>
      <c r="F323" s="3"/>
      <c r="G323" s="9"/>
      <c r="O323" s="3"/>
    </row>
    <row r="324" spans="4:15" x14ac:dyDescent="0.25">
      <c r="D324" s="8"/>
      <c r="E324" s="8"/>
      <c r="F324" s="3"/>
      <c r="G324" s="9"/>
      <c r="O324" s="3"/>
    </row>
    <row r="325" spans="4:15" x14ac:dyDescent="0.25">
      <c r="D325" s="8"/>
      <c r="E325" s="8"/>
      <c r="F325" s="3"/>
      <c r="G325" s="9"/>
      <c r="O325" s="3"/>
    </row>
    <row r="326" spans="4:15" x14ac:dyDescent="0.25">
      <c r="D326" s="8"/>
      <c r="E326" s="8"/>
      <c r="F326" s="3"/>
      <c r="G326" s="9"/>
      <c r="O326" s="3"/>
    </row>
    <row r="327" spans="4:15" x14ac:dyDescent="0.25">
      <c r="D327" s="8"/>
      <c r="E327" s="8"/>
      <c r="F327" s="3"/>
      <c r="O327" s="3"/>
    </row>
    <row r="328" spans="4:15" x14ac:dyDescent="0.25">
      <c r="D328" s="8"/>
      <c r="E328" s="8"/>
      <c r="F328" s="3"/>
      <c r="G328" s="9"/>
      <c r="O328" s="3"/>
    </row>
    <row r="329" spans="4:15" x14ac:dyDescent="0.25">
      <c r="D329" s="8"/>
      <c r="E329" s="8"/>
      <c r="F329" s="3"/>
      <c r="G329" s="9"/>
      <c r="O329" s="3"/>
    </row>
    <row r="330" spans="4:15" x14ac:dyDescent="0.25">
      <c r="D330" s="8"/>
      <c r="E330" s="8"/>
      <c r="F330" s="3"/>
      <c r="G330" s="9"/>
      <c r="O330" s="3"/>
    </row>
    <row r="331" spans="4:15" x14ac:dyDescent="0.25">
      <c r="D331" s="8"/>
      <c r="E331" s="8"/>
      <c r="F331" s="3"/>
      <c r="G331" s="9"/>
      <c r="O331" s="3"/>
    </row>
    <row r="332" spans="4:15" x14ac:dyDescent="0.25">
      <c r="D332" s="8"/>
      <c r="E332" s="8"/>
      <c r="F332" s="3"/>
      <c r="G332" s="9"/>
      <c r="O332" s="3"/>
    </row>
    <row r="333" spans="4:15" x14ac:dyDescent="0.25">
      <c r="D333" s="8"/>
      <c r="E333" s="8"/>
      <c r="F333" s="3"/>
      <c r="G333" s="9"/>
      <c r="O333" s="3"/>
    </row>
    <row r="334" spans="4:15" x14ac:dyDescent="0.25">
      <c r="D334" s="8"/>
      <c r="E334" s="8"/>
      <c r="F334" s="3"/>
      <c r="G334" s="9"/>
      <c r="O334" s="3"/>
    </row>
    <row r="335" spans="4:15" x14ac:dyDescent="0.25">
      <c r="D335" s="8"/>
      <c r="E335" s="8"/>
      <c r="F335" s="3"/>
      <c r="G335" s="9"/>
      <c r="O335" s="3"/>
    </row>
    <row r="336" spans="4:15" x14ac:dyDescent="0.25">
      <c r="D336" s="8"/>
      <c r="E336" s="8"/>
      <c r="F336" s="3"/>
      <c r="G336" s="9"/>
      <c r="O336" s="3"/>
    </row>
    <row r="337" spans="4:15" x14ac:dyDescent="0.25">
      <c r="D337" s="8"/>
      <c r="E337" s="8"/>
      <c r="F337" s="3"/>
      <c r="G337" s="9"/>
      <c r="O337" s="3"/>
    </row>
    <row r="338" spans="4:15" x14ac:dyDescent="0.25">
      <c r="D338" s="8"/>
      <c r="E338" s="8"/>
      <c r="F338" s="3"/>
      <c r="G338" s="9"/>
      <c r="O338" s="3"/>
    </row>
    <row r="339" spans="4:15" x14ac:dyDescent="0.25">
      <c r="D339" s="8"/>
      <c r="E339" s="8"/>
      <c r="F339" s="3"/>
      <c r="G339" s="9"/>
      <c r="O339" s="3"/>
    </row>
    <row r="340" spans="4:15" x14ac:dyDescent="0.25">
      <c r="D340" s="8"/>
      <c r="E340" s="8"/>
      <c r="F340" s="3"/>
      <c r="G340" s="9"/>
      <c r="O340" s="3"/>
    </row>
    <row r="341" spans="4:15" x14ac:dyDescent="0.25">
      <c r="D341" s="8"/>
      <c r="E341" s="8"/>
      <c r="F341" s="3"/>
      <c r="G341" s="9"/>
      <c r="O341" s="3"/>
    </row>
    <row r="342" spans="4:15" x14ac:dyDescent="0.25">
      <c r="D342" s="8"/>
      <c r="E342" s="8"/>
      <c r="F342" s="3"/>
      <c r="G342" s="9"/>
      <c r="O342" s="3"/>
    </row>
    <row r="343" spans="4:15" x14ac:dyDescent="0.25">
      <c r="D343" s="8"/>
      <c r="E343" s="8"/>
      <c r="F343" s="3"/>
      <c r="G343" s="9"/>
      <c r="O343" s="3"/>
    </row>
    <row r="344" spans="4:15" x14ac:dyDescent="0.25">
      <c r="D344" s="8"/>
      <c r="E344" s="8"/>
      <c r="F344" s="3"/>
      <c r="G344" s="9"/>
      <c r="O344" s="3"/>
    </row>
    <row r="345" spans="4:15" x14ac:dyDescent="0.25">
      <c r="D345" s="8"/>
      <c r="E345" s="8"/>
      <c r="F345" s="3"/>
      <c r="G345" s="9"/>
      <c r="O345" s="3"/>
    </row>
    <row r="346" spans="4:15" x14ac:dyDescent="0.25">
      <c r="D346" s="8"/>
      <c r="E346" s="8"/>
      <c r="F346" s="3"/>
      <c r="G346" s="9"/>
      <c r="O346" s="3"/>
    </row>
    <row r="347" spans="4:15" x14ac:dyDescent="0.25">
      <c r="D347" s="8"/>
      <c r="E347" s="8"/>
      <c r="F347" s="3"/>
      <c r="G347" s="9"/>
      <c r="O347" s="3"/>
    </row>
    <row r="348" spans="4:15" x14ac:dyDescent="0.25">
      <c r="D348" s="8"/>
      <c r="E348" s="8"/>
      <c r="F348" s="3"/>
      <c r="G348" s="9"/>
      <c r="O348" s="3"/>
    </row>
    <row r="349" spans="4:15" x14ac:dyDescent="0.25">
      <c r="D349" s="8"/>
      <c r="E349" s="8"/>
      <c r="F349" s="3"/>
      <c r="G349" s="9"/>
      <c r="O349" s="3"/>
    </row>
    <row r="350" spans="4:15" x14ac:dyDescent="0.25">
      <c r="D350" s="8"/>
      <c r="E350" s="8"/>
      <c r="F350" s="3"/>
      <c r="G350" s="9"/>
      <c r="O350" s="3"/>
    </row>
    <row r="351" spans="4:15" x14ac:dyDescent="0.25">
      <c r="D351" s="8"/>
      <c r="E351" s="8"/>
      <c r="F351" s="3"/>
      <c r="G351" s="9"/>
      <c r="O351" s="3"/>
    </row>
    <row r="352" spans="4:15" x14ac:dyDescent="0.25">
      <c r="D352" s="8"/>
      <c r="E352" s="8"/>
      <c r="F352" s="3"/>
      <c r="O352" s="3"/>
    </row>
    <row r="353" spans="4:15" x14ac:dyDescent="0.25">
      <c r="D353" s="8"/>
      <c r="E353" s="8"/>
      <c r="F353" s="3"/>
      <c r="G353" s="9"/>
      <c r="O353" s="3"/>
    </row>
    <row r="354" spans="4:15" x14ac:dyDescent="0.25">
      <c r="D354" s="8"/>
      <c r="E354" s="8"/>
      <c r="F354" s="3"/>
      <c r="G354" s="9"/>
      <c r="O354" s="3"/>
    </row>
    <row r="355" spans="4:15" x14ac:dyDescent="0.25">
      <c r="D355" s="8"/>
      <c r="E355" s="8"/>
      <c r="F355" s="3"/>
      <c r="G355" s="9"/>
      <c r="O355" s="3"/>
    </row>
    <row r="356" spans="4:15" x14ac:dyDescent="0.25">
      <c r="D356" s="8"/>
      <c r="E356" s="8"/>
      <c r="F356" s="3"/>
      <c r="G356" s="9"/>
      <c r="O356" s="3"/>
    </row>
    <row r="357" spans="4:15" x14ac:dyDescent="0.25">
      <c r="D357" s="8"/>
      <c r="E357" s="8"/>
      <c r="F357" s="3"/>
      <c r="G357" s="9"/>
      <c r="O357" s="3"/>
    </row>
    <row r="358" spans="4:15" x14ac:dyDescent="0.25">
      <c r="D358" s="8"/>
      <c r="E358" s="8"/>
      <c r="F358" s="3"/>
      <c r="G358" s="9"/>
      <c r="O358" s="3"/>
    </row>
    <row r="359" spans="4:15" x14ac:dyDescent="0.25">
      <c r="D359" s="8"/>
      <c r="E359" s="8"/>
      <c r="F359" s="3"/>
      <c r="G359" s="9"/>
      <c r="O359" s="3"/>
    </row>
    <row r="360" spans="4:15" x14ac:dyDescent="0.25">
      <c r="D360" s="8"/>
      <c r="E360" s="8"/>
      <c r="F360" s="3"/>
      <c r="G360" s="9"/>
      <c r="O360" s="3"/>
    </row>
    <row r="361" spans="4:15" x14ac:dyDescent="0.25">
      <c r="D361" s="8"/>
      <c r="E361" s="8"/>
      <c r="F361" s="3"/>
      <c r="G361" s="9"/>
      <c r="O361" s="3"/>
    </row>
    <row r="362" spans="4:15" x14ac:dyDescent="0.25">
      <c r="D362" s="8"/>
      <c r="E362" s="8"/>
      <c r="F362" s="3"/>
      <c r="G362" s="9"/>
      <c r="O362" s="3"/>
    </row>
    <row r="363" spans="4:15" x14ac:dyDescent="0.25">
      <c r="D363" s="8"/>
      <c r="E363" s="8"/>
      <c r="F363" s="3"/>
      <c r="G363" s="9"/>
      <c r="O363" s="3"/>
    </row>
    <row r="364" spans="4:15" x14ac:dyDescent="0.25">
      <c r="D364" s="8"/>
      <c r="E364" s="8"/>
      <c r="F364" s="3"/>
      <c r="G364" s="9"/>
      <c r="O364" s="3"/>
    </row>
    <row r="365" spans="4:15" x14ac:dyDescent="0.25">
      <c r="D365" s="8"/>
      <c r="E365" s="8"/>
      <c r="F365" s="3"/>
      <c r="G365" s="9"/>
      <c r="O365" s="3"/>
    </row>
    <row r="366" spans="4:15" x14ac:dyDescent="0.25">
      <c r="D366" s="8"/>
      <c r="E366" s="8"/>
      <c r="F366" s="3"/>
      <c r="G366" s="9"/>
      <c r="O366" s="3"/>
    </row>
    <row r="367" spans="4:15" x14ac:dyDescent="0.25">
      <c r="D367" s="8"/>
      <c r="E367" s="8"/>
      <c r="F367" s="3"/>
      <c r="G367" s="9"/>
      <c r="O367" s="3"/>
    </row>
    <row r="368" spans="4:15" x14ac:dyDescent="0.25">
      <c r="D368" s="8"/>
      <c r="E368" s="8"/>
      <c r="F368" s="3"/>
      <c r="G368" s="9"/>
      <c r="O368" s="3"/>
    </row>
    <row r="369" spans="4:15" x14ac:dyDescent="0.25">
      <c r="D369" s="8"/>
      <c r="E369" s="8"/>
      <c r="F369" s="3"/>
      <c r="G369" s="9"/>
      <c r="O369" s="3"/>
    </row>
    <row r="370" spans="4:15" x14ac:dyDescent="0.25">
      <c r="D370" s="8"/>
      <c r="E370" s="8"/>
      <c r="F370" s="3"/>
      <c r="G370" s="9"/>
      <c r="O370" s="3"/>
    </row>
    <row r="371" spans="4:15" x14ac:dyDescent="0.25">
      <c r="D371" s="8"/>
      <c r="E371" s="8"/>
      <c r="F371" s="3"/>
      <c r="G371" s="9"/>
      <c r="O371" s="3"/>
    </row>
    <row r="372" spans="4:15" x14ac:dyDescent="0.25">
      <c r="D372" s="8"/>
      <c r="E372" s="8"/>
      <c r="F372" s="3"/>
      <c r="G372" s="9"/>
      <c r="O372" s="3"/>
    </row>
    <row r="373" spans="4:15" x14ac:dyDescent="0.25">
      <c r="D373" s="8"/>
      <c r="E373" s="8"/>
      <c r="F373" s="3"/>
      <c r="G373" s="9"/>
      <c r="O373" s="3"/>
    </row>
    <row r="374" spans="4:15" x14ac:dyDescent="0.25">
      <c r="D374" s="8"/>
      <c r="E374" s="8"/>
      <c r="F374" s="3"/>
      <c r="G374" s="9"/>
      <c r="O374" s="3"/>
    </row>
    <row r="375" spans="4:15" x14ac:dyDescent="0.25">
      <c r="D375" s="8"/>
      <c r="E375" s="8"/>
      <c r="F375" s="3"/>
      <c r="G375" s="9"/>
      <c r="O375" s="3"/>
    </row>
    <row r="376" spans="4:15" x14ac:dyDescent="0.25">
      <c r="D376" s="8"/>
      <c r="E376" s="8"/>
      <c r="F376" s="3"/>
      <c r="G376" s="9"/>
      <c r="O376" s="3"/>
    </row>
    <row r="377" spans="4:15" x14ac:dyDescent="0.25">
      <c r="D377" s="8"/>
      <c r="E377" s="8"/>
      <c r="F377" s="3"/>
      <c r="O377" s="3"/>
    </row>
    <row r="378" spans="4:15" x14ac:dyDescent="0.25">
      <c r="D378" s="8"/>
      <c r="E378" s="8"/>
      <c r="F378" s="3"/>
      <c r="G378" s="9"/>
      <c r="O378" s="3"/>
    </row>
    <row r="379" spans="4:15" x14ac:dyDescent="0.25">
      <c r="D379" s="8"/>
      <c r="E379" s="8"/>
      <c r="F379" s="3"/>
      <c r="G379" s="9"/>
      <c r="O379" s="3"/>
    </row>
    <row r="380" spans="4:15" x14ac:dyDescent="0.25">
      <c r="D380" s="8"/>
      <c r="E380" s="8"/>
      <c r="F380" s="3"/>
      <c r="G380" s="9"/>
      <c r="O380" s="3"/>
    </row>
    <row r="381" spans="4:15" x14ac:dyDescent="0.25">
      <c r="D381" s="8"/>
      <c r="E381" s="8"/>
      <c r="F381" s="3"/>
      <c r="G381" s="9"/>
      <c r="O381" s="3"/>
    </row>
    <row r="382" spans="4:15" x14ac:dyDescent="0.25">
      <c r="D382" s="8"/>
      <c r="E382" s="8"/>
      <c r="F382" s="3"/>
      <c r="G382" s="9"/>
      <c r="O382" s="3"/>
    </row>
    <row r="383" spans="4:15" x14ac:dyDescent="0.25">
      <c r="D383" s="8"/>
      <c r="E383" s="8"/>
      <c r="F383" s="3"/>
      <c r="G383" s="9"/>
      <c r="O383" s="3"/>
    </row>
    <row r="384" spans="4:15" x14ac:dyDescent="0.25">
      <c r="D384" s="8"/>
      <c r="E384" s="8"/>
      <c r="F384" s="3"/>
      <c r="G384" s="9"/>
      <c r="O384" s="3"/>
    </row>
    <row r="385" spans="4:15" x14ac:dyDescent="0.25">
      <c r="D385" s="8"/>
      <c r="E385" s="8"/>
      <c r="F385" s="3"/>
      <c r="G385" s="9"/>
      <c r="O385" s="3"/>
    </row>
    <row r="386" spans="4:15" x14ac:dyDescent="0.25">
      <c r="D386" s="8"/>
      <c r="E386" s="8"/>
      <c r="F386" s="3"/>
      <c r="G386" s="9"/>
      <c r="O386" s="3"/>
    </row>
    <row r="387" spans="4:15" x14ac:dyDescent="0.25">
      <c r="D387" s="8"/>
      <c r="E387" s="8"/>
      <c r="F387" s="3"/>
      <c r="G387" s="9"/>
      <c r="O387" s="3"/>
    </row>
    <row r="388" spans="4:15" x14ac:dyDescent="0.25">
      <c r="D388" s="8"/>
      <c r="E388" s="8"/>
      <c r="F388" s="3"/>
      <c r="G388" s="9"/>
      <c r="O388" s="3"/>
    </row>
    <row r="389" spans="4:15" x14ac:dyDescent="0.25">
      <c r="D389" s="8"/>
      <c r="E389" s="8"/>
      <c r="F389" s="3"/>
      <c r="G389" s="9"/>
      <c r="O389" s="3"/>
    </row>
    <row r="390" spans="4:15" x14ac:dyDescent="0.25">
      <c r="D390" s="8"/>
      <c r="E390" s="8"/>
      <c r="F390" s="3"/>
      <c r="G390" s="9"/>
      <c r="O390" s="3"/>
    </row>
    <row r="391" spans="4:15" x14ac:dyDescent="0.25">
      <c r="D391" s="8"/>
      <c r="E391" s="8"/>
      <c r="F391" s="3"/>
      <c r="G391" s="9"/>
      <c r="O391" s="3"/>
    </row>
    <row r="392" spans="4:15" x14ac:dyDescent="0.25">
      <c r="D392" s="8"/>
      <c r="E392" s="8"/>
      <c r="F392" s="3"/>
      <c r="G392" s="9"/>
      <c r="O392" s="3"/>
    </row>
    <row r="393" spans="4:15" x14ac:dyDescent="0.25">
      <c r="D393" s="8"/>
      <c r="E393" s="8"/>
      <c r="F393" s="3"/>
      <c r="G393" s="9"/>
      <c r="O393" s="3"/>
    </row>
    <row r="394" spans="4:15" x14ac:dyDescent="0.25">
      <c r="D394" s="8"/>
      <c r="E394" s="8"/>
      <c r="F394" s="3"/>
      <c r="G394" s="9"/>
      <c r="O394" s="3"/>
    </row>
    <row r="395" spans="4:15" x14ac:dyDescent="0.25">
      <c r="D395" s="8"/>
      <c r="E395" s="8"/>
      <c r="F395" s="3"/>
      <c r="G395" s="9"/>
      <c r="O395" s="3"/>
    </row>
    <row r="396" spans="4:15" x14ac:dyDescent="0.25">
      <c r="D396" s="8"/>
      <c r="E396" s="8"/>
      <c r="F396" s="3"/>
      <c r="G396" s="9"/>
      <c r="O396" s="3"/>
    </row>
    <row r="397" spans="4:15" x14ac:dyDescent="0.25">
      <c r="D397" s="8"/>
      <c r="E397" s="8"/>
      <c r="F397" s="3"/>
      <c r="G397" s="9"/>
      <c r="O397" s="3"/>
    </row>
    <row r="398" spans="4:15" x14ac:dyDescent="0.25">
      <c r="D398" s="8"/>
      <c r="E398" s="8"/>
      <c r="F398" s="3"/>
      <c r="G398" s="9"/>
      <c r="O398" s="3"/>
    </row>
    <row r="399" spans="4:15" x14ac:dyDescent="0.25">
      <c r="D399" s="8"/>
      <c r="E399" s="8"/>
      <c r="F399" s="3"/>
      <c r="G399" s="9"/>
      <c r="O399" s="3"/>
    </row>
    <row r="400" spans="4:15" x14ac:dyDescent="0.25">
      <c r="D400" s="8"/>
      <c r="E400" s="8"/>
      <c r="F400" s="3"/>
      <c r="G400" s="9"/>
      <c r="O400" s="3"/>
    </row>
    <row r="401" spans="4:15" x14ac:dyDescent="0.25">
      <c r="D401" s="8"/>
      <c r="E401" s="8"/>
      <c r="F401" s="3"/>
      <c r="G401" s="9"/>
      <c r="O401" s="3"/>
    </row>
    <row r="402" spans="4:15" x14ac:dyDescent="0.25">
      <c r="D402" s="8"/>
      <c r="E402" s="8"/>
      <c r="F402" s="3"/>
      <c r="O402" s="3"/>
    </row>
    <row r="403" spans="4:15" x14ac:dyDescent="0.25">
      <c r="D403" s="8"/>
      <c r="E403" s="8"/>
      <c r="F403" s="3"/>
      <c r="G403" s="9"/>
      <c r="O403" s="3"/>
    </row>
    <row r="404" spans="4:15" x14ac:dyDescent="0.25">
      <c r="D404" s="8"/>
      <c r="E404" s="8"/>
      <c r="F404" s="3"/>
      <c r="G404" s="9"/>
      <c r="O404" s="3"/>
    </row>
    <row r="405" spans="4:15" x14ac:dyDescent="0.25">
      <c r="D405" s="8"/>
      <c r="E405" s="8"/>
      <c r="F405" s="3"/>
      <c r="G405" s="9"/>
      <c r="O405" s="3"/>
    </row>
    <row r="406" spans="4:15" x14ac:dyDescent="0.25">
      <c r="D406" s="8"/>
      <c r="E406" s="8"/>
      <c r="F406" s="3"/>
      <c r="G406" s="9"/>
      <c r="O406" s="3"/>
    </row>
    <row r="407" spans="4:15" x14ac:dyDescent="0.25">
      <c r="D407" s="8"/>
      <c r="E407" s="8"/>
      <c r="F407" s="3"/>
      <c r="G407" s="9"/>
      <c r="O407" s="3"/>
    </row>
    <row r="408" spans="4:15" x14ac:dyDescent="0.25">
      <c r="D408" s="8"/>
      <c r="E408" s="8"/>
      <c r="F408" s="3"/>
      <c r="G408" s="9"/>
      <c r="O408" s="3"/>
    </row>
    <row r="409" spans="4:15" x14ac:dyDescent="0.25">
      <c r="D409" s="8"/>
      <c r="E409" s="8"/>
      <c r="F409" s="3"/>
      <c r="G409" s="9"/>
      <c r="O409" s="3"/>
    </row>
    <row r="410" spans="4:15" x14ac:dyDescent="0.25">
      <c r="D410" s="8"/>
      <c r="E410" s="8"/>
      <c r="F410" s="3"/>
      <c r="G410" s="9"/>
      <c r="O410" s="3"/>
    </row>
    <row r="411" spans="4:15" x14ac:dyDescent="0.25">
      <c r="D411" s="8"/>
      <c r="E411" s="8"/>
      <c r="F411" s="3"/>
      <c r="G411" s="9"/>
      <c r="O411" s="3"/>
    </row>
    <row r="412" spans="4:15" x14ac:dyDescent="0.25">
      <c r="D412" s="8"/>
      <c r="E412" s="8"/>
      <c r="F412" s="3"/>
      <c r="G412" s="9"/>
      <c r="O412" s="3"/>
    </row>
    <row r="413" spans="4:15" x14ac:dyDescent="0.25">
      <c r="D413" s="8"/>
      <c r="E413" s="8"/>
      <c r="F413" s="3"/>
      <c r="G413" s="9"/>
      <c r="O413" s="3"/>
    </row>
    <row r="414" spans="4:15" x14ac:dyDescent="0.25">
      <c r="D414" s="8"/>
      <c r="E414" s="8"/>
      <c r="F414" s="3"/>
      <c r="G414" s="9"/>
      <c r="O414" s="3"/>
    </row>
    <row r="415" spans="4:15" x14ac:dyDescent="0.25">
      <c r="D415" s="8"/>
      <c r="E415" s="8"/>
      <c r="F415" s="3"/>
      <c r="G415" s="9"/>
      <c r="O415" s="3"/>
    </row>
    <row r="416" spans="4:15" x14ac:dyDescent="0.25">
      <c r="D416" s="8"/>
      <c r="E416" s="8"/>
      <c r="F416" s="3"/>
      <c r="G416" s="9"/>
      <c r="O416" s="3"/>
    </row>
    <row r="417" spans="4:15" x14ac:dyDescent="0.25">
      <c r="D417" s="8"/>
      <c r="E417" s="8"/>
      <c r="F417" s="3"/>
      <c r="G417" s="9"/>
      <c r="O417" s="3"/>
    </row>
    <row r="418" spans="4:15" x14ac:dyDescent="0.25">
      <c r="D418" s="8"/>
      <c r="E418" s="8"/>
      <c r="F418" s="3"/>
      <c r="G418" s="9"/>
      <c r="O418" s="3"/>
    </row>
    <row r="419" spans="4:15" x14ac:dyDescent="0.25">
      <c r="D419" s="8"/>
      <c r="E419" s="8"/>
      <c r="F419" s="3"/>
      <c r="G419" s="9"/>
      <c r="O419" s="3"/>
    </row>
    <row r="420" spans="4:15" x14ac:dyDescent="0.25">
      <c r="D420" s="8"/>
      <c r="E420" s="8"/>
      <c r="F420" s="3"/>
      <c r="G420" s="9"/>
      <c r="O420" s="3"/>
    </row>
    <row r="421" spans="4:15" x14ac:dyDescent="0.25">
      <c r="D421" s="8"/>
      <c r="E421" s="8"/>
      <c r="F421" s="3"/>
      <c r="G421" s="9"/>
      <c r="O421" s="3"/>
    </row>
    <row r="422" spans="4:15" x14ac:dyDescent="0.25">
      <c r="D422" s="8"/>
      <c r="E422" s="8"/>
      <c r="F422" s="3"/>
      <c r="G422" s="9"/>
      <c r="O422" s="3"/>
    </row>
    <row r="423" spans="4:15" x14ac:dyDescent="0.25">
      <c r="D423" s="8"/>
      <c r="E423" s="8"/>
      <c r="F423" s="3"/>
      <c r="G423" s="9"/>
      <c r="O423" s="3"/>
    </row>
    <row r="424" spans="4:15" x14ac:dyDescent="0.25">
      <c r="D424" s="8"/>
      <c r="E424" s="8"/>
      <c r="F424" s="3"/>
      <c r="G424" s="9"/>
      <c r="O424" s="3"/>
    </row>
    <row r="425" spans="4:15" x14ac:dyDescent="0.25">
      <c r="D425" s="8"/>
      <c r="E425" s="8"/>
      <c r="F425" s="3"/>
      <c r="G425" s="9"/>
      <c r="O425" s="3"/>
    </row>
    <row r="426" spans="4:15" x14ac:dyDescent="0.25">
      <c r="D426" s="8"/>
      <c r="E426" s="8"/>
      <c r="F426" s="3"/>
      <c r="G426" s="9"/>
      <c r="O426" s="3"/>
    </row>
    <row r="427" spans="4:15" x14ac:dyDescent="0.25">
      <c r="D427" s="8"/>
      <c r="E427" s="8"/>
      <c r="F427" s="3"/>
      <c r="O427" s="3"/>
    </row>
    <row r="428" spans="4:15" x14ac:dyDescent="0.25">
      <c r="D428" s="8"/>
      <c r="E428" s="8"/>
      <c r="F428" s="3"/>
      <c r="G428" s="9"/>
      <c r="O428" s="3"/>
    </row>
    <row r="429" spans="4:15" x14ac:dyDescent="0.25">
      <c r="D429" s="8"/>
      <c r="E429" s="8"/>
      <c r="F429" s="3"/>
      <c r="G429" s="9"/>
      <c r="O429" s="3"/>
    </row>
    <row r="430" spans="4:15" x14ac:dyDescent="0.25">
      <c r="D430" s="8"/>
      <c r="E430" s="8"/>
      <c r="F430" s="3"/>
      <c r="G430" s="9"/>
      <c r="O430" s="3"/>
    </row>
    <row r="431" spans="4:15" x14ac:dyDescent="0.25">
      <c r="D431" s="8"/>
      <c r="E431" s="8"/>
      <c r="F431" s="3"/>
      <c r="G431" s="9"/>
      <c r="O431" s="3"/>
    </row>
    <row r="432" spans="4:15" x14ac:dyDescent="0.25">
      <c r="D432" s="8"/>
      <c r="E432" s="8"/>
      <c r="F432" s="3"/>
      <c r="G432" s="9"/>
      <c r="O432" s="3"/>
    </row>
    <row r="433" spans="4:15" x14ac:dyDescent="0.25">
      <c r="D433" s="8"/>
      <c r="E433" s="8"/>
      <c r="F433" s="3"/>
      <c r="G433" s="9"/>
      <c r="O433" s="3"/>
    </row>
    <row r="434" spans="4:15" x14ac:dyDescent="0.25">
      <c r="D434" s="8"/>
      <c r="E434" s="8"/>
      <c r="F434" s="3"/>
      <c r="G434" s="9"/>
      <c r="O434" s="3"/>
    </row>
    <row r="435" spans="4:15" x14ac:dyDescent="0.25">
      <c r="D435" s="8"/>
      <c r="E435" s="8"/>
      <c r="F435" s="3"/>
      <c r="G435" s="9"/>
      <c r="O435" s="3"/>
    </row>
    <row r="436" spans="4:15" x14ac:dyDescent="0.25">
      <c r="D436" s="8"/>
      <c r="E436" s="8"/>
      <c r="F436" s="3"/>
      <c r="G436" s="9"/>
      <c r="O436" s="3"/>
    </row>
    <row r="437" spans="4:15" x14ac:dyDescent="0.25">
      <c r="D437" s="8"/>
      <c r="E437" s="8"/>
      <c r="F437" s="3"/>
      <c r="G437" s="9"/>
      <c r="O437" s="3"/>
    </row>
    <row r="438" spans="4:15" x14ac:dyDescent="0.25">
      <c r="D438" s="8"/>
      <c r="E438" s="8"/>
      <c r="F438" s="3"/>
      <c r="G438" s="9"/>
      <c r="O438" s="3"/>
    </row>
    <row r="439" spans="4:15" x14ac:dyDescent="0.25">
      <c r="D439" s="8"/>
      <c r="E439" s="8"/>
      <c r="F439" s="3"/>
      <c r="G439" s="9"/>
      <c r="O439" s="3"/>
    </row>
    <row r="440" spans="4:15" x14ac:dyDescent="0.25">
      <c r="D440" s="8"/>
      <c r="E440" s="8"/>
      <c r="F440" s="3"/>
      <c r="G440" s="9"/>
      <c r="O440" s="3"/>
    </row>
    <row r="441" spans="4:15" x14ac:dyDescent="0.25">
      <c r="D441" s="8"/>
      <c r="E441" s="8"/>
      <c r="F441" s="3"/>
      <c r="G441" s="9"/>
      <c r="O441" s="3"/>
    </row>
    <row r="442" spans="4:15" x14ac:dyDescent="0.25">
      <c r="D442" s="8"/>
      <c r="E442" s="8"/>
      <c r="F442" s="3"/>
      <c r="G442" s="9"/>
      <c r="O442" s="3"/>
    </row>
    <row r="443" spans="4:15" x14ac:dyDescent="0.25">
      <c r="D443" s="8"/>
      <c r="E443" s="8"/>
      <c r="F443" s="3"/>
      <c r="G443" s="9"/>
      <c r="O443" s="3"/>
    </row>
    <row r="444" spans="4:15" x14ac:dyDescent="0.25">
      <c r="D444" s="8"/>
      <c r="E444" s="8"/>
      <c r="F444" s="3"/>
      <c r="G444" s="9"/>
      <c r="O444" s="3"/>
    </row>
    <row r="445" spans="4:15" x14ac:dyDescent="0.25">
      <c r="D445" s="8"/>
      <c r="E445" s="8"/>
      <c r="F445" s="3"/>
      <c r="G445" s="9"/>
      <c r="O445" s="3"/>
    </row>
    <row r="446" spans="4:15" x14ac:dyDescent="0.25">
      <c r="D446" s="8"/>
      <c r="E446" s="8"/>
      <c r="F446" s="3"/>
      <c r="G446" s="9"/>
      <c r="O446" s="3"/>
    </row>
    <row r="447" spans="4:15" x14ac:dyDescent="0.25">
      <c r="D447" s="8"/>
      <c r="E447" s="8"/>
      <c r="F447" s="3"/>
      <c r="G447" s="9"/>
      <c r="O447" s="3"/>
    </row>
    <row r="448" spans="4:15" x14ac:dyDescent="0.25">
      <c r="D448" s="8"/>
      <c r="E448" s="8"/>
      <c r="F448" s="3"/>
      <c r="G448" s="9"/>
      <c r="O448" s="3"/>
    </row>
    <row r="449" spans="4:15" x14ac:dyDescent="0.25">
      <c r="D449" s="8"/>
      <c r="E449" s="8"/>
      <c r="F449" s="3"/>
      <c r="G449" s="9"/>
      <c r="O449" s="3"/>
    </row>
    <row r="450" spans="4:15" x14ac:dyDescent="0.25">
      <c r="D450" s="8"/>
      <c r="E450" s="8"/>
      <c r="F450" s="3"/>
      <c r="G450" s="9"/>
      <c r="O450" s="3"/>
    </row>
    <row r="451" spans="4:15" x14ac:dyDescent="0.25">
      <c r="D451" s="8"/>
      <c r="E451" s="8"/>
      <c r="F451" s="3"/>
      <c r="G451" s="9"/>
      <c r="O451" s="3"/>
    </row>
    <row r="452" spans="4:15" x14ac:dyDescent="0.25">
      <c r="D452" s="8"/>
      <c r="E452" s="8"/>
      <c r="F452" s="3"/>
      <c r="O452" s="3"/>
    </row>
    <row r="453" spans="4:15" x14ac:dyDescent="0.25">
      <c r="D453" s="8"/>
      <c r="E453" s="8"/>
      <c r="F453" s="3"/>
      <c r="G453" s="9"/>
      <c r="O453" s="3"/>
    </row>
    <row r="454" spans="4:15" x14ac:dyDescent="0.25">
      <c r="D454" s="8"/>
      <c r="E454" s="8"/>
      <c r="F454" s="3"/>
      <c r="G454" s="9"/>
      <c r="O454" s="3"/>
    </row>
    <row r="455" spans="4:15" x14ac:dyDescent="0.25">
      <c r="D455" s="8"/>
      <c r="E455" s="8"/>
      <c r="F455" s="3"/>
      <c r="G455" s="9"/>
      <c r="O455" s="3"/>
    </row>
    <row r="456" spans="4:15" x14ac:dyDescent="0.25">
      <c r="D456" s="8"/>
      <c r="E456" s="8"/>
      <c r="F456" s="3"/>
      <c r="G456" s="9"/>
      <c r="O456" s="3"/>
    </row>
    <row r="457" spans="4:15" x14ac:dyDescent="0.25">
      <c r="D457" s="8"/>
      <c r="E457" s="8"/>
      <c r="F457" s="3"/>
      <c r="G457" s="9"/>
      <c r="O457" s="3"/>
    </row>
    <row r="458" spans="4:15" x14ac:dyDescent="0.25">
      <c r="D458" s="8"/>
      <c r="E458" s="8"/>
      <c r="F458" s="3"/>
      <c r="G458" s="9"/>
      <c r="O458" s="3"/>
    </row>
    <row r="459" spans="4:15" x14ac:dyDescent="0.25">
      <c r="D459" s="8"/>
      <c r="E459" s="8"/>
      <c r="F459" s="3"/>
      <c r="G459" s="9"/>
      <c r="O459" s="3"/>
    </row>
    <row r="460" spans="4:15" x14ac:dyDescent="0.25">
      <c r="D460" s="8"/>
      <c r="E460" s="8"/>
      <c r="F460" s="3"/>
      <c r="G460" s="9"/>
      <c r="O460" s="3"/>
    </row>
    <row r="461" spans="4:15" x14ac:dyDescent="0.25">
      <c r="D461" s="8"/>
      <c r="E461" s="8"/>
      <c r="F461" s="3"/>
      <c r="G461" s="9"/>
      <c r="O461" s="3"/>
    </row>
    <row r="462" spans="4:15" x14ac:dyDescent="0.25">
      <c r="D462" s="8"/>
      <c r="E462" s="8"/>
      <c r="F462" s="3"/>
      <c r="G462" s="9"/>
      <c r="O462" s="3"/>
    </row>
    <row r="463" spans="4:15" x14ac:dyDescent="0.25">
      <c r="D463" s="8"/>
      <c r="E463" s="8"/>
      <c r="F463" s="3"/>
      <c r="G463" s="9"/>
      <c r="O463" s="3"/>
    </row>
    <row r="464" spans="4:15" x14ac:dyDescent="0.25">
      <c r="D464" s="8"/>
      <c r="E464" s="8"/>
      <c r="F464" s="3"/>
      <c r="G464" s="9"/>
      <c r="O464" s="3"/>
    </row>
    <row r="465" spans="4:15" x14ac:dyDescent="0.25">
      <c r="D465" s="8"/>
      <c r="E465" s="8"/>
      <c r="F465" s="3"/>
      <c r="G465" s="9"/>
      <c r="O465" s="3"/>
    </row>
    <row r="466" spans="4:15" x14ac:dyDescent="0.25">
      <c r="D466" s="8"/>
      <c r="E466" s="8"/>
      <c r="F466" s="3"/>
      <c r="G466" s="9"/>
      <c r="O466" s="3"/>
    </row>
    <row r="467" spans="4:15" x14ac:dyDescent="0.25">
      <c r="D467" s="8"/>
      <c r="E467" s="8"/>
      <c r="F467" s="3"/>
      <c r="G467" s="9"/>
      <c r="O467" s="3"/>
    </row>
    <row r="468" spans="4:15" x14ac:dyDescent="0.25">
      <c r="D468" s="8"/>
      <c r="E468" s="8"/>
      <c r="F468" s="3"/>
      <c r="G468" s="9"/>
      <c r="O468" s="3"/>
    </row>
    <row r="469" spans="4:15" x14ac:dyDescent="0.25">
      <c r="D469" s="8"/>
      <c r="E469" s="8"/>
      <c r="F469" s="3"/>
      <c r="G469" s="9"/>
      <c r="O469" s="3"/>
    </row>
    <row r="470" spans="4:15" x14ac:dyDescent="0.25">
      <c r="D470" s="8"/>
      <c r="E470" s="8"/>
      <c r="F470" s="3"/>
      <c r="G470" s="9"/>
      <c r="O470" s="3"/>
    </row>
    <row r="471" spans="4:15" x14ac:dyDescent="0.25">
      <c r="D471" s="8"/>
      <c r="E471" s="8"/>
      <c r="F471" s="3"/>
      <c r="G471" s="9"/>
      <c r="O471" s="3"/>
    </row>
    <row r="472" spans="4:15" x14ac:dyDescent="0.25">
      <c r="D472" s="8"/>
      <c r="E472" s="8"/>
      <c r="F472" s="3"/>
      <c r="G472" s="9"/>
      <c r="O472" s="3"/>
    </row>
    <row r="473" spans="4:15" x14ac:dyDescent="0.25">
      <c r="D473" s="8"/>
      <c r="E473" s="8"/>
      <c r="F473" s="3"/>
      <c r="G473" s="9"/>
      <c r="O473" s="3"/>
    </row>
    <row r="474" spans="4:15" x14ac:dyDescent="0.25">
      <c r="D474" s="8"/>
      <c r="E474" s="8"/>
      <c r="F474" s="3"/>
      <c r="G474" s="9"/>
      <c r="O474" s="3"/>
    </row>
    <row r="475" spans="4:15" x14ac:dyDescent="0.25">
      <c r="D475" s="8"/>
      <c r="E475" s="8"/>
      <c r="F475" s="3"/>
      <c r="G475" s="9"/>
      <c r="O475" s="3"/>
    </row>
    <row r="476" spans="4:15" x14ac:dyDescent="0.25">
      <c r="D476" s="8"/>
      <c r="E476" s="8"/>
      <c r="F476" s="3"/>
      <c r="G476" s="9"/>
      <c r="O476" s="3"/>
    </row>
    <row r="477" spans="4:15" x14ac:dyDescent="0.25">
      <c r="D477" s="8"/>
      <c r="E477" s="8"/>
      <c r="F477" s="3"/>
      <c r="O477" s="3"/>
    </row>
    <row r="478" spans="4:15" x14ac:dyDescent="0.25">
      <c r="D478" s="8"/>
      <c r="E478" s="8"/>
      <c r="F478" s="3"/>
      <c r="G478" s="9"/>
      <c r="O478" s="3"/>
    </row>
    <row r="479" spans="4:15" x14ac:dyDescent="0.25">
      <c r="D479" s="8"/>
      <c r="E479" s="8"/>
      <c r="F479" s="3"/>
      <c r="G479" s="9"/>
      <c r="O479" s="3"/>
    </row>
    <row r="480" spans="4:15" x14ac:dyDescent="0.25">
      <c r="D480" s="8"/>
      <c r="E480" s="8"/>
      <c r="F480" s="3"/>
      <c r="G480" s="9"/>
      <c r="O480" s="3"/>
    </row>
    <row r="481" spans="4:15" x14ac:dyDescent="0.25">
      <c r="D481" s="8"/>
      <c r="E481" s="8"/>
      <c r="F481" s="3"/>
      <c r="G481" s="9"/>
      <c r="O481" s="3"/>
    </row>
    <row r="482" spans="4:15" x14ac:dyDescent="0.25">
      <c r="D482" s="8"/>
      <c r="E482" s="8"/>
      <c r="F482" s="3"/>
      <c r="G482" s="9"/>
      <c r="O482" s="3"/>
    </row>
    <row r="483" spans="4:15" x14ac:dyDescent="0.25">
      <c r="D483" s="8"/>
      <c r="E483" s="8"/>
      <c r="F483" s="3"/>
      <c r="G483" s="9"/>
      <c r="O483" s="3"/>
    </row>
    <row r="484" spans="4:15" x14ac:dyDescent="0.25">
      <c r="D484" s="8"/>
      <c r="E484" s="8"/>
      <c r="F484" s="3"/>
      <c r="G484" s="9"/>
      <c r="O484" s="3"/>
    </row>
    <row r="485" spans="4:15" x14ac:dyDescent="0.25">
      <c r="D485" s="8"/>
      <c r="E485" s="8"/>
      <c r="F485" s="3"/>
      <c r="G485" s="9"/>
      <c r="O485" s="3"/>
    </row>
    <row r="486" spans="4:15" x14ac:dyDescent="0.25">
      <c r="D486" s="8"/>
      <c r="E486" s="8"/>
      <c r="F486" s="3"/>
      <c r="G486" s="9"/>
      <c r="O486" s="3"/>
    </row>
    <row r="487" spans="4:15" x14ac:dyDescent="0.25">
      <c r="D487" s="8"/>
      <c r="E487" s="8"/>
      <c r="F487" s="3"/>
      <c r="G487" s="9"/>
      <c r="O487" s="3"/>
    </row>
    <row r="488" spans="4:15" x14ac:dyDescent="0.25">
      <c r="D488" s="8"/>
      <c r="E488" s="8"/>
      <c r="F488" s="3"/>
      <c r="G488" s="9"/>
      <c r="O488" s="3"/>
    </row>
    <row r="489" spans="4:15" x14ac:dyDescent="0.25">
      <c r="D489" s="8"/>
      <c r="E489" s="8"/>
      <c r="F489" s="3"/>
      <c r="G489" s="9"/>
      <c r="O489" s="3"/>
    </row>
    <row r="490" spans="4:15" x14ac:dyDescent="0.25">
      <c r="D490" s="8"/>
      <c r="E490" s="8"/>
      <c r="F490" s="3"/>
      <c r="G490" s="9"/>
      <c r="O490" s="3"/>
    </row>
    <row r="491" spans="4:15" x14ac:dyDescent="0.25">
      <c r="D491" s="8"/>
      <c r="E491" s="8"/>
      <c r="F491" s="3"/>
      <c r="G491" s="9"/>
      <c r="O491" s="3"/>
    </row>
    <row r="492" spans="4:15" x14ac:dyDescent="0.25">
      <c r="D492" s="8"/>
      <c r="E492" s="8"/>
      <c r="F492" s="3"/>
      <c r="G492" s="9"/>
      <c r="O492" s="3"/>
    </row>
    <row r="493" spans="4:15" x14ac:dyDescent="0.25">
      <c r="D493" s="8"/>
      <c r="E493" s="8"/>
      <c r="F493" s="3"/>
      <c r="G493" s="9"/>
      <c r="O493" s="3"/>
    </row>
    <row r="494" spans="4:15" x14ac:dyDescent="0.25">
      <c r="D494" s="8"/>
      <c r="E494" s="8"/>
      <c r="F494" s="3"/>
      <c r="G494" s="9"/>
      <c r="O494" s="3"/>
    </row>
    <row r="495" spans="4:15" x14ac:dyDescent="0.25">
      <c r="D495" s="8"/>
      <c r="E495" s="8"/>
      <c r="F495" s="3"/>
      <c r="G495" s="9"/>
      <c r="O495" s="3"/>
    </row>
    <row r="496" spans="4:15" x14ac:dyDescent="0.25">
      <c r="D496" s="8"/>
      <c r="E496" s="8"/>
      <c r="F496" s="3"/>
      <c r="G496" s="9"/>
      <c r="O496" s="3"/>
    </row>
    <row r="497" spans="4:15" x14ac:dyDescent="0.25">
      <c r="D497" s="8"/>
      <c r="E497" s="8"/>
      <c r="F497" s="3"/>
      <c r="G497" s="9"/>
      <c r="O497" s="3"/>
    </row>
    <row r="498" spans="4:15" x14ac:dyDescent="0.25">
      <c r="D498" s="8"/>
      <c r="E498" s="8"/>
      <c r="F498" s="3"/>
      <c r="G498" s="9"/>
      <c r="O498" s="3"/>
    </row>
    <row r="499" spans="4:15" x14ac:dyDescent="0.25">
      <c r="D499" s="8"/>
      <c r="E499" s="8"/>
      <c r="F499" s="3"/>
      <c r="G499" s="9"/>
      <c r="O499" s="3"/>
    </row>
    <row r="500" spans="4:15" x14ac:dyDescent="0.25">
      <c r="D500" s="8"/>
      <c r="E500" s="8"/>
      <c r="F500" s="3"/>
      <c r="G500" s="9"/>
      <c r="O500" s="3"/>
    </row>
    <row r="501" spans="4:15" x14ac:dyDescent="0.25">
      <c r="D501" s="8"/>
      <c r="E501" s="8"/>
      <c r="F501" s="3"/>
      <c r="G501" s="9"/>
      <c r="O501" s="3"/>
    </row>
    <row r="502" spans="4:15" x14ac:dyDescent="0.25">
      <c r="D502" s="8"/>
      <c r="E502" s="8"/>
      <c r="F502" s="3"/>
      <c r="O502" s="3"/>
    </row>
    <row r="503" spans="4:15" x14ac:dyDescent="0.25">
      <c r="D503" s="8"/>
      <c r="E503" s="8"/>
      <c r="F503" s="3"/>
      <c r="G503" s="9"/>
      <c r="O503" s="3"/>
    </row>
    <row r="504" spans="4:15" x14ac:dyDescent="0.25">
      <c r="D504" s="8"/>
      <c r="E504" s="8"/>
      <c r="F504" s="3"/>
      <c r="G504" s="9"/>
      <c r="O504" s="3"/>
    </row>
    <row r="505" spans="4:15" x14ac:dyDescent="0.25">
      <c r="D505" s="8"/>
      <c r="E505" s="8"/>
      <c r="F505" s="3"/>
      <c r="G505" s="9"/>
      <c r="O505" s="3"/>
    </row>
    <row r="506" spans="4:15" x14ac:dyDescent="0.25">
      <c r="D506" s="8"/>
      <c r="E506" s="8"/>
      <c r="F506" s="3"/>
      <c r="G506" s="9"/>
      <c r="O506" s="3"/>
    </row>
    <row r="507" spans="4:15" x14ac:dyDescent="0.25">
      <c r="D507" s="8"/>
      <c r="E507" s="8"/>
      <c r="F507" s="3"/>
      <c r="G507" s="9"/>
      <c r="O507" s="3"/>
    </row>
    <row r="508" spans="4:15" x14ac:dyDescent="0.25">
      <c r="D508" s="8"/>
      <c r="E508" s="8"/>
      <c r="F508" s="3"/>
      <c r="G508" s="9"/>
      <c r="O508" s="3"/>
    </row>
    <row r="509" spans="4:15" x14ac:dyDescent="0.25">
      <c r="D509" s="8"/>
      <c r="E509" s="8"/>
      <c r="F509" s="3"/>
      <c r="G509" s="9"/>
      <c r="O509" s="3"/>
    </row>
    <row r="510" spans="4:15" x14ac:dyDescent="0.25">
      <c r="D510" s="8"/>
      <c r="E510" s="8"/>
      <c r="F510" s="3"/>
      <c r="G510" s="9"/>
      <c r="O510" s="3"/>
    </row>
    <row r="511" spans="4:15" x14ac:dyDescent="0.25">
      <c r="D511" s="8"/>
      <c r="E511" s="8"/>
      <c r="F511" s="3"/>
      <c r="G511" s="9"/>
      <c r="O511" s="3"/>
    </row>
    <row r="512" spans="4:15" x14ac:dyDescent="0.25">
      <c r="D512" s="8"/>
      <c r="E512" s="8"/>
      <c r="F512" s="3"/>
      <c r="G512" s="9"/>
      <c r="O512" s="3"/>
    </row>
    <row r="513" spans="4:15" x14ac:dyDescent="0.25">
      <c r="D513" s="8"/>
      <c r="E513" s="8"/>
      <c r="F513" s="3"/>
      <c r="G513" s="9"/>
      <c r="O513" s="3"/>
    </row>
    <row r="514" spans="4:15" x14ac:dyDescent="0.25">
      <c r="D514" s="8"/>
      <c r="E514" s="8"/>
      <c r="F514" s="3"/>
      <c r="G514" s="9"/>
      <c r="O514" s="3"/>
    </row>
    <row r="515" spans="4:15" x14ac:dyDescent="0.25">
      <c r="D515" s="8"/>
      <c r="E515" s="8"/>
      <c r="F515" s="3"/>
      <c r="G515" s="9"/>
      <c r="O515" s="3"/>
    </row>
    <row r="516" spans="4:15" x14ac:dyDescent="0.25">
      <c r="D516" s="8"/>
      <c r="E516" s="8"/>
      <c r="F516" s="3"/>
      <c r="G516" s="9"/>
      <c r="O516" s="3"/>
    </row>
    <row r="517" spans="4:15" x14ac:dyDescent="0.25">
      <c r="D517" s="8"/>
      <c r="E517" s="8"/>
      <c r="F517" s="3"/>
      <c r="G517" s="9"/>
      <c r="O517" s="3"/>
    </row>
    <row r="518" spans="4:15" x14ac:dyDescent="0.25">
      <c r="D518" s="8"/>
      <c r="E518" s="8"/>
      <c r="F518" s="3"/>
      <c r="G518" s="9"/>
      <c r="O518" s="3"/>
    </row>
    <row r="519" spans="4:15" x14ac:dyDescent="0.25">
      <c r="D519" s="8"/>
      <c r="E519" s="8"/>
      <c r="F519" s="3"/>
      <c r="G519" s="9"/>
      <c r="O519" s="3"/>
    </row>
    <row r="520" spans="4:15" x14ac:dyDescent="0.25">
      <c r="D520" s="8"/>
      <c r="E520" s="8"/>
      <c r="F520" s="3"/>
      <c r="G520" s="9"/>
      <c r="O520" s="3"/>
    </row>
    <row r="521" spans="4:15" x14ac:dyDescent="0.25">
      <c r="D521" s="8"/>
      <c r="E521" s="8"/>
      <c r="F521" s="3"/>
      <c r="G521" s="9"/>
      <c r="O521" s="3"/>
    </row>
    <row r="522" spans="4:15" x14ac:dyDescent="0.25">
      <c r="D522" s="8"/>
      <c r="E522" s="8"/>
      <c r="F522" s="3"/>
      <c r="G522" s="9"/>
      <c r="O522" s="3"/>
    </row>
    <row r="523" spans="4:15" x14ac:dyDescent="0.25">
      <c r="D523" s="8"/>
      <c r="E523" s="8"/>
      <c r="F523" s="3"/>
      <c r="G523" s="9"/>
      <c r="O523" s="3"/>
    </row>
    <row r="524" spans="4:15" x14ac:dyDescent="0.25">
      <c r="D524" s="8"/>
      <c r="E524" s="8"/>
      <c r="F524" s="3"/>
      <c r="G524" s="9"/>
      <c r="O524" s="3"/>
    </row>
    <row r="525" spans="4:15" x14ac:dyDescent="0.25">
      <c r="D525" s="8"/>
      <c r="E525" s="8"/>
      <c r="F525" s="3"/>
      <c r="G525" s="9"/>
      <c r="O525" s="3"/>
    </row>
    <row r="526" spans="4:15" x14ac:dyDescent="0.25">
      <c r="D526" s="8"/>
      <c r="E526" s="8"/>
      <c r="F526" s="3"/>
      <c r="G526" s="9"/>
      <c r="O526" s="3"/>
    </row>
    <row r="527" spans="4:15" x14ac:dyDescent="0.25">
      <c r="D527" s="8"/>
      <c r="E527" s="8"/>
      <c r="F527" s="3"/>
      <c r="O527" s="3"/>
    </row>
    <row r="528" spans="4:15" x14ac:dyDescent="0.25">
      <c r="D528" s="8"/>
      <c r="E528" s="8"/>
      <c r="F528" s="3"/>
      <c r="G528" s="9"/>
      <c r="O528" s="3"/>
    </row>
    <row r="529" spans="4:15" x14ac:dyDescent="0.25">
      <c r="D529" s="8"/>
      <c r="E529" s="8"/>
      <c r="F529" s="3"/>
      <c r="G529" s="9"/>
      <c r="O529" s="3"/>
    </row>
    <row r="530" spans="4:15" x14ac:dyDescent="0.25">
      <c r="D530" s="8"/>
      <c r="E530" s="8"/>
      <c r="F530" s="3"/>
      <c r="G530" s="9"/>
      <c r="O530" s="3"/>
    </row>
    <row r="531" spans="4:15" x14ac:dyDescent="0.25">
      <c r="D531" s="8"/>
      <c r="E531" s="8"/>
      <c r="F531" s="3"/>
      <c r="G531" s="9"/>
      <c r="O531" s="3"/>
    </row>
    <row r="532" spans="4:15" x14ac:dyDescent="0.25">
      <c r="D532" s="8"/>
      <c r="E532" s="8"/>
      <c r="F532" s="3"/>
      <c r="G532" s="9"/>
      <c r="O532" s="3"/>
    </row>
    <row r="533" spans="4:15" x14ac:dyDescent="0.25">
      <c r="D533" s="8"/>
      <c r="E533" s="8"/>
      <c r="F533" s="3"/>
      <c r="G533" s="9"/>
      <c r="O533" s="3"/>
    </row>
    <row r="534" spans="4:15" x14ac:dyDescent="0.25">
      <c r="D534" s="8"/>
      <c r="E534" s="8"/>
      <c r="F534" s="3"/>
      <c r="G534" s="9"/>
      <c r="O534" s="3"/>
    </row>
    <row r="535" spans="4:15" x14ac:dyDescent="0.25">
      <c r="D535" s="8"/>
      <c r="E535" s="8"/>
      <c r="F535" s="3"/>
      <c r="G535" s="9"/>
      <c r="O535" s="3"/>
    </row>
    <row r="536" spans="4:15" x14ac:dyDescent="0.25">
      <c r="D536" s="8"/>
      <c r="E536" s="8"/>
      <c r="F536" s="3"/>
      <c r="G536" s="9"/>
      <c r="O536" s="3"/>
    </row>
    <row r="537" spans="4:15" x14ac:dyDescent="0.25">
      <c r="D537" s="8"/>
      <c r="E537" s="8"/>
      <c r="F537" s="3"/>
      <c r="G537" s="9"/>
      <c r="O537" s="3"/>
    </row>
    <row r="538" spans="4:15" x14ac:dyDescent="0.25">
      <c r="D538" s="8"/>
      <c r="E538" s="8"/>
      <c r="F538" s="3"/>
      <c r="G538" s="9"/>
      <c r="O538" s="3"/>
    </row>
    <row r="539" spans="4:15" x14ac:dyDescent="0.25">
      <c r="D539" s="8"/>
      <c r="E539" s="8"/>
      <c r="F539" s="3"/>
      <c r="G539" s="9"/>
      <c r="O539" s="3"/>
    </row>
    <row r="540" spans="4:15" x14ac:dyDescent="0.25">
      <c r="D540" s="8"/>
      <c r="E540" s="8"/>
      <c r="F540" s="3"/>
      <c r="G540" s="9"/>
      <c r="O540" s="3"/>
    </row>
    <row r="541" spans="4:15" x14ac:dyDescent="0.25">
      <c r="D541" s="8"/>
      <c r="E541" s="8"/>
      <c r="F541" s="3"/>
      <c r="G541" s="9"/>
      <c r="O541" s="3"/>
    </row>
    <row r="542" spans="4:15" x14ac:dyDescent="0.25">
      <c r="D542" s="8"/>
      <c r="E542" s="8"/>
      <c r="F542" s="3"/>
      <c r="G542" s="9"/>
      <c r="O542" s="3"/>
    </row>
    <row r="543" spans="4:15" x14ac:dyDescent="0.25">
      <c r="D543" s="8"/>
      <c r="E543" s="8"/>
      <c r="F543" s="3"/>
      <c r="G543" s="9"/>
      <c r="O543" s="3"/>
    </row>
    <row r="544" spans="4:15" x14ac:dyDescent="0.25">
      <c r="D544" s="8"/>
      <c r="E544" s="8"/>
      <c r="F544" s="3"/>
      <c r="G544" s="9"/>
      <c r="O544" s="3"/>
    </row>
    <row r="545" spans="4:15" x14ac:dyDescent="0.25">
      <c r="D545" s="8"/>
      <c r="E545" s="8"/>
      <c r="F545" s="3"/>
      <c r="G545" s="9"/>
      <c r="O545" s="3"/>
    </row>
    <row r="546" spans="4:15" x14ac:dyDescent="0.25">
      <c r="D546" s="8"/>
      <c r="E546" s="8"/>
      <c r="F546" s="3"/>
      <c r="G546" s="9"/>
      <c r="O546" s="3"/>
    </row>
    <row r="547" spans="4:15" x14ac:dyDescent="0.25">
      <c r="D547" s="8"/>
      <c r="E547" s="8"/>
      <c r="F547" s="3"/>
      <c r="G547" s="9"/>
      <c r="O547" s="3"/>
    </row>
    <row r="548" spans="4:15" x14ac:dyDescent="0.25">
      <c r="D548" s="8"/>
      <c r="E548" s="8"/>
      <c r="F548" s="3"/>
      <c r="G548" s="9"/>
      <c r="O548" s="3"/>
    </row>
    <row r="549" spans="4:15" x14ac:dyDescent="0.25">
      <c r="D549" s="8"/>
      <c r="E549" s="8"/>
      <c r="F549" s="3"/>
      <c r="G549" s="9"/>
      <c r="O549" s="3"/>
    </row>
    <row r="550" spans="4:15" x14ac:dyDescent="0.25">
      <c r="D550" s="8"/>
      <c r="E550" s="8"/>
      <c r="F550" s="3"/>
      <c r="G550" s="9"/>
      <c r="O550" s="3"/>
    </row>
    <row r="551" spans="4:15" x14ac:dyDescent="0.25">
      <c r="D551" s="8"/>
      <c r="E551" s="8"/>
      <c r="F551" s="3"/>
      <c r="G551" s="9"/>
      <c r="O551" s="3"/>
    </row>
    <row r="552" spans="4:15" x14ac:dyDescent="0.25">
      <c r="D552" s="8"/>
      <c r="E552" s="8"/>
      <c r="F552" s="3"/>
      <c r="O552" s="3"/>
    </row>
    <row r="553" spans="4:15" x14ac:dyDescent="0.25">
      <c r="D553" s="8"/>
      <c r="E553" s="8"/>
      <c r="F553" s="3"/>
      <c r="G553" s="9"/>
      <c r="O553" s="3"/>
    </row>
    <row r="554" spans="4:15" x14ac:dyDescent="0.25">
      <c r="D554" s="8"/>
      <c r="E554" s="8"/>
      <c r="F554" s="3"/>
      <c r="G554" s="9"/>
      <c r="O554" s="3"/>
    </row>
    <row r="555" spans="4:15" x14ac:dyDescent="0.25">
      <c r="D555" s="8"/>
      <c r="E555" s="8"/>
      <c r="F555" s="3"/>
      <c r="G555" s="9"/>
      <c r="O555" s="3"/>
    </row>
    <row r="556" spans="4:15" x14ac:dyDescent="0.25">
      <c r="D556" s="8"/>
      <c r="E556" s="8"/>
      <c r="F556" s="3"/>
      <c r="G556" s="9"/>
      <c r="O556" s="3"/>
    </row>
    <row r="557" spans="4:15" x14ac:dyDescent="0.25">
      <c r="D557" s="8"/>
      <c r="E557" s="8"/>
      <c r="F557" s="3"/>
      <c r="G557" s="9"/>
      <c r="O557" s="3"/>
    </row>
    <row r="558" spans="4:15" x14ac:dyDescent="0.25">
      <c r="D558" s="8"/>
      <c r="E558" s="8"/>
      <c r="F558" s="3"/>
      <c r="G558" s="9"/>
      <c r="O558" s="3"/>
    </row>
    <row r="559" spans="4:15" x14ac:dyDescent="0.25">
      <c r="D559" s="8"/>
      <c r="E559" s="8"/>
      <c r="F559" s="3"/>
      <c r="G559" s="9"/>
      <c r="O559" s="3"/>
    </row>
    <row r="560" spans="4:15" x14ac:dyDescent="0.25">
      <c r="D560" s="8"/>
      <c r="E560" s="8"/>
      <c r="F560" s="3"/>
      <c r="G560" s="9"/>
      <c r="O560" s="3"/>
    </row>
    <row r="561" spans="4:15" x14ac:dyDescent="0.25">
      <c r="D561" s="8"/>
      <c r="E561" s="8"/>
      <c r="F561" s="3"/>
      <c r="G561" s="9"/>
      <c r="O561" s="3"/>
    </row>
    <row r="562" spans="4:15" x14ac:dyDescent="0.25">
      <c r="D562" s="8"/>
      <c r="E562" s="8"/>
      <c r="F562" s="3"/>
      <c r="G562" s="9"/>
      <c r="O562" s="3"/>
    </row>
    <row r="563" spans="4:15" x14ac:dyDescent="0.25">
      <c r="D563" s="8"/>
      <c r="E563" s="8"/>
      <c r="F563" s="3"/>
      <c r="G563" s="9"/>
      <c r="O563" s="3"/>
    </row>
    <row r="564" spans="4:15" x14ac:dyDescent="0.25">
      <c r="D564" s="8"/>
      <c r="E564" s="8"/>
      <c r="F564" s="3"/>
      <c r="G564" s="9"/>
      <c r="O564" s="3"/>
    </row>
    <row r="565" spans="4:15" x14ac:dyDescent="0.25">
      <c r="D565" s="8"/>
      <c r="E565" s="8"/>
      <c r="F565" s="3"/>
      <c r="G565" s="9"/>
      <c r="O565" s="3"/>
    </row>
    <row r="566" spans="4:15" x14ac:dyDescent="0.25">
      <c r="D566" s="8"/>
      <c r="E566" s="8"/>
      <c r="F566" s="3"/>
      <c r="G566" s="9"/>
      <c r="O566" s="3"/>
    </row>
    <row r="567" spans="4:15" x14ac:dyDescent="0.25">
      <c r="D567" s="8"/>
      <c r="E567" s="8"/>
      <c r="F567" s="3"/>
      <c r="G567" s="9"/>
      <c r="O567" s="3"/>
    </row>
    <row r="568" spans="4:15" x14ac:dyDescent="0.25">
      <c r="D568" s="8"/>
      <c r="E568" s="8"/>
      <c r="F568" s="3"/>
      <c r="G568" s="9"/>
      <c r="O568" s="3"/>
    </row>
    <row r="569" spans="4:15" x14ac:dyDescent="0.25">
      <c r="D569" s="8"/>
      <c r="E569" s="8"/>
      <c r="F569" s="3"/>
      <c r="G569" s="9"/>
      <c r="O569" s="3"/>
    </row>
    <row r="570" spans="4:15" x14ac:dyDescent="0.25">
      <c r="D570" s="8"/>
      <c r="E570" s="8"/>
      <c r="F570" s="3"/>
      <c r="G570" s="9"/>
      <c r="O570" s="3"/>
    </row>
    <row r="571" spans="4:15" x14ac:dyDescent="0.25">
      <c r="D571" s="8"/>
      <c r="E571" s="8"/>
      <c r="F571" s="3"/>
      <c r="G571" s="9"/>
      <c r="O571" s="3"/>
    </row>
    <row r="572" spans="4:15" x14ac:dyDescent="0.25">
      <c r="D572" s="8"/>
      <c r="E572" s="8"/>
      <c r="F572" s="3"/>
      <c r="G572" s="9"/>
      <c r="O572" s="3"/>
    </row>
    <row r="573" spans="4:15" x14ac:dyDescent="0.25">
      <c r="D573" s="8"/>
      <c r="E573" s="8"/>
      <c r="F573" s="3"/>
      <c r="G573" s="9"/>
      <c r="O573" s="3"/>
    </row>
    <row r="574" spans="4:15" x14ac:dyDescent="0.25">
      <c r="D574" s="8"/>
      <c r="E574" s="8"/>
      <c r="F574" s="3"/>
      <c r="G574" s="9"/>
      <c r="O574" s="3"/>
    </row>
    <row r="575" spans="4:15" x14ac:dyDescent="0.25">
      <c r="D575" s="8"/>
      <c r="E575" s="8"/>
      <c r="F575" s="3"/>
      <c r="G575" s="9"/>
      <c r="O575" s="3"/>
    </row>
    <row r="576" spans="4:15" x14ac:dyDescent="0.25">
      <c r="D576" s="8"/>
      <c r="E576" s="8"/>
      <c r="F576" s="3"/>
      <c r="G576" s="9"/>
      <c r="O576" s="3"/>
    </row>
    <row r="577" spans="4:15" x14ac:dyDescent="0.25">
      <c r="D577" s="8"/>
      <c r="E577" s="8"/>
      <c r="F577" s="3"/>
      <c r="O577" s="3"/>
    </row>
    <row r="578" spans="4:15" x14ac:dyDescent="0.25">
      <c r="D578" s="8"/>
      <c r="E578" s="8"/>
      <c r="F578" s="3"/>
      <c r="G578" s="9"/>
      <c r="O578" s="3"/>
    </row>
    <row r="579" spans="4:15" x14ac:dyDescent="0.25">
      <c r="D579" s="8"/>
      <c r="E579" s="8"/>
      <c r="F579" s="3"/>
      <c r="G579" s="9"/>
      <c r="O579" s="3"/>
    </row>
    <row r="580" spans="4:15" x14ac:dyDescent="0.25">
      <c r="D580" s="8"/>
      <c r="E580" s="8"/>
      <c r="F580" s="3"/>
      <c r="G580" s="9"/>
      <c r="O580" s="3"/>
    </row>
    <row r="581" spans="4:15" x14ac:dyDescent="0.25">
      <c r="D581" s="8"/>
      <c r="E581" s="8"/>
      <c r="F581" s="3"/>
      <c r="G581" s="9"/>
      <c r="O581" s="3"/>
    </row>
    <row r="582" spans="4:15" x14ac:dyDescent="0.25">
      <c r="D582" s="8"/>
      <c r="E582" s="8"/>
      <c r="F582" s="3"/>
      <c r="G582" s="9"/>
      <c r="O582" s="3"/>
    </row>
    <row r="583" spans="4:15" x14ac:dyDescent="0.25">
      <c r="D583" s="8"/>
      <c r="E583" s="8"/>
      <c r="F583" s="3"/>
      <c r="G583" s="9"/>
      <c r="O583" s="3"/>
    </row>
    <row r="584" spans="4:15" x14ac:dyDescent="0.25">
      <c r="D584" s="8"/>
      <c r="E584" s="8"/>
      <c r="F584" s="3"/>
      <c r="G584" s="9"/>
      <c r="O584" s="3"/>
    </row>
    <row r="585" spans="4:15" x14ac:dyDescent="0.25">
      <c r="D585" s="8"/>
      <c r="E585" s="8"/>
      <c r="F585" s="3"/>
      <c r="G585" s="9"/>
      <c r="O585" s="3"/>
    </row>
    <row r="586" spans="4:15" x14ac:dyDescent="0.25">
      <c r="D586" s="8"/>
      <c r="E586" s="8"/>
      <c r="F586" s="3"/>
      <c r="G586" s="9"/>
      <c r="O586" s="3"/>
    </row>
    <row r="587" spans="4:15" x14ac:dyDescent="0.25">
      <c r="D587" s="8"/>
      <c r="E587" s="8"/>
      <c r="F587" s="3"/>
      <c r="G587" s="9"/>
      <c r="O587" s="3"/>
    </row>
    <row r="588" spans="4:15" x14ac:dyDescent="0.25">
      <c r="D588" s="8"/>
      <c r="E588" s="8"/>
      <c r="F588" s="3"/>
      <c r="G588" s="9"/>
      <c r="O588" s="3"/>
    </row>
    <row r="589" spans="4:15" x14ac:dyDescent="0.25">
      <c r="D589" s="8"/>
      <c r="E589" s="8"/>
      <c r="F589" s="3"/>
      <c r="G589" s="9"/>
      <c r="O589" s="3"/>
    </row>
    <row r="590" spans="4:15" x14ac:dyDescent="0.25">
      <c r="D590" s="8"/>
      <c r="E590" s="8"/>
      <c r="F590" s="3"/>
      <c r="G590" s="9"/>
      <c r="O590" s="3"/>
    </row>
    <row r="591" spans="4:15" x14ac:dyDescent="0.25">
      <c r="D591" s="8"/>
      <c r="E591" s="8"/>
      <c r="F591" s="3"/>
      <c r="G591" s="9"/>
      <c r="O591" s="3"/>
    </row>
    <row r="592" spans="4:15" x14ac:dyDescent="0.25">
      <c r="D592" s="8"/>
      <c r="E592" s="8"/>
      <c r="F592" s="3"/>
      <c r="G592" s="9"/>
      <c r="O592" s="3"/>
    </row>
    <row r="593" spans="4:15" x14ac:dyDescent="0.25">
      <c r="D593" s="8"/>
      <c r="E593" s="8"/>
      <c r="F593" s="3"/>
      <c r="G593" s="9"/>
      <c r="O593" s="3"/>
    </row>
    <row r="594" spans="4:15" x14ac:dyDescent="0.25">
      <c r="D594" s="8"/>
      <c r="E594" s="8"/>
      <c r="F594" s="3"/>
      <c r="G594" s="9"/>
      <c r="O594" s="3"/>
    </row>
    <row r="595" spans="4:15" x14ac:dyDescent="0.25">
      <c r="D595" s="8"/>
      <c r="E595" s="8"/>
      <c r="F595" s="3"/>
      <c r="G595" s="9"/>
      <c r="O595" s="3"/>
    </row>
    <row r="596" spans="4:15" x14ac:dyDescent="0.25">
      <c r="D596" s="8"/>
      <c r="E596" s="8"/>
      <c r="F596" s="3"/>
      <c r="G596" s="9"/>
      <c r="O596" s="3"/>
    </row>
    <row r="597" spans="4:15" x14ac:dyDescent="0.25">
      <c r="D597" s="8"/>
      <c r="E597" s="8"/>
      <c r="F597" s="3"/>
      <c r="G597" s="9"/>
      <c r="O597" s="3"/>
    </row>
    <row r="598" spans="4:15" x14ac:dyDescent="0.25">
      <c r="D598" s="8"/>
      <c r="E598" s="8"/>
      <c r="F598" s="3"/>
      <c r="G598" s="9"/>
      <c r="O598" s="3"/>
    </row>
    <row r="599" spans="4:15" x14ac:dyDescent="0.25">
      <c r="D599" s="8"/>
      <c r="E599" s="8"/>
      <c r="F599" s="3"/>
      <c r="G599" s="9"/>
      <c r="O599" s="3"/>
    </row>
    <row r="600" spans="4:15" x14ac:dyDescent="0.25">
      <c r="D600" s="8"/>
      <c r="E600" s="8"/>
      <c r="F600" s="3"/>
      <c r="G600" s="9"/>
      <c r="O600" s="3"/>
    </row>
    <row r="601" spans="4:15" x14ac:dyDescent="0.25">
      <c r="D601" s="8"/>
      <c r="E601" s="8"/>
      <c r="F601" s="3"/>
      <c r="G601" s="9"/>
      <c r="O601" s="3"/>
    </row>
    <row r="602" spans="4:15" x14ac:dyDescent="0.25">
      <c r="D602" s="8"/>
      <c r="E602" s="8"/>
      <c r="F602" s="3"/>
      <c r="O602" s="3"/>
    </row>
    <row r="603" spans="4:15" x14ac:dyDescent="0.25">
      <c r="D603" s="8"/>
      <c r="E603" s="8"/>
      <c r="F603" s="3"/>
      <c r="G603" s="9"/>
      <c r="O603" s="3"/>
    </row>
    <row r="604" spans="4:15" x14ac:dyDescent="0.25">
      <c r="D604" s="8"/>
      <c r="E604" s="8"/>
      <c r="F604" s="3"/>
      <c r="G604" s="9"/>
      <c r="O604" s="3"/>
    </row>
    <row r="605" spans="4:15" x14ac:dyDescent="0.25">
      <c r="D605" s="8"/>
      <c r="E605" s="8"/>
      <c r="F605" s="3"/>
      <c r="G605" s="9"/>
      <c r="O605" s="3"/>
    </row>
    <row r="606" spans="4:15" x14ac:dyDescent="0.25">
      <c r="D606" s="8"/>
      <c r="E606" s="8"/>
      <c r="F606" s="3"/>
      <c r="G606" s="9"/>
      <c r="O606" s="3"/>
    </row>
    <row r="607" spans="4:15" x14ac:dyDescent="0.25">
      <c r="D607" s="8"/>
      <c r="E607" s="8"/>
      <c r="F607" s="3"/>
      <c r="G607" s="9"/>
      <c r="O607" s="3"/>
    </row>
    <row r="608" spans="4:15" x14ac:dyDescent="0.25">
      <c r="D608" s="8"/>
      <c r="E608" s="8"/>
      <c r="F608" s="3"/>
      <c r="G608" s="9"/>
      <c r="O608" s="3"/>
    </row>
    <row r="609" spans="4:15" x14ac:dyDescent="0.25">
      <c r="D609" s="8"/>
      <c r="E609" s="8"/>
      <c r="F609" s="3"/>
      <c r="G609" s="9"/>
      <c r="O609" s="3"/>
    </row>
    <row r="610" spans="4:15" x14ac:dyDescent="0.25">
      <c r="D610" s="8"/>
      <c r="E610" s="8"/>
      <c r="F610" s="3"/>
      <c r="G610" s="9"/>
      <c r="O610" s="3"/>
    </row>
    <row r="611" spans="4:15" x14ac:dyDescent="0.25">
      <c r="D611" s="8"/>
      <c r="E611" s="8"/>
      <c r="F611" s="3"/>
      <c r="G611" s="9"/>
      <c r="O611" s="3"/>
    </row>
    <row r="612" spans="4:15" x14ac:dyDescent="0.25">
      <c r="D612" s="8"/>
      <c r="E612" s="8"/>
      <c r="F612" s="3"/>
      <c r="G612" s="9"/>
      <c r="O612" s="3"/>
    </row>
    <row r="613" spans="4:15" x14ac:dyDescent="0.25">
      <c r="D613" s="8"/>
      <c r="E613" s="8"/>
      <c r="F613" s="3"/>
      <c r="G613" s="9"/>
      <c r="O613" s="3"/>
    </row>
    <row r="614" spans="4:15" x14ac:dyDescent="0.25">
      <c r="D614" s="8"/>
      <c r="E614" s="8"/>
      <c r="F614" s="3"/>
      <c r="G614" s="9"/>
      <c r="O614" s="3"/>
    </row>
    <row r="615" spans="4:15" x14ac:dyDescent="0.25">
      <c r="D615" s="8"/>
      <c r="E615" s="8"/>
      <c r="F615" s="3"/>
      <c r="G615" s="9"/>
      <c r="O615" s="3"/>
    </row>
    <row r="616" spans="4:15" x14ac:dyDescent="0.25">
      <c r="D616" s="8"/>
      <c r="E616" s="8"/>
      <c r="F616" s="3"/>
      <c r="G616" s="9"/>
      <c r="O616" s="3"/>
    </row>
    <row r="617" spans="4:15" x14ac:dyDescent="0.25">
      <c r="D617" s="8"/>
      <c r="E617" s="8"/>
      <c r="F617" s="3"/>
      <c r="G617" s="9"/>
      <c r="O617" s="3"/>
    </row>
    <row r="618" spans="4:15" x14ac:dyDescent="0.25">
      <c r="D618" s="8"/>
      <c r="E618" s="8"/>
      <c r="F618" s="3"/>
      <c r="G618" s="9"/>
      <c r="O618" s="3"/>
    </row>
    <row r="619" spans="4:15" x14ac:dyDescent="0.25">
      <c r="D619" s="8"/>
      <c r="E619" s="8"/>
      <c r="F619" s="3"/>
      <c r="G619" s="9"/>
      <c r="O619" s="3"/>
    </row>
    <row r="620" spans="4:15" x14ac:dyDescent="0.25">
      <c r="D620" s="8"/>
      <c r="E620" s="8"/>
      <c r="F620" s="3"/>
      <c r="G620" s="9"/>
      <c r="O620" s="3"/>
    </row>
    <row r="621" spans="4:15" x14ac:dyDescent="0.25">
      <c r="D621" s="8"/>
      <c r="E621" s="8"/>
      <c r="F621" s="3"/>
      <c r="G621" s="9"/>
      <c r="O621" s="3"/>
    </row>
    <row r="622" spans="4:15" x14ac:dyDescent="0.25">
      <c r="D622" s="8"/>
      <c r="E622" s="8"/>
      <c r="F622" s="3"/>
      <c r="G622" s="9"/>
      <c r="O622" s="3"/>
    </row>
    <row r="623" spans="4:15" x14ac:dyDescent="0.25">
      <c r="D623" s="8"/>
      <c r="E623" s="8"/>
      <c r="F623" s="3"/>
      <c r="G623" s="9"/>
      <c r="O623" s="3"/>
    </row>
    <row r="624" spans="4:15" x14ac:dyDescent="0.25">
      <c r="D624" s="8"/>
      <c r="E624" s="8"/>
      <c r="F624" s="3"/>
      <c r="G624" s="9"/>
      <c r="O624" s="3"/>
    </row>
    <row r="625" spans="4:15" x14ac:dyDescent="0.25">
      <c r="D625" s="8"/>
      <c r="E625" s="8"/>
      <c r="F625" s="3"/>
      <c r="G625" s="9"/>
      <c r="O625" s="3"/>
    </row>
    <row r="626" spans="4:15" x14ac:dyDescent="0.25">
      <c r="D626" s="8"/>
      <c r="E626" s="8"/>
      <c r="F626" s="3"/>
      <c r="G626" s="9"/>
      <c r="O626" s="3"/>
    </row>
    <row r="627" spans="4:15" x14ac:dyDescent="0.25">
      <c r="D627" s="8"/>
      <c r="E627" s="8"/>
      <c r="F627" s="3"/>
      <c r="O627" s="3"/>
    </row>
    <row r="628" spans="4:15" x14ac:dyDescent="0.25">
      <c r="D628" s="8"/>
      <c r="E628" s="8"/>
      <c r="F628" s="3"/>
      <c r="G628" s="9"/>
      <c r="O628" s="3"/>
    </row>
    <row r="629" spans="4:15" x14ac:dyDescent="0.25">
      <c r="D629" s="8"/>
      <c r="E629" s="8"/>
      <c r="F629" s="3"/>
      <c r="G629" s="9"/>
      <c r="O629" s="3"/>
    </row>
    <row r="630" spans="4:15" x14ac:dyDescent="0.25">
      <c r="D630" s="8"/>
      <c r="E630" s="8"/>
      <c r="F630" s="3"/>
      <c r="G630" s="9"/>
      <c r="O630" s="3"/>
    </row>
    <row r="631" spans="4:15" x14ac:dyDescent="0.25">
      <c r="D631" s="8"/>
      <c r="E631" s="8"/>
      <c r="F631" s="3"/>
      <c r="G631" s="9"/>
      <c r="O631" s="3"/>
    </row>
    <row r="632" spans="4:15" x14ac:dyDescent="0.25">
      <c r="D632" s="8"/>
      <c r="E632" s="8"/>
      <c r="F632" s="3"/>
      <c r="G632" s="9"/>
      <c r="O632" s="3"/>
    </row>
    <row r="633" spans="4:15" x14ac:dyDescent="0.25">
      <c r="D633" s="8"/>
      <c r="E633" s="8"/>
      <c r="F633" s="3"/>
      <c r="G633" s="9"/>
      <c r="O633" s="3"/>
    </row>
    <row r="634" spans="4:15" x14ac:dyDescent="0.25">
      <c r="D634" s="8"/>
      <c r="E634" s="8"/>
      <c r="F634" s="3"/>
      <c r="G634" s="9"/>
      <c r="O634" s="3"/>
    </row>
    <row r="635" spans="4:15" x14ac:dyDescent="0.25">
      <c r="D635" s="8"/>
      <c r="E635" s="8"/>
      <c r="F635" s="3"/>
      <c r="G635" s="9"/>
      <c r="O635" s="3"/>
    </row>
    <row r="636" spans="4:15" x14ac:dyDescent="0.25">
      <c r="D636" s="8"/>
      <c r="E636" s="8"/>
      <c r="F636" s="3"/>
      <c r="G636" s="9"/>
      <c r="O636" s="3"/>
    </row>
    <row r="637" spans="4:15" x14ac:dyDescent="0.25">
      <c r="D637" s="8"/>
      <c r="E637" s="8"/>
      <c r="F637" s="3"/>
      <c r="G637" s="9"/>
      <c r="O637" s="3"/>
    </row>
    <row r="638" spans="4:15" x14ac:dyDescent="0.25">
      <c r="D638" s="8"/>
      <c r="E638" s="8"/>
      <c r="F638" s="3"/>
      <c r="G638" s="9"/>
      <c r="O638" s="3"/>
    </row>
    <row r="639" spans="4:15" x14ac:dyDescent="0.25">
      <c r="D639" s="8"/>
      <c r="E639" s="8"/>
      <c r="F639" s="3"/>
      <c r="G639" s="9"/>
      <c r="O639" s="3"/>
    </row>
    <row r="640" spans="4:15" x14ac:dyDescent="0.25">
      <c r="D640" s="8"/>
      <c r="E640" s="8"/>
      <c r="F640" s="3"/>
      <c r="G640" s="9"/>
      <c r="O640" s="3"/>
    </row>
    <row r="641" spans="4:15" x14ac:dyDescent="0.25">
      <c r="D641" s="8"/>
      <c r="E641" s="8"/>
      <c r="F641" s="3"/>
      <c r="G641" s="9"/>
      <c r="O641" s="3"/>
    </row>
    <row r="642" spans="4:15" x14ac:dyDescent="0.25">
      <c r="D642" s="8"/>
      <c r="E642" s="8"/>
      <c r="F642" s="3"/>
      <c r="G642" s="9"/>
      <c r="O642" s="3"/>
    </row>
    <row r="643" spans="4:15" x14ac:dyDescent="0.25">
      <c r="D643" s="8"/>
      <c r="E643" s="8"/>
      <c r="F643" s="3"/>
      <c r="G643" s="9"/>
      <c r="O643" s="3"/>
    </row>
    <row r="644" spans="4:15" x14ac:dyDescent="0.25">
      <c r="D644" s="8"/>
      <c r="E644" s="8"/>
      <c r="F644" s="3"/>
      <c r="G644" s="9"/>
      <c r="O644" s="3"/>
    </row>
    <row r="645" spans="4:15" x14ac:dyDescent="0.25">
      <c r="D645" s="8"/>
      <c r="E645" s="8"/>
      <c r="F645" s="3"/>
      <c r="G645" s="9"/>
      <c r="O645" s="3"/>
    </row>
    <row r="646" spans="4:15" x14ac:dyDescent="0.25">
      <c r="D646" s="8"/>
      <c r="E646" s="8"/>
      <c r="F646" s="3"/>
      <c r="G646" s="9"/>
      <c r="O646" s="3"/>
    </row>
    <row r="647" spans="4:15" x14ac:dyDescent="0.25">
      <c r="D647" s="8"/>
      <c r="E647" s="8"/>
      <c r="F647" s="3"/>
      <c r="G647" s="9"/>
      <c r="O647" s="3"/>
    </row>
    <row r="648" spans="4:15" x14ac:dyDescent="0.25">
      <c r="D648" s="8"/>
      <c r="E648" s="8"/>
      <c r="F648" s="3"/>
      <c r="G648" s="9"/>
      <c r="O648" s="3"/>
    </row>
    <row r="649" spans="4:15" x14ac:dyDescent="0.25">
      <c r="D649" s="8"/>
      <c r="E649" s="8"/>
      <c r="F649" s="3"/>
      <c r="G649" s="9"/>
      <c r="O649" s="3"/>
    </row>
    <row r="650" spans="4:15" x14ac:dyDescent="0.25">
      <c r="D650" s="8"/>
      <c r="E650" s="8"/>
      <c r="F650" s="3"/>
      <c r="G650" s="9"/>
      <c r="O650" s="3"/>
    </row>
    <row r="651" spans="4:15" x14ac:dyDescent="0.25">
      <c r="D651" s="8"/>
      <c r="E651" s="8"/>
      <c r="F651" s="3"/>
      <c r="G651" s="9"/>
      <c r="O651" s="3"/>
    </row>
    <row r="652" spans="4:15" x14ac:dyDescent="0.25">
      <c r="D652" s="8"/>
      <c r="E652" s="8"/>
      <c r="F652" s="3"/>
      <c r="O652" s="3"/>
    </row>
    <row r="653" spans="4:15" x14ac:dyDescent="0.25">
      <c r="D653" s="8"/>
      <c r="E653" s="8"/>
      <c r="F653" s="3"/>
      <c r="G653" s="9"/>
      <c r="O653" s="3"/>
    </row>
    <row r="654" spans="4:15" x14ac:dyDescent="0.25">
      <c r="D654" s="8"/>
      <c r="E654" s="8"/>
      <c r="F654" s="3"/>
      <c r="G654" s="9"/>
      <c r="O654" s="3"/>
    </row>
    <row r="655" spans="4:15" x14ac:dyDescent="0.25">
      <c r="D655" s="8"/>
      <c r="E655" s="8"/>
      <c r="F655" s="3"/>
      <c r="G655" s="9"/>
      <c r="O655" s="3"/>
    </row>
    <row r="656" spans="4:15" x14ac:dyDescent="0.25">
      <c r="D656" s="8"/>
      <c r="E656" s="8"/>
      <c r="F656" s="3"/>
      <c r="G656" s="9"/>
      <c r="O656" s="3"/>
    </row>
    <row r="657" spans="4:15" x14ac:dyDescent="0.25">
      <c r="D657" s="8"/>
      <c r="E657" s="8"/>
      <c r="F657" s="3"/>
      <c r="G657" s="9"/>
      <c r="O657" s="3"/>
    </row>
    <row r="658" spans="4:15" x14ac:dyDescent="0.25">
      <c r="D658" s="8"/>
      <c r="E658" s="8"/>
      <c r="F658" s="3"/>
      <c r="G658" s="9"/>
      <c r="O658" s="3"/>
    </row>
    <row r="659" spans="4:15" x14ac:dyDescent="0.25">
      <c r="D659" s="8"/>
      <c r="E659" s="8"/>
      <c r="F659" s="3"/>
      <c r="G659" s="9"/>
      <c r="O659" s="3"/>
    </row>
    <row r="660" spans="4:15" x14ac:dyDescent="0.25">
      <c r="D660" s="8"/>
      <c r="E660" s="8"/>
      <c r="F660" s="3"/>
      <c r="G660" s="9"/>
      <c r="O660" s="3"/>
    </row>
    <row r="661" spans="4:15" x14ac:dyDescent="0.25">
      <c r="D661" s="8"/>
      <c r="E661" s="8"/>
      <c r="F661" s="3"/>
      <c r="G661" s="9"/>
      <c r="O661" s="3"/>
    </row>
    <row r="662" spans="4:15" x14ac:dyDescent="0.25">
      <c r="D662" s="8"/>
      <c r="E662" s="8"/>
      <c r="F662" s="3"/>
      <c r="G662" s="9"/>
      <c r="O662" s="3"/>
    </row>
    <row r="663" spans="4:15" x14ac:dyDescent="0.25">
      <c r="D663" s="8"/>
      <c r="E663" s="8"/>
      <c r="F663" s="3"/>
      <c r="G663" s="9"/>
      <c r="O663" s="3"/>
    </row>
    <row r="664" spans="4:15" x14ac:dyDescent="0.25">
      <c r="D664" s="8"/>
      <c r="E664" s="8"/>
      <c r="F664" s="3"/>
      <c r="G664" s="9"/>
      <c r="O664" s="3"/>
    </row>
    <row r="665" spans="4:15" x14ac:dyDescent="0.25">
      <c r="D665" s="8"/>
      <c r="E665" s="8"/>
      <c r="F665" s="3"/>
      <c r="G665" s="9"/>
      <c r="O665" s="3"/>
    </row>
    <row r="666" spans="4:15" x14ac:dyDescent="0.25">
      <c r="D666" s="8"/>
      <c r="E666" s="8"/>
      <c r="F666" s="3"/>
      <c r="G666" s="9"/>
      <c r="O666" s="3"/>
    </row>
    <row r="667" spans="4:15" x14ac:dyDescent="0.25">
      <c r="D667" s="8"/>
      <c r="E667" s="8"/>
      <c r="F667" s="3"/>
      <c r="G667" s="9"/>
      <c r="O667" s="3"/>
    </row>
    <row r="668" spans="4:15" x14ac:dyDescent="0.25">
      <c r="D668" s="8"/>
      <c r="E668" s="8"/>
      <c r="F668" s="3"/>
      <c r="G668" s="9"/>
      <c r="O668" s="3"/>
    </row>
    <row r="669" spans="4:15" x14ac:dyDescent="0.25">
      <c r="D669" s="8"/>
      <c r="E669" s="8"/>
      <c r="F669" s="3"/>
      <c r="G669" s="9"/>
      <c r="O669" s="3"/>
    </row>
    <row r="670" spans="4:15" x14ac:dyDescent="0.25">
      <c r="D670" s="8"/>
      <c r="E670" s="8"/>
      <c r="F670" s="3"/>
      <c r="G670" s="9"/>
      <c r="O670" s="3"/>
    </row>
    <row r="671" spans="4:15" x14ac:dyDescent="0.25">
      <c r="D671" s="8"/>
      <c r="E671" s="8"/>
      <c r="F671" s="3"/>
      <c r="G671" s="9"/>
      <c r="O671" s="3"/>
    </row>
    <row r="672" spans="4:15" x14ac:dyDescent="0.25">
      <c r="D672" s="8"/>
      <c r="E672" s="8"/>
      <c r="F672" s="3"/>
      <c r="G672" s="9"/>
      <c r="O672" s="3"/>
    </row>
    <row r="673" spans="4:15" x14ac:dyDescent="0.25">
      <c r="D673" s="8"/>
      <c r="E673" s="8"/>
      <c r="F673" s="3"/>
      <c r="G673" s="9"/>
      <c r="O673" s="3"/>
    </row>
    <row r="674" spans="4:15" x14ac:dyDescent="0.25">
      <c r="D674" s="8"/>
      <c r="E674" s="8"/>
      <c r="F674" s="3"/>
      <c r="G674" s="9"/>
      <c r="O674" s="3"/>
    </row>
    <row r="675" spans="4:15" x14ac:dyDescent="0.25">
      <c r="D675" s="8"/>
      <c r="E675" s="8"/>
      <c r="F675" s="3"/>
      <c r="G675" s="9"/>
      <c r="O675" s="3"/>
    </row>
    <row r="676" spans="4:15" x14ac:dyDescent="0.25">
      <c r="D676" s="8"/>
      <c r="E676" s="8"/>
      <c r="F676" s="3"/>
      <c r="G676" s="9"/>
      <c r="O676" s="3"/>
    </row>
    <row r="677" spans="4:15" x14ac:dyDescent="0.25">
      <c r="D677" s="8"/>
      <c r="E677" s="8"/>
      <c r="F677" s="3"/>
      <c r="O677" s="3"/>
    </row>
    <row r="678" spans="4:15" x14ac:dyDescent="0.25">
      <c r="D678" s="8"/>
      <c r="E678" s="8"/>
      <c r="F678" s="3"/>
      <c r="G678" s="9"/>
      <c r="O678" s="3"/>
    </row>
    <row r="679" spans="4:15" x14ac:dyDescent="0.25">
      <c r="D679" s="8"/>
      <c r="E679" s="8"/>
      <c r="F679" s="3"/>
      <c r="G679" s="9"/>
      <c r="O679" s="3"/>
    </row>
    <row r="680" spans="4:15" x14ac:dyDescent="0.25">
      <c r="D680" s="8"/>
      <c r="E680" s="8"/>
      <c r="F680" s="3"/>
      <c r="G680" s="9"/>
      <c r="O680" s="3"/>
    </row>
    <row r="681" spans="4:15" x14ac:dyDescent="0.25">
      <c r="D681" s="8"/>
      <c r="E681" s="8"/>
      <c r="F681" s="3"/>
      <c r="G681" s="9"/>
      <c r="O681" s="3"/>
    </row>
    <row r="682" spans="4:15" x14ac:dyDescent="0.25">
      <c r="D682" s="8"/>
      <c r="E682" s="8"/>
      <c r="F682" s="3"/>
      <c r="G682" s="9"/>
      <c r="O682" s="3"/>
    </row>
    <row r="683" spans="4:15" x14ac:dyDescent="0.25">
      <c r="D683" s="8"/>
      <c r="E683" s="8"/>
      <c r="F683" s="3"/>
      <c r="G683" s="9"/>
      <c r="O683" s="3"/>
    </row>
    <row r="684" spans="4:15" x14ac:dyDescent="0.25">
      <c r="D684" s="8"/>
      <c r="E684" s="8"/>
      <c r="F684" s="3"/>
      <c r="G684" s="9"/>
      <c r="O684" s="3"/>
    </row>
    <row r="685" spans="4:15" x14ac:dyDescent="0.25">
      <c r="D685" s="8"/>
      <c r="E685" s="8"/>
      <c r="F685" s="3"/>
      <c r="G685" s="9"/>
      <c r="O685" s="3"/>
    </row>
    <row r="686" spans="4:15" x14ac:dyDescent="0.25">
      <c r="D686" s="8"/>
      <c r="E686" s="8"/>
      <c r="F686" s="3"/>
      <c r="G686" s="9"/>
      <c r="O686" s="3"/>
    </row>
    <row r="687" spans="4:15" x14ac:dyDescent="0.25">
      <c r="D687" s="8"/>
      <c r="E687" s="8"/>
      <c r="F687" s="3"/>
      <c r="G687" s="9"/>
      <c r="O687" s="3"/>
    </row>
    <row r="688" spans="4:15" x14ac:dyDescent="0.25">
      <c r="D688" s="8"/>
      <c r="E688" s="8"/>
      <c r="F688" s="3"/>
      <c r="G688" s="9"/>
      <c r="O688" s="3"/>
    </row>
    <row r="689" spans="4:15" x14ac:dyDescent="0.25">
      <c r="D689" s="8"/>
      <c r="E689" s="8"/>
      <c r="F689" s="3"/>
      <c r="G689" s="9"/>
      <c r="O689" s="3"/>
    </row>
    <row r="690" spans="4:15" x14ac:dyDescent="0.25">
      <c r="D690" s="8"/>
      <c r="E690" s="8"/>
      <c r="F690" s="3"/>
      <c r="G690" s="9"/>
      <c r="O690" s="3"/>
    </row>
    <row r="691" spans="4:15" x14ac:dyDescent="0.25">
      <c r="D691" s="8"/>
      <c r="E691" s="8"/>
      <c r="F691" s="3"/>
      <c r="G691" s="9"/>
      <c r="O691" s="3"/>
    </row>
    <row r="692" spans="4:15" x14ac:dyDescent="0.25">
      <c r="D692" s="8"/>
      <c r="E692" s="8"/>
      <c r="F692" s="3"/>
      <c r="G692" s="9"/>
      <c r="O692" s="3"/>
    </row>
    <row r="693" spans="4:15" x14ac:dyDescent="0.25">
      <c r="D693" s="8"/>
      <c r="E693" s="8"/>
      <c r="F693" s="3"/>
      <c r="G693" s="9"/>
      <c r="O693" s="3"/>
    </row>
    <row r="694" spans="4:15" x14ac:dyDescent="0.25">
      <c r="D694" s="8"/>
      <c r="E694" s="8"/>
      <c r="F694" s="3"/>
      <c r="G694" s="9"/>
      <c r="O694" s="3"/>
    </row>
    <row r="695" spans="4:15" x14ac:dyDescent="0.25">
      <c r="D695" s="8"/>
      <c r="E695" s="8"/>
      <c r="F695" s="3"/>
      <c r="G695" s="9"/>
      <c r="O695" s="3"/>
    </row>
    <row r="696" spans="4:15" x14ac:dyDescent="0.25">
      <c r="D696" s="8"/>
      <c r="E696" s="8"/>
      <c r="F696" s="3"/>
      <c r="G696" s="9"/>
      <c r="O696" s="3"/>
    </row>
    <row r="697" spans="4:15" x14ac:dyDescent="0.25">
      <c r="D697" s="8"/>
      <c r="E697" s="8"/>
      <c r="F697" s="3"/>
      <c r="G697" s="9"/>
      <c r="O697" s="3"/>
    </row>
    <row r="698" spans="4:15" x14ac:dyDescent="0.25">
      <c r="D698" s="8"/>
      <c r="E698" s="8"/>
      <c r="F698" s="3"/>
      <c r="G698" s="9"/>
      <c r="O698" s="3"/>
    </row>
    <row r="699" spans="4:15" x14ac:dyDescent="0.25">
      <c r="D699" s="8"/>
      <c r="E699" s="8"/>
      <c r="F699" s="3"/>
      <c r="G699" s="9"/>
      <c r="O699" s="3"/>
    </row>
    <row r="700" spans="4:15" x14ac:dyDescent="0.25">
      <c r="D700" s="8"/>
      <c r="E700" s="8"/>
      <c r="F700" s="3"/>
      <c r="G700" s="9"/>
      <c r="O700" s="3"/>
    </row>
    <row r="701" spans="4:15" x14ac:dyDescent="0.25">
      <c r="D701" s="8"/>
      <c r="E701" s="8"/>
      <c r="F701" s="3"/>
      <c r="G701" s="9"/>
      <c r="O701" s="3"/>
    </row>
    <row r="702" spans="4:15" x14ac:dyDescent="0.25">
      <c r="D702" s="8"/>
      <c r="E702" s="8"/>
      <c r="F702" s="3"/>
      <c r="O702" s="3"/>
    </row>
    <row r="703" spans="4:15" x14ac:dyDescent="0.25">
      <c r="D703" s="8"/>
      <c r="E703" s="8"/>
      <c r="F703" s="3"/>
      <c r="G703" s="9"/>
      <c r="O703" s="3"/>
    </row>
    <row r="704" spans="4:15" x14ac:dyDescent="0.25">
      <c r="D704" s="8"/>
      <c r="E704" s="8"/>
      <c r="F704" s="3"/>
      <c r="G704" s="9"/>
      <c r="O704" s="3"/>
    </row>
    <row r="705" spans="4:15" x14ac:dyDescent="0.25">
      <c r="D705" s="8"/>
      <c r="E705" s="8"/>
      <c r="F705" s="3"/>
      <c r="G705" s="9"/>
      <c r="O705" s="3"/>
    </row>
    <row r="706" spans="4:15" x14ac:dyDescent="0.25">
      <c r="D706" s="8"/>
      <c r="E706" s="8"/>
      <c r="F706" s="3"/>
      <c r="G706" s="9"/>
      <c r="O706" s="3"/>
    </row>
    <row r="707" spans="4:15" x14ac:dyDescent="0.25">
      <c r="D707" s="8"/>
      <c r="E707" s="8"/>
      <c r="F707" s="3"/>
      <c r="G707" s="9"/>
      <c r="O707" s="3"/>
    </row>
    <row r="708" spans="4:15" x14ac:dyDescent="0.25">
      <c r="D708" s="8"/>
      <c r="E708" s="8"/>
      <c r="F708" s="3"/>
      <c r="G708" s="9"/>
      <c r="O708" s="3"/>
    </row>
    <row r="709" spans="4:15" x14ac:dyDescent="0.25">
      <c r="D709" s="8"/>
      <c r="E709" s="8"/>
      <c r="F709" s="3"/>
      <c r="G709" s="9"/>
      <c r="O709" s="3"/>
    </row>
    <row r="710" spans="4:15" x14ac:dyDescent="0.25">
      <c r="D710" s="8"/>
      <c r="E710" s="8"/>
      <c r="F710" s="3"/>
      <c r="G710" s="9"/>
      <c r="O710" s="3"/>
    </row>
    <row r="711" spans="4:15" x14ac:dyDescent="0.25">
      <c r="D711" s="8"/>
      <c r="E711" s="8"/>
      <c r="F711" s="3"/>
      <c r="G711" s="9"/>
      <c r="O711" s="3"/>
    </row>
    <row r="712" spans="4:15" x14ac:dyDescent="0.25">
      <c r="D712" s="8"/>
      <c r="E712" s="8"/>
      <c r="F712" s="3"/>
      <c r="G712" s="9"/>
      <c r="O712" s="3"/>
    </row>
    <row r="713" spans="4:15" x14ac:dyDescent="0.25">
      <c r="D713" s="8"/>
      <c r="E713" s="8"/>
      <c r="F713" s="3"/>
      <c r="G713" s="9"/>
      <c r="O713" s="3"/>
    </row>
    <row r="714" spans="4:15" x14ac:dyDescent="0.25">
      <c r="D714" s="8"/>
      <c r="E714" s="8"/>
      <c r="F714" s="3"/>
      <c r="G714" s="9"/>
      <c r="O714" s="3"/>
    </row>
    <row r="715" spans="4:15" x14ac:dyDescent="0.25">
      <c r="D715" s="8"/>
      <c r="E715" s="8"/>
      <c r="F715" s="3"/>
      <c r="G715" s="9"/>
      <c r="O715" s="3"/>
    </row>
    <row r="716" spans="4:15" x14ac:dyDescent="0.25">
      <c r="D716" s="8"/>
      <c r="E716" s="8"/>
      <c r="F716" s="3"/>
      <c r="G716" s="9"/>
      <c r="O716" s="3"/>
    </row>
    <row r="717" spans="4:15" x14ac:dyDescent="0.25">
      <c r="D717" s="8"/>
      <c r="E717" s="8"/>
      <c r="F717" s="3"/>
      <c r="G717" s="9"/>
      <c r="O717" s="3"/>
    </row>
    <row r="718" spans="4:15" x14ac:dyDescent="0.25">
      <c r="D718" s="3"/>
      <c r="F718" s="3"/>
      <c r="G718" s="9"/>
      <c r="O718" s="3"/>
    </row>
    <row r="719" spans="4:15" x14ac:dyDescent="0.25">
      <c r="F719" s="3"/>
      <c r="G719" s="9"/>
      <c r="O719" s="3"/>
    </row>
    <row r="720" spans="4:15" x14ac:dyDescent="0.25">
      <c r="F720" s="3"/>
      <c r="G720" s="9"/>
      <c r="O720" s="3"/>
    </row>
    <row r="721" spans="6:15" x14ac:dyDescent="0.25">
      <c r="F721" s="3"/>
      <c r="G721" s="9"/>
      <c r="O721" s="3"/>
    </row>
    <row r="722" spans="6:15" x14ac:dyDescent="0.25">
      <c r="F722" s="3"/>
      <c r="G722" s="9"/>
      <c r="O722" s="3"/>
    </row>
    <row r="723" spans="6:15" x14ac:dyDescent="0.25">
      <c r="F723" s="3"/>
      <c r="G723" s="9"/>
      <c r="O723" s="3"/>
    </row>
    <row r="724" spans="6:15" x14ac:dyDescent="0.25">
      <c r="F724" s="3"/>
      <c r="G724" s="9"/>
      <c r="O724" s="3"/>
    </row>
    <row r="725" spans="6:15" x14ac:dyDescent="0.25">
      <c r="F725" s="3"/>
      <c r="G725" s="9"/>
      <c r="O725" s="3"/>
    </row>
    <row r="726" spans="6:15" x14ac:dyDescent="0.25">
      <c r="F726" s="3"/>
      <c r="G726" s="9"/>
      <c r="O726" s="3"/>
    </row>
    <row r="727" spans="6:15" x14ac:dyDescent="0.25">
      <c r="F727" s="3"/>
      <c r="O727" s="3"/>
    </row>
    <row r="728" spans="6:15" x14ac:dyDescent="0.25">
      <c r="F728" s="3"/>
      <c r="G728" s="9"/>
      <c r="O728" s="3"/>
    </row>
    <row r="729" spans="6:15" x14ac:dyDescent="0.25">
      <c r="F729" s="3"/>
      <c r="G729" s="9"/>
      <c r="O729" s="3"/>
    </row>
    <row r="730" spans="6:15" x14ac:dyDescent="0.25">
      <c r="F730" s="3"/>
      <c r="G730" s="9"/>
      <c r="O730" s="3"/>
    </row>
    <row r="731" spans="6:15" x14ac:dyDescent="0.25">
      <c r="F731" s="3"/>
      <c r="G731" s="9"/>
      <c r="O731" s="3"/>
    </row>
    <row r="732" spans="6:15" x14ac:dyDescent="0.25">
      <c r="F732" s="3"/>
      <c r="G732" s="9"/>
      <c r="O732" s="3"/>
    </row>
    <row r="733" spans="6:15" x14ac:dyDescent="0.25">
      <c r="F733" s="3"/>
      <c r="G733" s="9"/>
      <c r="O733" s="3"/>
    </row>
    <row r="734" spans="6:15" x14ac:dyDescent="0.25">
      <c r="F734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P1330"/>
  <sheetViews>
    <sheetView workbookViewId="0">
      <selection activeCell="M2" sqref="M2"/>
    </sheetView>
  </sheetViews>
  <sheetFormatPr defaultRowHeight="15" x14ac:dyDescent="0.25"/>
  <cols>
    <col min="11" max="11" width="11.85546875" bestFit="1" customWidth="1"/>
    <col min="12" max="12" width="12.42578125" bestFit="1" customWidth="1"/>
    <col min="14" max="14" width="11.42578125" bestFit="1" customWidth="1"/>
    <col min="15" max="15" width="11.28515625" customWidth="1"/>
  </cols>
  <sheetData>
    <row r="1" spans="1:16" x14ac:dyDescent="0.25">
      <c r="B1" t="s">
        <v>2</v>
      </c>
      <c r="C1" s="2">
        <v>45189.761904761908</v>
      </c>
      <c r="I1" s="5" t="s">
        <v>4</v>
      </c>
      <c r="L1" t="s">
        <v>16</v>
      </c>
      <c r="M1" s="9" t="e">
        <f>C1-B1</f>
        <v>#VALUE!</v>
      </c>
    </row>
    <row r="2" spans="1:16" x14ac:dyDescent="0.25">
      <c r="A2" t="s">
        <v>0</v>
      </c>
      <c r="B2" t="s">
        <v>3</v>
      </c>
      <c r="C2" t="s">
        <v>1</v>
      </c>
      <c r="D2" s="6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6" t="s">
        <v>10</v>
      </c>
      <c r="J2" s="6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15</v>
      </c>
      <c r="P2" t="s">
        <v>0</v>
      </c>
    </row>
    <row r="3" spans="1:16" x14ac:dyDescent="0.25">
      <c r="A3">
        <v>1</v>
      </c>
      <c r="B3">
        <v>10.4001</v>
      </c>
      <c r="C3" s="3">
        <v>12.045247619047618</v>
      </c>
      <c r="D3" s="8">
        <f t="shared" ref="D3:D25" si="0">C3-B3</f>
        <v>1.6451476190476182</v>
      </c>
      <c r="E3" s="8">
        <f>(D3+D4)/2</f>
        <v>1.4843476190476173</v>
      </c>
      <c r="F3" s="3">
        <v>34.9</v>
      </c>
      <c r="G3" s="9">
        <v>7401.96</v>
      </c>
      <c r="H3">
        <f>E3*F3</f>
        <v>51.80373190476184</v>
      </c>
      <c r="I3">
        <f>I4+H3</f>
        <v>-729.399123095238</v>
      </c>
      <c r="J3">
        <f>(I3/G3)*1000</f>
        <v>-98.541348925857207</v>
      </c>
      <c r="P3">
        <v>2</v>
      </c>
    </row>
    <row r="4" spans="1:16" x14ac:dyDescent="0.25">
      <c r="A4">
        <v>2</v>
      </c>
      <c r="B4">
        <v>10.397600000000001</v>
      </c>
      <c r="C4" s="3">
        <v>11.721147619047617</v>
      </c>
      <c r="D4" s="8">
        <f t="shared" si="0"/>
        <v>1.3235476190476163</v>
      </c>
      <c r="E4" s="8">
        <f t="shared" ref="E4:E67" si="1">(D4+D5)/2</f>
        <v>1.0834357142857129</v>
      </c>
      <c r="F4" s="3">
        <v>34.799999999999997</v>
      </c>
      <c r="G4" s="9">
        <v>7371.92</v>
      </c>
      <c r="H4">
        <f t="shared" ref="H4:H67" si="2">E4*F4</f>
        <v>37.703562857142806</v>
      </c>
      <c r="I4">
        <f t="shared" ref="I4:I22" si="3">I5+H4</f>
        <v>-781.20285499999989</v>
      </c>
      <c r="J4">
        <f t="shared" ref="J4:J23" si="4">(I4/G4)*1000</f>
        <v>-105.97006682112664</v>
      </c>
      <c r="K4">
        <f t="shared" ref="K4:K24" si="5">(B5-B3)/(A5-A3)</f>
        <v>-2.6500000000000412E-3</v>
      </c>
      <c r="L4">
        <f t="shared" ref="L4:L24" si="6">(C5-C3)/(A5-A3)</f>
        <v>-0.40356190476190434</v>
      </c>
      <c r="M4">
        <f>(K4+L4)/2</f>
        <v>-0.20310595238095219</v>
      </c>
      <c r="N4">
        <f>-J4/(M4*86400*58)</f>
        <v>-1.0411632269659663E-4</v>
      </c>
      <c r="O4" s="3">
        <f>N4*10000</f>
        <v>-1.0411632269659663</v>
      </c>
      <c r="P4">
        <v>4</v>
      </c>
    </row>
    <row r="5" spans="1:16" x14ac:dyDescent="0.25">
      <c r="A5">
        <v>3</v>
      </c>
      <c r="B5">
        <v>10.3948</v>
      </c>
      <c r="C5" s="3">
        <v>11.23812380952381</v>
      </c>
      <c r="D5" s="8">
        <f t="shared" si="0"/>
        <v>0.84332380952380959</v>
      </c>
      <c r="E5" s="8">
        <f t="shared" si="1"/>
        <v>0.62448809523809601</v>
      </c>
      <c r="F5" s="3">
        <v>34.700000000000003</v>
      </c>
      <c r="G5" s="9">
        <v>7341.88</v>
      </c>
      <c r="H5">
        <f t="shared" si="2"/>
        <v>21.669736904761933</v>
      </c>
      <c r="I5">
        <f t="shared" si="3"/>
        <v>-818.90641785714274</v>
      </c>
      <c r="J5">
        <f t="shared" si="4"/>
        <v>-111.53906327223309</v>
      </c>
      <c r="K5">
        <f t="shared" si="5"/>
        <v>-2.1500000000003183E-3</v>
      </c>
      <c r="L5">
        <f t="shared" si="6"/>
        <v>-0.46109761904761726</v>
      </c>
      <c r="M5">
        <f t="shared" ref="M5:M68" si="7">(K5+L5)/2</f>
        <v>-0.23162380952380879</v>
      </c>
      <c r="N5">
        <f t="shared" ref="N5:N68" si="8">-J5/(M5*86400*58)</f>
        <v>-9.6095280020540928E-5</v>
      </c>
      <c r="O5" s="3">
        <f t="shared" ref="O5:O68" si="9">N5*10000</f>
        <v>-0.9609528002054093</v>
      </c>
      <c r="P5">
        <v>6</v>
      </c>
    </row>
    <row r="6" spans="1:16" x14ac:dyDescent="0.25">
      <c r="A6">
        <v>4</v>
      </c>
      <c r="B6">
        <v>10.3933</v>
      </c>
      <c r="C6" s="3">
        <v>10.798952380952382</v>
      </c>
      <c r="D6" s="8">
        <f t="shared" si="0"/>
        <v>0.40565238095238243</v>
      </c>
      <c r="E6" s="8">
        <f t="shared" si="1"/>
        <v>7.347142857142952E-2</v>
      </c>
      <c r="F6" s="3">
        <v>34.6</v>
      </c>
      <c r="G6" s="9">
        <v>7311.84</v>
      </c>
      <c r="H6">
        <f t="shared" si="2"/>
        <v>2.5421114285714617</v>
      </c>
      <c r="I6">
        <f t="shared" si="3"/>
        <v>-840.57615476190472</v>
      </c>
      <c r="J6">
        <f t="shared" si="4"/>
        <v>-114.96096123026553</v>
      </c>
      <c r="K6">
        <f t="shared" si="5"/>
        <v>-2.0499999999996632E-3</v>
      </c>
      <c r="L6">
        <f t="shared" si="6"/>
        <v>-0.55306666666666615</v>
      </c>
      <c r="M6">
        <f t="shared" si="7"/>
        <v>-0.27755833333333291</v>
      </c>
      <c r="N6">
        <f t="shared" si="8"/>
        <v>-8.2652192667743217E-5</v>
      </c>
      <c r="O6" s="3">
        <f t="shared" si="9"/>
        <v>-0.82652192667743218</v>
      </c>
      <c r="P6">
        <v>8</v>
      </c>
    </row>
    <row r="7" spans="1:16" x14ac:dyDescent="0.25">
      <c r="A7">
        <v>5</v>
      </c>
      <c r="B7">
        <v>10.390700000000001</v>
      </c>
      <c r="C7" s="3">
        <v>10.131990476190477</v>
      </c>
      <c r="D7" s="8">
        <f t="shared" si="0"/>
        <v>-0.25870952380952339</v>
      </c>
      <c r="E7" s="8">
        <f t="shared" si="1"/>
        <v>-0.55360238095238046</v>
      </c>
      <c r="F7" s="3">
        <v>34.5</v>
      </c>
      <c r="G7" s="9">
        <v>7281.8</v>
      </c>
      <c r="H7">
        <f t="shared" si="2"/>
        <v>-19.099282142857128</v>
      </c>
      <c r="I7">
        <f t="shared" si="3"/>
        <v>-843.11826619047622</v>
      </c>
      <c r="J7">
        <f t="shared" si="4"/>
        <v>-115.78432066116568</v>
      </c>
      <c r="K7">
        <f t="shared" si="5"/>
        <v>-5.3000000000000824E-3</v>
      </c>
      <c r="L7">
        <f t="shared" si="6"/>
        <v>-0.63237380952381006</v>
      </c>
      <c r="M7">
        <f t="shared" si="7"/>
        <v>-0.31883690476190507</v>
      </c>
      <c r="N7">
        <f t="shared" si="8"/>
        <v>-7.2466857956811112E-5</v>
      </c>
      <c r="O7" s="3">
        <f t="shared" si="9"/>
        <v>-0.72466857956811115</v>
      </c>
      <c r="P7">
        <v>10</v>
      </c>
    </row>
    <row r="8" spans="1:16" x14ac:dyDescent="0.25">
      <c r="A8">
        <v>6</v>
      </c>
      <c r="B8">
        <v>10.3827</v>
      </c>
      <c r="C8" s="3">
        <v>9.5342047619047623</v>
      </c>
      <c r="D8" s="8">
        <f t="shared" si="0"/>
        <v>-0.84849523809523753</v>
      </c>
      <c r="E8" s="8">
        <f t="shared" si="1"/>
        <v>-1.1203190476190468</v>
      </c>
      <c r="F8" s="3">
        <v>34.4</v>
      </c>
      <c r="G8" s="9">
        <v>7251.76</v>
      </c>
      <c r="H8">
        <f t="shared" si="2"/>
        <v>-38.538975238095205</v>
      </c>
      <c r="I8">
        <f t="shared" si="3"/>
        <v>-824.01898404761914</v>
      </c>
      <c r="J8">
        <f t="shared" si="4"/>
        <v>-113.63020619099628</v>
      </c>
      <c r="K8">
        <f t="shared" si="5"/>
        <v>-3.7550000000000416E-2</v>
      </c>
      <c r="L8">
        <f t="shared" si="6"/>
        <v>-0.60426666666666673</v>
      </c>
      <c r="M8">
        <f t="shared" si="7"/>
        <v>-0.32090833333333357</v>
      </c>
      <c r="N8">
        <f t="shared" si="8"/>
        <v>-7.0659581961058827E-5</v>
      </c>
      <c r="O8" s="3">
        <f t="shared" si="9"/>
        <v>-0.70659581961058826</v>
      </c>
      <c r="P8">
        <v>12</v>
      </c>
    </row>
    <row r="9" spans="1:16" x14ac:dyDescent="0.25">
      <c r="A9">
        <v>7</v>
      </c>
      <c r="B9">
        <v>10.3156</v>
      </c>
      <c r="C9" s="3">
        <v>8.9234571428571439</v>
      </c>
      <c r="D9" s="8">
        <f t="shared" si="0"/>
        <v>-1.392142857142856</v>
      </c>
      <c r="E9" s="8">
        <f t="shared" si="1"/>
        <v>-1.5412023809523809</v>
      </c>
      <c r="F9" s="3">
        <v>34.299999999999997</v>
      </c>
      <c r="G9" s="9">
        <v>7221.72</v>
      </c>
      <c r="H9">
        <f t="shared" si="2"/>
        <v>-52.86324166666666</v>
      </c>
      <c r="I9">
        <f t="shared" si="3"/>
        <v>-785.48000880952395</v>
      </c>
      <c r="J9">
        <f t="shared" si="4"/>
        <v>-108.76633389407564</v>
      </c>
      <c r="K9">
        <f t="shared" si="5"/>
        <v>-0.19270000000000032</v>
      </c>
      <c r="L9">
        <f t="shared" si="6"/>
        <v>-0.61358333333333448</v>
      </c>
      <c r="M9">
        <f t="shared" si="7"/>
        <v>-0.4031416666666674</v>
      </c>
      <c r="N9">
        <f t="shared" si="8"/>
        <v>-5.3838762303923404E-5</v>
      </c>
      <c r="O9" s="3">
        <f t="shared" si="9"/>
        <v>-0.53838762303923404</v>
      </c>
      <c r="P9">
        <v>14</v>
      </c>
    </row>
    <row r="10" spans="1:16" x14ac:dyDescent="0.25">
      <c r="A10">
        <v>8</v>
      </c>
      <c r="B10">
        <v>9.9972999999999992</v>
      </c>
      <c r="C10" s="3">
        <v>8.3070380952380933</v>
      </c>
      <c r="D10" s="8">
        <f t="shared" si="0"/>
        <v>-1.6902619047619059</v>
      </c>
      <c r="E10" s="8">
        <f t="shared" si="1"/>
        <v>-1.8354785714285717</v>
      </c>
      <c r="F10" s="3">
        <v>34.200000000000003</v>
      </c>
      <c r="G10" s="9">
        <v>7191.68</v>
      </c>
      <c r="H10">
        <f t="shared" si="2"/>
        <v>-62.773367142857161</v>
      </c>
      <c r="I10">
        <f t="shared" si="3"/>
        <v>-732.61676714285727</v>
      </c>
      <c r="J10">
        <f t="shared" si="4"/>
        <v>-101.87004526659379</v>
      </c>
      <c r="K10">
        <f t="shared" si="5"/>
        <v>-0.32035000000000036</v>
      </c>
      <c r="L10">
        <f t="shared" si="6"/>
        <v>-0.61462619047619116</v>
      </c>
      <c r="M10">
        <f t="shared" si="7"/>
        <v>-0.46748809523809576</v>
      </c>
      <c r="N10">
        <f t="shared" si="8"/>
        <v>-4.3484472610651941E-5</v>
      </c>
      <c r="O10" s="3">
        <f t="shared" si="9"/>
        <v>-0.43484472610651942</v>
      </c>
      <c r="P10">
        <v>16</v>
      </c>
    </row>
    <row r="11" spans="1:16" x14ac:dyDescent="0.25">
      <c r="A11">
        <v>9</v>
      </c>
      <c r="B11">
        <v>9.6748999999999992</v>
      </c>
      <c r="C11" s="3">
        <v>7.6942047619047615</v>
      </c>
      <c r="D11" s="8">
        <f t="shared" si="0"/>
        <v>-1.9806952380952376</v>
      </c>
      <c r="E11" s="8">
        <f t="shared" si="1"/>
        <v>-2.0706976190476194</v>
      </c>
      <c r="F11" s="3">
        <v>34.1</v>
      </c>
      <c r="G11" s="9">
        <v>7161.64</v>
      </c>
      <c r="H11">
        <f t="shared" si="2"/>
        <v>-70.610788809523825</v>
      </c>
      <c r="I11">
        <f t="shared" si="3"/>
        <v>-669.84340000000009</v>
      </c>
      <c r="J11">
        <f t="shared" si="4"/>
        <v>-93.53212392692177</v>
      </c>
      <c r="K11">
        <f t="shared" si="5"/>
        <v>-0.31894999999999918</v>
      </c>
      <c r="L11">
        <f t="shared" si="6"/>
        <v>-0.55416904761904684</v>
      </c>
      <c r="M11">
        <f t="shared" si="7"/>
        <v>-0.43655952380952301</v>
      </c>
      <c r="N11">
        <f t="shared" si="8"/>
        <v>-4.2753885844868652E-5</v>
      </c>
      <c r="O11" s="3">
        <f t="shared" si="9"/>
        <v>-0.4275388584486865</v>
      </c>
      <c r="P11">
        <v>18</v>
      </c>
    </row>
    <row r="12" spans="1:16" x14ac:dyDescent="0.25">
      <c r="A12">
        <v>10</v>
      </c>
      <c r="B12">
        <v>9.3594000000000008</v>
      </c>
      <c r="C12" s="3">
        <v>7.1986999999999997</v>
      </c>
      <c r="D12" s="8">
        <f t="shared" si="0"/>
        <v>-2.1607000000000012</v>
      </c>
      <c r="E12" s="8">
        <f t="shared" si="1"/>
        <v>-2.1995690476190486</v>
      </c>
      <c r="F12" s="3">
        <v>34</v>
      </c>
      <c r="G12" s="9">
        <v>7131.6</v>
      </c>
      <c r="H12">
        <f t="shared" si="2"/>
        <v>-74.785347619047656</v>
      </c>
      <c r="I12">
        <f t="shared" si="3"/>
        <v>-599.23261119047629</v>
      </c>
      <c r="J12">
        <f t="shared" si="4"/>
        <v>-84.024988949250698</v>
      </c>
      <c r="K12">
        <f t="shared" si="5"/>
        <v>-0.32819999999999983</v>
      </c>
      <c r="L12">
        <f t="shared" si="6"/>
        <v>-0.45707142857142902</v>
      </c>
      <c r="M12">
        <f t="shared" si="7"/>
        <v>-0.39263571428571442</v>
      </c>
      <c r="N12">
        <f t="shared" si="8"/>
        <v>-4.2704823114741029E-5</v>
      </c>
      <c r="O12" s="3">
        <f t="shared" si="9"/>
        <v>-0.42704823114741031</v>
      </c>
      <c r="P12">
        <v>20</v>
      </c>
    </row>
    <row r="13" spans="1:16" x14ac:dyDescent="0.25">
      <c r="A13">
        <v>11</v>
      </c>
      <c r="B13">
        <v>9.0184999999999995</v>
      </c>
      <c r="C13" s="3">
        <v>6.7800619047619035</v>
      </c>
      <c r="D13" s="8">
        <f t="shared" si="0"/>
        <v>-2.238438095238096</v>
      </c>
      <c r="E13" s="8">
        <f t="shared" si="1"/>
        <v>-2.116833333333334</v>
      </c>
      <c r="F13" s="3">
        <v>33.9</v>
      </c>
      <c r="G13" s="9">
        <v>7101.56</v>
      </c>
      <c r="H13">
        <f t="shared" si="2"/>
        <v>-71.760650000000027</v>
      </c>
      <c r="I13">
        <f t="shared" si="3"/>
        <v>-524.44726357142861</v>
      </c>
      <c r="J13">
        <f t="shared" si="4"/>
        <v>-73.849585664477743</v>
      </c>
      <c r="K13">
        <f t="shared" si="5"/>
        <v>-0.41355000000000075</v>
      </c>
      <c r="L13">
        <f t="shared" si="6"/>
        <v>-0.33081428571428617</v>
      </c>
      <c r="M13">
        <f t="shared" si="7"/>
        <v>-0.37218214285714346</v>
      </c>
      <c r="N13">
        <f t="shared" si="8"/>
        <v>-3.9595952533585871E-5</v>
      </c>
      <c r="O13" s="3">
        <f t="shared" si="9"/>
        <v>-0.39595952533585871</v>
      </c>
      <c r="P13">
        <v>22</v>
      </c>
    </row>
    <row r="14" spans="1:16" x14ac:dyDescent="0.25">
      <c r="A14">
        <v>12</v>
      </c>
      <c r="B14">
        <v>8.5322999999999993</v>
      </c>
      <c r="C14" s="3">
        <v>6.5370714285714273</v>
      </c>
      <c r="D14" s="8">
        <f t="shared" si="0"/>
        <v>-1.995228571428572</v>
      </c>
      <c r="E14" s="8">
        <f t="shared" si="1"/>
        <v>-1.7934095238095238</v>
      </c>
      <c r="F14" s="3">
        <v>33.799999999999997</v>
      </c>
      <c r="G14" s="9">
        <v>7071.52</v>
      </c>
      <c r="H14">
        <f t="shared" si="2"/>
        <v>-60.617241904761897</v>
      </c>
      <c r="I14">
        <f t="shared" si="3"/>
        <v>-452.68661357142861</v>
      </c>
      <c r="J14">
        <f t="shared" si="4"/>
        <v>-64.015461113230046</v>
      </c>
      <c r="K14">
        <f t="shared" si="5"/>
        <v>-0.56269999999999998</v>
      </c>
      <c r="L14">
        <f t="shared" si="6"/>
        <v>-0.23927619047618975</v>
      </c>
      <c r="M14">
        <f t="shared" si="7"/>
        <v>-0.40098809523809487</v>
      </c>
      <c r="N14">
        <f t="shared" si="8"/>
        <v>-3.1857497878334633E-5</v>
      </c>
      <c r="O14" s="3">
        <f t="shared" si="9"/>
        <v>-0.31857497878334634</v>
      </c>
      <c r="P14">
        <v>24</v>
      </c>
    </row>
    <row r="15" spans="1:16" x14ac:dyDescent="0.25">
      <c r="A15">
        <v>13</v>
      </c>
      <c r="B15">
        <v>7.8930999999999996</v>
      </c>
      <c r="C15" s="3">
        <v>6.301509523809524</v>
      </c>
      <c r="D15" s="8">
        <f t="shared" si="0"/>
        <v>-1.5915904761904756</v>
      </c>
      <c r="E15" s="8">
        <f t="shared" si="1"/>
        <v>-1.4728023809523809</v>
      </c>
      <c r="F15" s="3">
        <v>33.700000000000003</v>
      </c>
      <c r="G15" s="9">
        <v>7041.4800000000005</v>
      </c>
      <c r="H15">
        <f t="shared" si="2"/>
        <v>-49.63344023809524</v>
      </c>
      <c r="I15">
        <f t="shared" si="3"/>
        <v>-392.06937166666671</v>
      </c>
      <c r="J15">
        <f t="shared" si="4"/>
        <v>-55.679966664205061</v>
      </c>
      <c r="K15">
        <f t="shared" si="5"/>
        <v>-0.51824999999999966</v>
      </c>
      <c r="L15">
        <f t="shared" si="6"/>
        <v>-0.19764285714285679</v>
      </c>
      <c r="M15">
        <f t="shared" si="7"/>
        <v>-0.35794642857142822</v>
      </c>
      <c r="N15">
        <f t="shared" si="8"/>
        <v>-3.1041249673024635E-5</v>
      </c>
      <c r="O15" s="3">
        <f t="shared" si="9"/>
        <v>-0.31041249673024635</v>
      </c>
      <c r="P15">
        <v>26</v>
      </c>
    </row>
    <row r="16" spans="1:16" x14ac:dyDescent="0.25">
      <c r="A16">
        <v>14</v>
      </c>
      <c r="B16">
        <v>7.4958</v>
      </c>
      <c r="C16" s="3">
        <v>6.1417857142857137</v>
      </c>
      <c r="D16" s="8">
        <f t="shared" si="0"/>
        <v>-1.3540142857142863</v>
      </c>
      <c r="E16" s="8">
        <f t="shared" si="1"/>
        <v>-1.3519452380952384</v>
      </c>
      <c r="F16" s="3">
        <v>33.6</v>
      </c>
      <c r="G16" s="9">
        <v>7011.4400000000005</v>
      </c>
      <c r="H16">
        <f t="shared" si="2"/>
        <v>-45.425360000000012</v>
      </c>
      <c r="I16">
        <f t="shared" si="3"/>
        <v>-342.43593142857145</v>
      </c>
      <c r="J16">
        <f t="shared" si="4"/>
        <v>-48.839600913445942</v>
      </c>
      <c r="K16">
        <f t="shared" si="5"/>
        <v>-0.30359999999999987</v>
      </c>
      <c r="L16">
        <f t="shared" si="6"/>
        <v>-0.18274285714285732</v>
      </c>
      <c r="M16">
        <f t="shared" si="7"/>
        <v>-0.24317142857142859</v>
      </c>
      <c r="N16">
        <f t="shared" si="8"/>
        <v>-4.007908741874687E-5</v>
      </c>
      <c r="O16" s="3">
        <f t="shared" si="9"/>
        <v>-0.40079087418746873</v>
      </c>
      <c r="P16">
        <v>28</v>
      </c>
    </row>
    <row r="17" spans="1:16" x14ac:dyDescent="0.25">
      <c r="A17">
        <v>15</v>
      </c>
      <c r="B17">
        <v>7.2858999999999998</v>
      </c>
      <c r="C17" s="3">
        <v>5.9360238095238094</v>
      </c>
      <c r="D17" s="8">
        <f t="shared" si="0"/>
        <v>-1.3498761904761905</v>
      </c>
      <c r="E17" s="8">
        <f t="shared" si="1"/>
        <v>-1.3331738095238088</v>
      </c>
      <c r="F17" s="3">
        <v>33.5</v>
      </c>
      <c r="G17" s="9">
        <v>6981.4000000000005</v>
      </c>
      <c r="H17">
        <f t="shared" si="2"/>
        <v>-44.661322619047596</v>
      </c>
      <c r="I17">
        <f t="shared" si="3"/>
        <v>-297.01057142857144</v>
      </c>
      <c r="J17">
        <f t="shared" si="4"/>
        <v>-42.543124792816826</v>
      </c>
      <c r="K17">
        <f t="shared" si="5"/>
        <v>-0.19865000000000022</v>
      </c>
      <c r="L17">
        <f t="shared" si="6"/>
        <v>-0.17987857142857067</v>
      </c>
      <c r="M17">
        <f t="shared" si="7"/>
        <v>-0.18926428571428544</v>
      </c>
      <c r="N17">
        <f t="shared" si="8"/>
        <v>-4.4855838512134479E-5</v>
      </c>
      <c r="O17" s="3">
        <f t="shared" si="9"/>
        <v>-0.44855838512134477</v>
      </c>
      <c r="P17">
        <v>30</v>
      </c>
    </row>
    <row r="18" spans="1:16" x14ac:dyDescent="0.25">
      <c r="A18">
        <v>16</v>
      </c>
      <c r="B18">
        <v>7.0984999999999996</v>
      </c>
      <c r="C18" s="3">
        <v>5.7820285714285724</v>
      </c>
      <c r="D18" s="8">
        <f t="shared" si="0"/>
        <v>-1.3164714285714272</v>
      </c>
      <c r="E18" s="8">
        <f t="shared" si="1"/>
        <v>-1.2930690476190465</v>
      </c>
      <c r="F18" s="3">
        <v>33.4</v>
      </c>
      <c r="G18" s="9">
        <v>6951.3600000000006</v>
      </c>
      <c r="H18">
        <f t="shared" si="2"/>
        <v>-43.188506190476154</v>
      </c>
      <c r="I18">
        <f t="shared" si="3"/>
        <v>-252.34924880952386</v>
      </c>
      <c r="J18">
        <f t="shared" si="4"/>
        <v>-36.302140704771993</v>
      </c>
      <c r="K18">
        <f t="shared" si="5"/>
        <v>-0.17769999999999975</v>
      </c>
      <c r="L18">
        <f t="shared" si="6"/>
        <v>-0.13759523809523744</v>
      </c>
      <c r="M18">
        <f t="shared" si="7"/>
        <v>-0.15764761904761859</v>
      </c>
      <c r="N18">
        <f t="shared" si="8"/>
        <v>-4.5951858798667232E-5</v>
      </c>
      <c r="O18" s="3">
        <f t="shared" si="9"/>
        <v>-0.45951858798667233</v>
      </c>
      <c r="P18">
        <v>32</v>
      </c>
    </row>
    <row r="19" spans="1:16" x14ac:dyDescent="0.25">
      <c r="A19">
        <v>17</v>
      </c>
      <c r="B19">
        <v>6.9305000000000003</v>
      </c>
      <c r="C19" s="3">
        <v>5.6608333333333345</v>
      </c>
      <c r="D19" s="8">
        <f t="shared" si="0"/>
        <v>-1.2696666666666658</v>
      </c>
      <c r="E19" s="8">
        <f t="shared" si="1"/>
        <v>-1.1956261904761907</v>
      </c>
      <c r="F19" s="3">
        <v>33.299999999999997</v>
      </c>
      <c r="G19" s="9">
        <v>6921.3200000000006</v>
      </c>
      <c r="H19">
        <f t="shared" si="2"/>
        <v>-39.814352142857146</v>
      </c>
      <c r="I19">
        <f t="shared" si="3"/>
        <v>-209.16074261904771</v>
      </c>
      <c r="J19">
        <f t="shared" si="4"/>
        <v>-30.219776374889136</v>
      </c>
      <c r="K19">
        <f t="shared" si="5"/>
        <v>-0.20919999999999961</v>
      </c>
      <c r="L19">
        <f t="shared" si="6"/>
        <v>-0.11175714285714378</v>
      </c>
      <c r="M19">
        <f t="shared" si="7"/>
        <v>-0.16047857142857169</v>
      </c>
      <c r="N19">
        <f t="shared" si="8"/>
        <v>-3.7577896038395625E-5</v>
      </c>
      <c r="O19" s="3">
        <f t="shared" si="9"/>
        <v>-0.37577896038395625</v>
      </c>
      <c r="P19">
        <v>34</v>
      </c>
    </row>
    <row r="20" spans="1:16" x14ac:dyDescent="0.25">
      <c r="A20">
        <v>18</v>
      </c>
      <c r="B20">
        <v>6.6801000000000004</v>
      </c>
      <c r="C20" s="3">
        <v>5.5585142857142849</v>
      </c>
      <c r="D20" s="8">
        <f t="shared" si="0"/>
        <v>-1.1215857142857155</v>
      </c>
      <c r="E20" s="8">
        <f t="shared" si="1"/>
        <v>-1.0948119047619049</v>
      </c>
      <c r="F20" s="3">
        <v>33.200000000000003</v>
      </c>
      <c r="G20" s="9">
        <v>6891.2800000000007</v>
      </c>
      <c r="H20">
        <f t="shared" si="2"/>
        <v>-36.347755238095246</v>
      </c>
      <c r="I20">
        <f t="shared" si="3"/>
        <v>-169.34639047619055</v>
      </c>
      <c r="J20">
        <f t="shared" si="4"/>
        <v>-24.574010993050713</v>
      </c>
      <c r="K20">
        <f t="shared" si="5"/>
        <v>-0.21640000000000015</v>
      </c>
      <c r="L20">
        <f t="shared" si="6"/>
        <v>-0.1155857142857144</v>
      </c>
      <c r="M20">
        <f t="shared" si="7"/>
        <v>-0.16599285714285728</v>
      </c>
      <c r="N20">
        <f t="shared" si="8"/>
        <v>-2.9542341348220444E-5</v>
      </c>
      <c r="O20" s="3">
        <f t="shared" si="9"/>
        <v>-0.29542341348220447</v>
      </c>
      <c r="P20">
        <v>36</v>
      </c>
    </row>
    <row r="21" spans="1:16" x14ac:dyDescent="0.25">
      <c r="A21">
        <v>19</v>
      </c>
      <c r="B21">
        <v>6.4977</v>
      </c>
      <c r="C21" s="3">
        <v>5.4296619047619057</v>
      </c>
      <c r="D21" s="8">
        <f t="shared" si="0"/>
        <v>-1.0680380952380943</v>
      </c>
      <c r="E21" s="8">
        <f t="shared" si="1"/>
        <v>-1.0604880952380951</v>
      </c>
      <c r="F21" s="3">
        <v>33.1</v>
      </c>
      <c r="G21" s="9">
        <v>6861.2400000000007</v>
      </c>
      <c r="H21">
        <f t="shared" si="2"/>
        <v>-35.102155952380947</v>
      </c>
      <c r="I21">
        <f t="shared" si="3"/>
        <v>-132.99863523809529</v>
      </c>
      <c r="J21">
        <f t="shared" si="4"/>
        <v>-19.384052334285826</v>
      </c>
      <c r="K21">
        <f t="shared" si="5"/>
        <v>-0.1626000000000003</v>
      </c>
      <c r="L21">
        <f t="shared" si="6"/>
        <v>-0.12827619047619043</v>
      </c>
      <c r="M21">
        <f t="shared" si="7"/>
        <v>-0.14543809523809537</v>
      </c>
      <c r="N21">
        <f t="shared" si="8"/>
        <v>-2.6596510452693756E-5</v>
      </c>
      <c r="O21" s="3">
        <f t="shared" si="9"/>
        <v>-0.26596510452693756</v>
      </c>
      <c r="P21">
        <v>38</v>
      </c>
    </row>
    <row r="22" spans="1:16" x14ac:dyDescent="0.25">
      <c r="A22">
        <v>20</v>
      </c>
      <c r="B22">
        <v>6.3548999999999998</v>
      </c>
      <c r="C22" s="3">
        <v>5.301961904761904</v>
      </c>
      <c r="D22" s="8">
        <f t="shared" si="0"/>
        <v>-1.0529380952380958</v>
      </c>
      <c r="E22" s="8">
        <f t="shared" si="1"/>
        <v>-1.0188166666666678</v>
      </c>
      <c r="F22" s="3">
        <v>33</v>
      </c>
      <c r="G22" s="9">
        <v>6831.2000000000007</v>
      </c>
      <c r="H22">
        <f t="shared" si="2"/>
        <v>-33.620950000000036</v>
      </c>
      <c r="I22">
        <f t="shared" si="3"/>
        <v>-97.896479285714335</v>
      </c>
      <c r="J22">
        <f t="shared" si="4"/>
        <v>-14.330788043932886</v>
      </c>
      <c r="K22">
        <f t="shared" si="5"/>
        <v>-0.16190000000000015</v>
      </c>
      <c r="L22">
        <f t="shared" si="6"/>
        <v>-0.12022857142857291</v>
      </c>
      <c r="M22">
        <f t="shared" si="7"/>
        <v>-0.14106428571428653</v>
      </c>
      <c r="N22">
        <f t="shared" si="8"/>
        <v>-2.0272684544871473E-5</v>
      </c>
      <c r="O22" s="3">
        <f t="shared" si="9"/>
        <v>-0.20272684544871472</v>
      </c>
      <c r="P22">
        <v>40</v>
      </c>
    </row>
    <row r="23" spans="1:16" x14ac:dyDescent="0.25">
      <c r="A23">
        <v>21</v>
      </c>
      <c r="B23">
        <v>6.1738999999999997</v>
      </c>
      <c r="C23" s="3">
        <v>5.1892047619047599</v>
      </c>
      <c r="D23" s="8">
        <f t="shared" si="0"/>
        <v>-0.98469523809523984</v>
      </c>
      <c r="E23" s="8">
        <f t="shared" si="1"/>
        <v>-0.98190238095238147</v>
      </c>
      <c r="F23" s="3">
        <v>32.9</v>
      </c>
      <c r="G23" s="9">
        <v>6801.1600000000008</v>
      </c>
      <c r="H23">
        <f t="shared" si="2"/>
        <v>-32.304588333333349</v>
      </c>
      <c r="I23">
        <f>I24+H23</f>
        <v>-64.275529285714299</v>
      </c>
      <c r="J23">
        <f t="shared" si="4"/>
        <v>-9.4506715451061716</v>
      </c>
      <c r="K23">
        <f t="shared" si="5"/>
        <v>-0.18445</v>
      </c>
      <c r="L23">
        <f t="shared" si="6"/>
        <v>-0.14753571428571366</v>
      </c>
      <c r="M23">
        <f t="shared" si="7"/>
        <v>-0.16599285714285683</v>
      </c>
      <c r="N23">
        <f t="shared" si="8"/>
        <v>-1.1361391709086269E-5</v>
      </c>
      <c r="O23" s="3">
        <f t="shared" si="9"/>
        <v>-0.11361391709086269</v>
      </c>
      <c r="P23">
        <v>42</v>
      </c>
    </row>
    <row r="24" spans="1:16" x14ac:dyDescent="0.25">
      <c r="A24">
        <v>22</v>
      </c>
      <c r="B24">
        <v>5.9859999999999998</v>
      </c>
      <c r="C24" s="3">
        <v>5.0068904761904767</v>
      </c>
      <c r="D24" s="8">
        <f t="shared" si="0"/>
        <v>-0.9791095238095231</v>
      </c>
      <c r="E24" s="8">
        <f t="shared" si="1"/>
        <v>-0.97472380952380977</v>
      </c>
      <c r="F24" s="3">
        <v>32.799999999999997</v>
      </c>
      <c r="G24" s="9">
        <v>6771.1200000000008</v>
      </c>
      <c r="H24">
        <f t="shared" si="2"/>
        <v>-31.970940952380957</v>
      </c>
      <c r="I24">
        <f>H24</f>
        <v>-31.970940952380957</v>
      </c>
      <c r="J24">
        <f>(I24/G24)*1000</f>
        <v>-4.721662140440718</v>
      </c>
      <c r="K24">
        <f t="shared" si="5"/>
        <v>-0.18284999999999973</v>
      </c>
      <c r="L24">
        <f t="shared" si="6"/>
        <v>-0.17567142857142803</v>
      </c>
      <c r="M24">
        <f t="shared" si="7"/>
        <v>-0.17926071428571388</v>
      </c>
      <c r="N24">
        <f t="shared" si="8"/>
        <v>-5.2561536134449989E-6</v>
      </c>
      <c r="O24" s="3">
        <f t="shared" si="9"/>
        <v>-5.2561536134449992E-2</v>
      </c>
      <c r="P24">
        <v>44</v>
      </c>
    </row>
    <row r="25" spans="1:16" x14ac:dyDescent="0.25">
      <c r="A25">
        <v>23</v>
      </c>
      <c r="B25">
        <v>5.8082000000000003</v>
      </c>
      <c r="C25" s="3">
        <v>4.8378619047619038</v>
      </c>
      <c r="D25" s="8">
        <f t="shared" si="0"/>
        <v>-0.97033809523809644</v>
      </c>
      <c r="E25" s="8">
        <f t="shared" si="1"/>
        <v>-0.98247619047619095</v>
      </c>
      <c r="F25" s="3">
        <v>32.700000000000003</v>
      </c>
      <c r="G25" s="9">
        <v>6741.0800000000008</v>
      </c>
      <c r="H25">
        <f t="shared" si="2"/>
        <v>-32.126971428571444</v>
      </c>
      <c r="I25">
        <f t="shared" ref="I25:I88" si="10">H25</f>
        <v>-32.126971428571444</v>
      </c>
      <c r="J25">
        <f t="shared" ref="J25:J88" si="11">(I25/G25)*1000</f>
        <v>-4.7658493043505548</v>
      </c>
      <c r="K25">
        <f t="shared" ref="K25:K88" si="12">(B26-B24)/(A26-A24)</f>
        <v>-0.15355000000000008</v>
      </c>
      <c r="L25">
        <f t="shared" ref="L25:L88" si="13">(C26-C24)/(A26-A24)</f>
        <v>-0.16130238095238125</v>
      </c>
      <c r="M25">
        <f t="shared" si="7"/>
        <v>-0.15742619047619066</v>
      </c>
      <c r="N25">
        <f t="shared" si="8"/>
        <v>-6.0411773253292041E-6</v>
      </c>
      <c r="O25" s="3">
        <f t="shared" si="9"/>
        <v>-6.0411773253292042E-2</v>
      </c>
      <c r="P25">
        <v>46</v>
      </c>
    </row>
    <row r="26" spans="1:16" x14ac:dyDescent="0.25">
      <c r="A26">
        <v>24</v>
      </c>
      <c r="B26">
        <v>5.6788999999999996</v>
      </c>
      <c r="C26" s="3">
        <v>4.6842857142857142</v>
      </c>
      <c r="D26" s="8">
        <f t="shared" ref="D26:D89" si="14">C26-B26</f>
        <v>-0.99461428571428545</v>
      </c>
      <c r="E26" s="8">
        <f t="shared" si="1"/>
        <v>-0.99028809523809436</v>
      </c>
      <c r="F26" s="3">
        <v>32.6</v>
      </c>
      <c r="G26" s="9">
        <v>6711.0400000000009</v>
      </c>
      <c r="H26">
        <f t="shared" si="2"/>
        <v>-32.283391904761878</v>
      </c>
      <c r="I26">
        <f t="shared" si="10"/>
        <v>-32.283391904761878</v>
      </c>
      <c r="J26">
        <f t="shared" si="11"/>
        <v>-4.810490163188101</v>
      </c>
      <c r="K26">
        <f t="shared" si="12"/>
        <v>-0.12220000000000031</v>
      </c>
      <c r="L26">
        <f t="shared" si="13"/>
        <v>-0.13001190476190372</v>
      </c>
      <c r="M26">
        <f t="shared" si="7"/>
        <v>-0.12610595238095201</v>
      </c>
      <c r="N26">
        <f t="shared" si="8"/>
        <v>-7.6122318697411335E-6</v>
      </c>
      <c r="O26" s="3">
        <f t="shared" si="9"/>
        <v>-7.6122318697411331E-2</v>
      </c>
      <c r="P26">
        <v>48</v>
      </c>
    </row>
    <row r="27" spans="1:16" x14ac:dyDescent="0.25">
      <c r="A27">
        <v>25</v>
      </c>
      <c r="B27">
        <v>5.5637999999999996</v>
      </c>
      <c r="C27" s="3">
        <v>4.5778380952380964</v>
      </c>
      <c r="D27" s="8">
        <f t="shared" si="14"/>
        <v>-0.98596190476190326</v>
      </c>
      <c r="E27" s="8">
        <f t="shared" si="1"/>
        <v>-0.93493571428571398</v>
      </c>
      <c r="F27" s="3">
        <v>32.5</v>
      </c>
      <c r="G27">
        <v>6681</v>
      </c>
      <c r="H27">
        <f t="shared" si="2"/>
        <v>-30.385410714285705</v>
      </c>
      <c r="I27">
        <f t="shared" si="10"/>
        <v>-30.385410714285705</v>
      </c>
      <c r="J27">
        <f t="shared" si="11"/>
        <v>-4.5480333354715912</v>
      </c>
      <c r="K27">
        <f t="shared" si="12"/>
        <v>-0.13214999999999977</v>
      </c>
      <c r="L27">
        <f t="shared" si="13"/>
        <v>-7.6797619047619392E-2</v>
      </c>
      <c r="M27">
        <f t="shared" si="7"/>
        <v>-0.10447380952380958</v>
      </c>
      <c r="N27">
        <f t="shared" si="8"/>
        <v>-8.687093024926961E-6</v>
      </c>
      <c r="O27" s="3">
        <f t="shared" si="9"/>
        <v>-8.6870930249269604E-2</v>
      </c>
      <c r="P27">
        <v>50</v>
      </c>
    </row>
    <row r="28" spans="1:16" x14ac:dyDescent="0.25">
      <c r="A28">
        <v>26</v>
      </c>
      <c r="B28">
        <v>5.4146000000000001</v>
      </c>
      <c r="C28" s="3">
        <v>4.5306904761904754</v>
      </c>
      <c r="D28" s="8">
        <f t="shared" si="14"/>
        <v>-0.8839095238095247</v>
      </c>
      <c r="E28" s="8">
        <f t="shared" si="1"/>
        <v>-0.82103095238095225</v>
      </c>
      <c r="F28" s="3">
        <v>32.46</v>
      </c>
      <c r="G28" s="9">
        <v>6666.36</v>
      </c>
      <c r="H28">
        <f t="shared" si="2"/>
        <v>-26.65066471428571</v>
      </c>
      <c r="I28">
        <f t="shared" si="10"/>
        <v>-26.65066471428571</v>
      </c>
      <c r="J28">
        <f t="shared" si="11"/>
        <v>-3.9977836051886957</v>
      </c>
      <c r="K28">
        <f t="shared" si="12"/>
        <v>-0.16484999999999994</v>
      </c>
      <c r="L28">
        <f t="shared" si="13"/>
        <v>-5.094523809523821E-2</v>
      </c>
      <c r="M28">
        <f t="shared" si="7"/>
        <v>-0.10789761904761908</v>
      </c>
      <c r="N28">
        <f t="shared" si="8"/>
        <v>-7.3937657189623605E-6</v>
      </c>
      <c r="O28" s="3">
        <f t="shared" si="9"/>
        <v>-7.3937657189623598E-2</v>
      </c>
      <c r="P28">
        <v>52</v>
      </c>
    </row>
    <row r="29" spans="1:16" x14ac:dyDescent="0.25">
      <c r="A29">
        <v>27</v>
      </c>
      <c r="B29">
        <v>5.2340999999999998</v>
      </c>
      <c r="C29" s="3">
        <v>4.47594761904762</v>
      </c>
      <c r="D29" s="8">
        <f t="shared" si="14"/>
        <v>-0.7581523809523798</v>
      </c>
      <c r="E29" s="8">
        <f t="shared" si="1"/>
        <v>-0.72854761904761922</v>
      </c>
      <c r="F29" s="3">
        <v>32.42</v>
      </c>
      <c r="G29" s="9">
        <v>6651.7199999999993</v>
      </c>
      <c r="H29">
        <f t="shared" si="2"/>
        <v>-23.619513809523816</v>
      </c>
      <c r="I29">
        <f t="shared" si="10"/>
        <v>-23.619513809523816</v>
      </c>
      <c r="J29">
        <f t="shared" si="11"/>
        <v>-3.5508881626893225</v>
      </c>
      <c r="K29">
        <f t="shared" si="12"/>
        <v>-0.14964999999999984</v>
      </c>
      <c r="L29">
        <f t="shared" si="13"/>
        <v>-5.716666666666681E-2</v>
      </c>
      <c r="M29">
        <f t="shared" si="7"/>
        <v>-0.10340833333333332</v>
      </c>
      <c r="N29">
        <f t="shared" si="8"/>
        <v>-6.8523528735348948E-6</v>
      </c>
      <c r="O29" s="3">
        <f t="shared" si="9"/>
        <v>-6.8523528735348949E-2</v>
      </c>
      <c r="P29">
        <v>54</v>
      </c>
    </row>
    <row r="30" spans="1:16" x14ac:dyDescent="0.25">
      <c r="A30">
        <v>28</v>
      </c>
      <c r="B30">
        <v>5.1153000000000004</v>
      </c>
      <c r="C30" s="3">
        <v>4.4163571428571418</v>
      </c>
      <c r="D30" s="8">
        <f t="shared" si="14"/>
        <v>-0.69894285714285864</v>
      </c>
      <c r="E30" s="8">
        <f t="shared" si="1"/>
        <v>-0.71002380952381028</v>
      </c>
      <c r="F30" s="3">
        <v>32.38000000000001</v>
      </c>
      <c r="G30" s="9">
        <v>6637.079999999999</v>
      </c>
      <c r="H30">
        <f t="shared" si="2"/>
        <v>-22.990570952380985</v>
      </c>
      <c r="I30">
        <f t="shared" si="10"/>
        <v>-22.990570952380985</v>
      </c>
      <c r="J30">
        <f t="shared" si="11"/>
        <v>-3.4639586915301592</v>
      </c>
      <c r="K30">
        <f t="shared" si="12"/>
        <v>-7.6449999999999907E-2</v>
      </c>
      <c r="L30">
        <f t="shared" si="13"/>
        <v>-5.7926190476190964E-2</v>
      </c>
      <c r="M30">
        <f t="shared" si="7"/>
        <v>-6.7188095238095435E-2</v>
      </c>
      <c r="N30">
        <f t="shared" si="8"/>
        <v>-1.0288182017146136E-5</v>
      </c>
      <c r="O30" s="3">
        <f t="shared" si="9"/>
        <v>-0.10288182017146136</v>
      </c>
      <c r="P30">
        <v>56</v>
      </c>
    </row>
    <row r="31" spans="1:16" x14ac:dyDescent="0.25">
      <c r="A31">
        <v>29</v>
      </c>
      <c r="B31">
        <v>5.0811999999999999</v>
      </c>
      <c r="C31" s="3">
        <v>4.360095238095238</v>
      </c>
      <c r="D31" s="8">
        <f t="shared" si="14"/>
        <v>-0.72110476190476192</v>
      </c>
      <c r="E31" s="8">
        <f t="shared" si="1"/>
        <v>-0.72537857142857121</v>
      </c>
      <c r="F31" s="3">
        <v>32.340000000000011</v>
      </c>
      <c r="G31" s="9">
        <v>6622.4399999999987</v>
      </c>
      <c r="H31">
        <f t="shared" si="2"/>
        <v>-23.458743000000002</v>
      </c>
      <c r="I31">
        <f t="shared" si="10"/>
        <v>-23.458743000000002</v>
      </c>
      <c r="J31">
        <f t="shared" si="11"/>
        <v>-3.5423111421168039</v>
      </c>
      <c r="K31">
        <f t="shared" si="12"/>
        <v>-3.1150000000000233E-2</v>
      </c>
      <c r="L31">
        <f t="shared" si="13"/>
        <v>-4.650476190476116E-2</v>
      </c>
      <c r="M31">
        <f t="shared" si="7"/>
        <v>-3.8827380952380697E-2</v>
      </c>
      <c r="N31">
        <f t="shared" si="8"/>
        <v>-1.8205678635234264E-5</v>
      </c>
      <c r="O31" s="3">
        <f t="shared" si="9"/>
        <v>-0.18205678635234263</v>
      </c>
      <c r="P31">
        <v>58</v>
      </c>
    </row>
    <row r="32" spans="1:16" x14ac:dyDescent="0.25">
      <c r="A32">
        <v>30</v>
      </c>
      <c r="B32">
        <v>5.0529999999999999</v>
      </c>
      <c r="C32" s="3">
        <v>4.3233476190476194</v>
      </c>
      <c r="D32" s="8">
        <f t="shared" si="14"/>
        <v>-0.7296523809523805</v>
      </c>
      <c r="E32" s="8">
        <f t="shared" si="1"/>
        <v>-0.73631190476190467</v>
      </c>
      <c r="F32" s="3">
        <v>32.300000000000011</v>
      </c>
      <c r="G32" s="9">
        <v>6607.7999999999984</v>
      </c>
      <c r="H32">
        <f t="shared" si="2"/>
        <v>-23.782874523809529</v>
      </c>
      <c r="I32">
        <f t="shared" si="10"/>
        <v>-23.782874523809529</v>
      </c>
      <c r="J32">
        <f t="shared" si="11"/>
        <v>-3.5992122224960705</v>
      </c>
      <c r="K32">
        <f t="shared" si="12"/>
        <v>-2.53000000000001E-2</v>
      </c>
      <c r="L32">
        <f t="shared" si="13"/>
        <v>-3.6233333333333562E-2</v>
      </c>
      <c r="M32">
        <f t="shared" si="7"/>
        <v>-3.0766666666666831E-2</v>
      </c>
      <c r="N32">
        <f t="shared" si="8"/>
        <v>-2.3344537418172791E-5</v>
      </c>
      <c r="O32" s="3">
        <f t="shared" si="9"/>
        <v>-0.23344537418172792</v>
      </c>
      <c r="P32">
        <v>60</v>
      </c>
    </row>
    <row r="33" spans="1:16" x14ac:dyDescent="0.25">
      <c r="A33">
        <v>31</v>
      </c>
      <c r="B33">
        <v>5.0305999999999997</v>
      </c>
      <c r="C33" s="3">
        <v>4.2876285714285709</v>
      </c>
      <c r="D33" s="8">
        <f t="shared" si="14"/>
        <v>-0.74297142857142884</v>
      </c>
      <c r="E33" s="8">
        <f t="shared" si="1"/>
        <v>-0.74518809523809493</v>
      </c>
      <c r="F33" s="3">
        <v>32.260000000000012</v>
      </c>
      <c r="G33" s="9">
        <v>6593.159999999998</v>
      </c>
      <c r="H33">
        <f t="shared" si="2"/>
        <v>-24.039767952380952</v>
      </c>
      <c r="I33">
        <f t="shared" si="10"/>
        <v>-24.039767952380952</v>
      </c>
      <c r="J33">
        <f t="shared" si="11"/>
        <v>-3.6461678394549741</v>
      </c>
      <c r="K33">
        <f t="shared" si="12"/>
        <v>-2.1900000000000031E-2</v>
      </c>
      <c r="L33">
        <f t="shared" si="13"/>
        <v>-3.077619047619029E-2</v>
      </c>
      <c r="M33">
        <f t="shared" si="7"/>
        <v>-2.6338095238095161E-2</v>
      </c>
      <c r="N33">
        <f t="shared" si="8"/>
        <v>-2.7625526027828447E-5</v>
      </c>
      <c r="O33" s="3">
        <f t="shared" si="9"/>
        <v>-0.27625526027828445</v>
      </c>
      <c r="P33">
        <v>62</v>
      </c>
    </row>
    <row r="34" spans="1:16" x14ac:dyDescent="0.25">
      <c r="A34">
        <v>32</v>
      </c>
      <c r="B34">
        <v>5.0091999999999999</v>
      </c>
      <c r="C34" s="3">
        <v>4.2617952380952389</v>
      </c>
      <c r="D34" s="8">
        <f t="shared" si="14"/>
        <v>-0.74740476190476102</v>
      </c>
      <c r="E34" s="8">
        <f t="shared" si="1"/>
        <v>-0.74958571428571386</v>
      </c>
      <c r="F34" s="3">
        <v>32.220000000000013</v>
      </c>
      <c r="G34" s="9">
        <v>6578.5199999999977</v>
      </c>
      <c r="H34">
        <f t="shared" si="2"/>
        <v>-24.151651714285709</v>
      </c>
      <c r="I34">
        <f t="shared" si="10"/>
        <v>-24.151651714285709</v>
      </c>
      <c r="J34">
        <f t="shared" si="11"/>
        <v>-3.6712895475404372</v>
      </c>
      <c r="K34">
        <f t="shared" si="12"/>
        <v>-3.0049999999999688E-2</v>
      </c>
      <c r="L34">
        <f t="shared" si="13"/>
        <v>-3.4447619047618616E-2</v>
      </c>
      <c r="M34">
        <f t="shared" si="7"/>
        <v>-3.2248809523809152E-2</v>
      </c>
      <c r="N34">
        <f t="shared" si="8"/>
        <v>-2.2717640079960066E-5</v>
      </c>
      <c r="O34" s="3">
        <f t="shared" si="9"/>
        <v>-0.22717640079960066</v>
      </c>
      <c r="P34">
        <v>64</v>
      </c>
    </row>
    <row r="35" spans="1:16" x14ac:dyDescent="0.25">
      <c r="A35">
        <v>33</v>
      </c>
      <c r="B35">
        <v>4.9705000000000004</v>
      </c>
      <c r="C35" s="3">
        <v>4.2187333333333337</v>
      </c>
      <c r="D35" s="8">
        <f t="shared" si="14"/>
        <v>-0.75176666666666669</v>
      </c>
      <c r="E35" s="8">
        <f t="shared" si="1"/>
        <v>-0.75299047619047643</v>
      </c>
      <c r="F35" s="3">
        <v>32.180000000000007</v>
      </c>
      <c r="G35" s="9">
        <v>6563.8799999999974</v>
      </c>
      <c r="H35">
        <f t="shared" si="2"/>
        <v>-24.231233523809536</v>
      </c>
      <c r="I35">
        <f t="shared" si="10"/>
        <v>-24.231233523809536</v>
      </c>
      <c r="J35">
        <f t="shared" si="11"/>
        <v>-3.691602150528277</v>
      </c>
      <c r="K35">
        <f t="shared" si="12"/>
        <v>-4.7549999999999759E-2</v>
      </c>
      <c r="L35">
        <f t="shared" si="13"/>
        <v>-5.0954761904762336E-2</v>
      </c>
      <c r="M35">
        <f t="shared" si="7"/>
        <v>-4.9252380952381047E-2</v>
      </c>
      <c r="N35">
        <f t="shared" si="8"/>
        <v>-1.4957049271816891E-5</v>
      </c>
      <c r="O35" s="3">
        <f t="shared" si="9"/>
        <v>-0.14957049271816891</v>
      </c>
      <c r="P35">
        <v>66</v>
      </c>
    </row>
    <row r="36" spans="1:16" x14ac:dyDescent="0.25">
      <c r="A36">
        <v>34</v>
      </c>
      <c r="B36">
        <v>4.9141000000000004</v>
      </c>
      <c r="C36" s="3">
        <v>4.1598857142857142</v>
      </c>
      <c r="D36" s="8">
        <f t="shared" si="14"/>
        <v>-0.75421428571428617</v>
      </c>
      <c r="E36" s="8">
        <f t="shared" si="1"/>
        <v>-0.74502619047619101</v>
      </c>
      <c r="F36" s="3">
        <v>32.140000000000008</v>
      </c>
      <c r="G36" s="9">
        <v>6549.239999999998</v>
      </c>
      <c r="H36">
        <f t="shared" si="2"/>
        <v>-23.945141761904786</v>
      </c>
      <c r="I36">
        <f t="shared" si="10"/>
        <v>-23.945141761904786</v>
      </c>
      <c r="J36">
        <f t="shared" si="11"/>
        <v>-3.6561710613605229</v>
      </c>
      <c r="K36">
        <f t="shared" si="12"/>
        <v>-5.7650000000000201E-2</v>
      </c>
      <c r="L36">
        <f t="shared" si="13"/>
        <v>-4.9685714285714777E-2</v>
      </c>
      <c r="M36">
        <f t="shared" si="7"/>
        <v>-5.3667857142857489E-2</v>
      </c>
      <c r="N36">
        <f t="shared" si="8"/>
        <v>-1.3594727781565923E-5</v>
      </c>
      <c r="O36" s="3">
        <f t="shared" si="9"/>
        <v>-0.13594727781565921</v>
      </c>
      <c r="P36">
        <v>68</v>
      </c>
    </row>
    <row r="37" spans="1:16" x14ac:dyDescent="0.25">
      <c r="A37">
        <v>35</v>
      </c>
      <c r="B37">
        <v>4.8552</v>
      </c>
      <c r="C37" s="3">
        <v>4.1193619047619041</v>
      </c>
      <c r="D37" s="8">
        <f t="shared" si="14"/>
        <v>-0.73583809523809585</v>
      </c>
      <c r="E37" s="8">
        <f t="shared" si="1"/>
        <v>-0.72491428571428607</v>
      </c>
      <c r="F37" s="3">
        <v>32.100000000000009</v>
      </c>
      <c r="G37" s="9">
        <v>6534.5999999999985</v>
      </c>
      <c r="H37">
        <f t="shared" si="2"/>
        <v>-23.26974857142859</v>
      </c>
      <c r="I37">
        <f t="shared" si="10"/>
        <v>-23.26974857142859</v>
      </c>
      <c r="J37">
        <f t="shared" si="11"/>
        <v>-3.5610058108267677</v>
      </c>
      <c r="K37">
        <f t="shared" si="12"/>
        <v>-6.3150000000000261E-2</v>
      </c>
      <c r="L37">
        <f t="shared" si="13"/>
        <v>-4.303809523809532E-2</v>
      </c>
      <c r="M37">
        <f t="shared" si="7"/>
        <v>-5.3094047619047791E-2</v>
      </c>
      <c r="N37">
        <f t="shared" si="8"/>
        <v>-1.3383974833007061E-5</v>
      </c>
      <c r="O37" s="3">
        <f t="shared" si="9"/>
        <v>-0.13383974833007062</v>
      </c>
      <c r="P37">
        <v>70</v>
      </c>
    </row>
    <row r="38" spans="1:16" x14ac:dyDescent="0.25">
      <c r="A38">
        <v>36</v>
      </c>
      <c r="B38">
        <v>4.7877999999999998</v>
      </c>
      <c r="C38" s="3">
        <v>4.0738095238095235</v>
      </c>
      <c r="D38" s="8">
        <f t="shared" si="14"/>
        <v>-0.71399047619047629</v>
      </c>
      <c r="E38" s="8">
        <f t="shared" si="1"/>
        <v>-0.68837142857142908</v>
      </c>
      <c r="F38" s="3">
        <v>32.060000000000009</v>
      </c>
      <c r="G38" s="9">
        <v>6519.9599999999982</v>
      </c>
      <c r="H38">
        <f t="shared" si="2"/>
        <v>-22.069188000000022</v>
      </c>
      <c r="I38">
        <f t="shared" si="10"/>
        <v>-22.069188000000022</v>
      </c>
      <c r="J38">
        <f t="shared" si="11"/>
        <v>-3.3848655513224051</v>
      </c>
      <c r="K38">
        <f t="shared" si="12"/>
        <v>-6.5449999999999786E-2</v>
      </c>
      <c r="L38">
        <f t="shared" si="13"/>
        <v>-2.8907142857142798E-2</v>
      </c>
      <c r="M38">
        <f t="shared" si="7"/>
        <v>-4.7178571428571292E-2</v>
      </c>
      <c r="N38">
        <f t="shared" si="8"/>
        <v>-1.4317094800308568E-5</v>
      </c>
      <c r="O38" s="3">
        <f t="shared" si="9"/>
        <v>-0.14317094800308566</v>
      </c>
      <c r="P38">
        <v>72</v>
      </c>
    </row>
    <row r="39" spans="1:16" x14ac:dyDescent="0.25">
      <c r="A39">
        <v>37</v>
      </c>
      <c r="B39">
        <v>4.7243000000000004</v>
      </c>
      <c r="C39" s="3">
        <v>4.0615476190476185</v>
      </c>
      <c r="D39" s="8">
        <f t="shared" si="14"/>
        <v>-0.66275238095238187</v>
      </c>
      <c r="E39" s="8">
        <f t="shared" si="1"/>
        <v>-0.65342142857142882</v>
      </c>
      <c r="F39" s="3">
        <v>32.020000000000003</v>
      </c>
      <c r="G39" s="9">
        <v>6505.3199999999979</v>
      </c>
      <c r="H39">
        <f t="shared" si="2"/>
        <v>-20.922554142857152</v>
      </c>
      <c r="I39">
        <f t="shared" si="10"/>
        <v>-20.922554142857152</v>
      </c>
      <c r="J39">
        <f t="shared" si="11"/>
        <v>-3.2162221294044193</v>
      </c>
      <c r="K39">
        <f t="shared" si="12"/>
        <v>-4.7849999999999948E-2</v>
      </c>
      <c r="L39">
        <f t="shared" si="13"/>
        <v>-1.2899999999999689E-2</v>
      </c>
      <c r="M39">
        <f t="shared" si="7"/>
        <v>-3.0374999999999819E-2</v>
      </c>
      <c r="N39">
        <f t="shared" si="8"/>
        <v>-2.1129441273962382E-5</v>
      </c>
      <c r="O39" s="3">
        <f t="shared" si="9"/>
        <v>-0.21129441273962382</v>
      </c>
      <c r="P39">
        <v>74</v>
      </c>
    </row>
    <row r="40" spans="1:16" x14ac:dyDescent="0.25">
      <c r="A40">
        <v>38</v>
      </c>
      <c r="B40">
        <v>4.6920999999999999</v>
      </c>
      <c r="C40" s="3">
        <v>4.0480095238095242</v>
      </c>
      <c r="D40" s="8">
        <f t="shared" si="14"/>
        <v>-0.64409047619047577</v>
      </c>
      <c r="E40" s="8">
        <f t="shared" si="1"/>
        <v>-0.63646904761904777</v>
      </c>
      <c r="F40" s="3">
        <v>31.980000000000008</v>
      </c>
      <c r="G40" s="9">
        <v>6490.6799999999985</v>
      </c>
      <c r="H40">
        <f t="shared" si="2"/>
        <v>-20.354280142857153</v>
      </c>
      <c r="I40">
        <f t="shared" si="10"/>
        <v>-20.354280142857153</v>
      </c>
      <c r="J40">
        <f t="shared" si="11"/>
        <v>-3.1359241470627355</v>
      </c>
      <c r="K40">
        <f t="shared" si="12"/>
        <v>-3.2100000000000239E-2</v>
      </c>
      <c r="L40">
        <f t="shared" si="13"/>
        <v>-1.5147619047619187E-2</v>
      </c>
      <c r="M40">
        <f t="shared" si="7"/>
        <v>-2.3623809523809713E-2</v>
      </c>
      <c r="N40">
        <f t="shared" si="8"/>
        <v>-2.6489507320701775E-5</v>
      </c>
      <c r="O40" s="3">
        <f t="shared" si="9"/>
        <v>-0.26489507320701777</v>
      </c>
      <c r="P40">
        <v>76</v>
      </c>
    </row>
    <row r="41" spans="1:16" x14ac:dyDescent="0.25">
      <c r="A41">
        <v>39</v>
      </c>
      <c r="B41">
        <v>4.6600999999999999</v>
      </c>
      <c r="C41" s="3">
        <v>4.0312523809523801</v>
      </c>
      <c r="D41" s="8">
        <f t="shared" si="14"/>
        <v>-0.62884761904761977</v>
      </c>
      <c r="E41" s="8">
        <f t="shared" si="1"/>
        <v>-0.60872857142857217</v>
      </c>
      <c r="F41" s="3">
        <v>31.940000000000008</v>
      </c>
      <c r="G41" s="9">
        <v>6476.0399999999991</v>
      </c>
      <c r="H41">
        <f t="shared" si="2"/>
        <v>-19.442790571428599</v>
      </c>
      <c r="I41">
        <f t="shared" si="10"/>
        <v>-19.442790571428599</v>
      </c>
      <c r="J41">
        <f t="shared" si="11"/>
        <v>-3.002265361459874</v>
      </c>
      <c r="K41">
        <f t="shared" si="12"/>
        <v>-4.2399999999999771E-2</v>
      </c>
      <c r="L41">
        <f t="shared" si="13"/>
        <v>-1.4659523809524178E-2</v>
      </c>
      <c r="M41">
        <f t="shared" si="7"/>
        <v>-2.8529761904761974E-2</v>
      </c>
      <c r="N41">
        <f t="shared" si="8"/>
        <v>-2.0999511510459325E-5</v>
      </c>
      <c r="O41" s="3">
        <f t="shared" si="9"/>
        <v>-0.20999511510459326</v>
      </c>
      <c r="P41">
        <v>78</v>
      </c>
    </row>
    <row r="42" spans="1:16" x14ac:dyDescent="0.25">
      <c r="A42">
        <v>40</v>
      </c>
      <c r="B42">
        <v>4.6073000000000004</v>
      </c>
      <c r="C42" s="3">
        <v>4.0186904761904758</v>
      </c>
      <c r="D42" s="8">
        <f t="shared" si="14"/>
        <v>-0.58860952380952458</v>
      </c>
      <c r="E42" s="8">
        <f t="shared" si="1"/>
        <v>-0.55910952380952361</v>
      </c>
      <c r="F42" s="3">
        <v>31.900000000000006</v>
      </c>
      <c r="G42" s="9">
        <v>6461.3999999999987</v>
      </c>
      <c r="H42">
        <f t="shared" si="2"/>
        <v>-17.835593809523807</v>
      </c>
      <c r="I42">
        <f t="shared" si="10"/>
        <v>-17.835593809523807</v>
      </c>
      <c r="J42">
        <f t="shared" si="11"/>
        <v>-2.76032962044198</v>
      </c>
      <c r="K42">
        <f t="shared" si="12"/>
        <v>-6.3649999999999984E-2</v>
      </c>
      <c r="L42">
        <f t="shared" si="13"/>
        <v>-1.4030952380951422E-2</v>
      </c>
      <c r="M42">
        <f t="shared" si="7"/>
        <v>-3.8840476190475703E-2</v>
      </c>
      <c r="N42">
        <f t="shared" si="8"/>
        <v>-1.4181908006793603E-5</v>
      </c>
      <c r="O42" s="3">
        <f t="shared" si="9"/>
        <v>-0.14181908006793603</v>
      </c>
      <c r="P42">
        <v>80</v>
      </c>
    </row>
    <row r="43" spans="1:16" x14ac:dyDescent="0.25">
      <c r="A43">
        <v>41</v>
      </c>
      <c r="B43">
        <v>4.5327999999999999</v>
      </c>
      <c r="C43" s="3">
        <v>4.0031904761904773</v>
      </c>
      <c r="D43" s="8">
        <f t="shared" si="14"/>
        <v>-0.52960952380952264</v>
      </c>
      <c r="E43" s="8">
        <f t="shared" si="1"/>
        <v>-0.50345238095238076</v>
      </c>
      <c r="F43" s="3">
        <v>31.860000000000003</v>
      </c>
      <c r="G43" s="9">
        <v>6446.7599999999984</v>
      </c>
      <c r="H43">
        <f t="shared" si="2"/>
        <v>-16.039992857142853</v>
      </c>
      <c r="I43">
        <f t="shared" si="10"/>
        <v>-16.039992857142853</v>
      </c>
      <c r="J43">
        <f t="shared" si="11"/>
        <v>-2.4880704194266356</v>
      </c>
      <c r="K43">
        <f t="shared" si="12"/>
        <v>-7.2700000000000209E-2</v>
      </c>
      <c r="L43">
        <f t="shared" si="13"/>
        <v>-1.7042857142857359E-2</v>
      </c>
      <c r="M43">
        <f t="shared" si="7"/>
        <v>-4.4871428571428784E-2</v>
      </c>
      <c r="N43">
        <f t="shared" si="8"/>
        <v>-1.1064990248641113E-5</v>
      </c>
      <c r="O43" s="3">
        <f t="shared" si="9"/>
        <v>-0.11064990248641113</v>
      </c>
      <c r="P43">
        <v>82</v>
      </c>
    </row>
    <row r="44" spans="1:16" x14ac:dyDescent="0.25">
      <c r="A44">
        <v>42</v>
      </c>
      <c r="B44">
        <v>4.4619</v>
      </c>
      <c r="C44" s="3">
        <v>3.9846047619047611</v>
      </c>
      <c r="D44" s="8">
        <f t="shared" si="14"/>
        <v>-0.47729523809523888</v>
      </c>
      <c r="E44" s="8">
        <f t="shared" si="1"/>
        <v>-0.46021904761904753</v>
      </c>
      <c r="F44" s="3">
        <v>31.820000000000004</v>
      </c>
      <c r="G44" s="9">
        <v>6432.119999999999</v>
      </c>
      <c r="H44">
        <f t="shared" si="2"/>
        <v>-14.644170095238094</v>
      </c>
      <c r="I44">
        <f t="shared" si="10"/>
        <v>-14.644170095238094</v>
      </c>
      <c r="J44">
        <f t="shared" si="11"/>
        <v>-2.2767252624699315</v>
      </c>
      <c r="K44">
        <f t="shared" si="12"/>
        <v>-6.0649999999999871E-2</v>
      </c>
      <c r="L44">
        <f t="shared" si="13"/>
        <v>-1.7416666666666636E-2</v>
      </c>
      <c r="M44">
        <f t="shared" si="7"/>
        <v>-3.9033333333333253E-2</v>
      </c>
      <c r="N44">
        <f t="shared" si="8"/>
        <v>-1.1639471200922927E-5</v>
      </c>
      <c r="O44" s="3">
        <f t="shared" si="9"/>
        <v>-0.11639471200922927</v>
      </c>
      <c r="P44">
        <v>84</v>
      </c>
    </row>
    <row r="45" spans="1:16" x14ac:dyDescent="0.25">
      <c r="A45">
        <v>43</v>
      </c>
      <c r="B45">
        <v>4.4115000000000002</v>
      </c>
      <c r="C45" s="3">
        <v>3.968357142857144</v>
      </c>
      <c r="D45" s="8">
        <f t="shared" si="14"/>
        <v>-0.44314285714285617</v>
      </c>
      <c r="E45" s="8">
        <f t="shared" si="1"/>
        <v>-0.43329523809523707</v>
      </c>
      <c r="F45" s="3">
        <v>31.780000000000008</v>
      </c>
      <c r="G45" s="9">
        <v>6417.48</v>
      </c>
      <c r="H45">
        <f t="shared" si="2"/>
        <v>-13.770122666666637</v>
      </c>
      <c r="I45">
        <f t="shared" si="10"/>
        <v>-13.770122666666637</v>
      </c>
      <c r="J45">
        <f t="shared" si="11"/>
        <v>-2.1457211657327546</v>
      </c>
      <c r="K45">
        <f t="shared" si="12"/>
        <v>-4.0599999999999969E-2</v>
      </c>
      <c r="L45">
        <f t="shared" si="13"/>
        <v>-1.3676190476189509E-2</v>
      </c>
      <c r="M45">
        <f t="shared" si="7"/>
        <v>-2.7138095238094739E-2</v>
      </c>
      <c r="N45">
        <f t="shared" si="8"/>
        <v>-1.5778008543679731E-5</v>
      </c>
      <c r="O45" s="3">
        <f t="shared" si="9"/>
        <v>-0.15778008543679731</v>
      </c>
      <c r="P45">
        <v>86</v>
      </c>
    </row>
    <row r="46" spans="1:16" x14ac:dyDescent="0.25">
      <c r="A46">
        <v>44</v>
      </c>
      <c r="B46">
        <v>4.3807</v>
      </c>
      <c r="C46" s="3">
        <v>3.9572523809523821</v>
      </c>
      <c r="D46" s="8">
        <f t="shared" si="14"/>
        <v>-0.42344761904761796</v>
      </c>
      <c r="E46" s="8">
        <f t="shared" si="1"/>
        <v>-0.41933571428571415</v>
      </c>
      <c r="F46" s="3">
        <v>31.740000000000002</v>
      </c>
      <c r="G46" s="9">
        <v>6402.8399999999992</v>
      </c>
      <c r="H46">
        <f t="shared" si="2"/>
        <v>-13.309715571428567</v>
      </c>
      <c r="I46">
        <f t="shared" si="10"/>
        <v>-13.309715571428567</v>
      </c>
      <c r="J46">
        <f t="shared" si="11"/>
        <v>-2.078720625758034</v>
      </c>
      <c r="K46">
        <f t="shared" si="12"/>
        <v>-2.3600000000000065E-2</v>
      </c>
      <c r="L46">
        <f t="shared" si="13"/>
        <v>-9.640476190477143E-3</v>
      </c>
      <c r="M46">
        <f t="shared" si="7"/>
        <v>-1.6620238095238604E-2</v>
      </c>
      <c r="N46">
        <f t="shared" si="8"/>
        <v>-2.4958423417865809E-5</v>
      </c>
      <c r="O46" s="3">
        <f t="shared" si="9"/>
        <v>-0.2495842341786581</v>
      </c>
      <c r="P46">
        <v>88</v>
      </c>
    </row>
    <row r="47" spans="1:16" x14ac:dyDescent="0.25">
      <c r="A47">
        <v>45</v>
      </c>
      <c r="B47">
        <v>4.3643000000000001</v>
      </c>
      <c r="C47" s="3">
        <v>3.9490761904761897</v>
      </c>
      <c r="D47" s="8">
        <f t="shared" si="14"/>
        <v>-0.41522380952381033</v>
      </c>
      <c r="E47" s="8">
        <f t="shared" si="1"/>
        <v>-0.41688333333333372</v>
      </c>
      <c r="F47" s="3">
        <v>31.7</v>
      </c>
      <c r="G47" s="9">
        <v>6388.1999999999989</v>
      </c>
      <c r="H47">
        <f t="shared" si="2"/>
        <v>-13.215201666666678</v>
      </c>
      <c r="I47">
        <f t="shared" si="10"/>
        <v>-13.215201666666678</v>
      </c>
      <c r="J47">
        <f t="shared" si="11"/>
        <v>-2.0686894065099217</v>
      </c>
      <c r="K47">
        <f t="shared" si="12"/>
        <v>-9.0500000000002245E-3</v>
      </c>
      <c r="L47">
        <f t="shared" si="13"/>
        <v>-6.597619047619796E-3</v>
      </c>
      <c r="M47">
        <f t="shared" si="7"/>
        <v>-7.8238095238100103E-3</v>
      </c>
      <c r="N47">
        <f t="shared" si="8"/>
        <v>-5.276370526697697E-5</v>
      </c>
      <c r="O47" s="3">
        <f t="shared" si="9"/>
        <v>-0.52763705266976968</v>
      </c>
      <c r="P47">
        <v>90</v>
      </c>
    </row>
    <row r="48" spans="1:16" x14ac:dyDescent="0.25">
      <c r="A48">
        <v>46</v>
      </c>
      <c r="B48">
        <v>4.3625999999999996</v>
      </c>
      <c r="C48" s="3">
        <v>3.9440571428571425</v>
      </c>
      <c r="D48" s="8">
        <f t="shared" si="14"/>
        <v>-0.41854285714285711</v>
      </c>
      <c r="E48" s="8">
        <f t="shared" si="1"/>
        <v>-0.41509761904761877</v>
      </c>
      <c r="F48" s="3">
        <v>31.660000000000004</v>
      </c>
      <c r="G48" s="9">
        <v>6373.5599999999995</v>
      </c>
      <c r="H48">
        <f t="shared" si="2"/>
        <v>-13.141990619047611</v>
      </c>
      <c r="I48">
        <f t="shared" si="10"/>
        <v>-13.141990619047611</v>
      </c>
      <c r="J48">
        <f t="shared" si="11"/>
        <v>-2.0619544836869212</v>
      </c>
      <c r="K48">
        <f t="shared" si="12"/>
        <v>-7.2000000000000952E-3</v>
      </c>
      <c r="L48">
        <f t="shared" si="13"/>
        <v>-5.4142857142851497E-3</v>
      </c>
      <c r="M48">
        <f t="shared" si="7"/>
        <v>-6.3071428571426225E-3</v>
      </c>
      <c r="N48">
        <f t="shared" si="8"/>
        <v>-6.5238605662880201E-5</v>
      </c>
      <c r="O48" s="3">
        <f t="shared" si="9"/>
        <v>-0.652386056628802</v>
      </c>
      <c r="P48">
        <v>92</v>
      </c>
    </row>
    <row r="49" spans="1:16" x14ac:dyDescent="0.25">
      <c r="A49">
        <v>47</v>
      </c>
      <c r="B49">
        <v>4.3498999999999999</v>
      </c>
      <c r="C49" s="3">
        <v>3.9382476190476194</v>
      </c>
      <c r="D49" s="8">
        <f t="shared" si="14"/>
        <v>-0.41165238095238044</v>
      </c>
      <c r="E49" s="8">
        <f t="shared" si="1"/>
        <v>-0.41006428571428555</v>
      </c>
      <c r="F49" s="3">
        <v>31.620000000000005</v>
      </c>
      <c r="G49" s="9">
        <v>6358.92</v>
      </c>
      <c r="H49">
        <f t="shared" si="2"/>
        <v>-12.966232714285711</v>
      </c>
      <c r="I49">
        <f t="shared" si="10"/>
        <v>-12.966232714285711</v>
      </c>
      <c r="J49">
        <f t="shared" si="11"/>
        <v>-2.0390620914063566</v>
      </c>
      <c r="K49">
        <f t="shared" si="12"/>
        <v>-1.2249999999999872E-2</v>
      </c>
      <c r="L49">
        <f t="shared" si="13"/>
        <v>-7.216666666666649E-3</v>
      </c>
      <c r="M49">
        <f t="shared" si="7"/>
        <v>-9.7333333333332606E-3</v>
      </c>
      <c r="N49">
        <f t="shared" si="8"/>
        <v>-4.1804893164100881E-5</v>
      </c>
      <c r="O49" s="3">
        <f t="shared" si="9"/>
        <v>-0.41804893164100881</v>
      </c>
      <c r="P49">
        <v>94</v>
      </c>
    </row>
    <row r="50" spans="1:16" x14ac:dyDescent="0.25">
      <c r="A50">
        <v>48</v>
      </c>
      <c r="B50">
        <v>4.3380999999999998</v>
      </c>
      <c r="C50" s="3">
        <v>3.9296238095238092</v>
      </c>
      <c r="D50" s="8">
        <f t="shared" si="14"/>
        <v>-0.40847619047619066</v>
      </c>
      <c r="E50" s="8">
        <f t="shared" si="1"/>
        <v>-0.39952380952381006</v>
      </c>
      <c r="F50" s="3">
        <v>31.580000000000002</v>
      </c>
      <c r="G50" s="9">
        <v>6344.28</v>
      </c>
      <c r="H50">
        <f t="shared" si="2"/>
        <v>-12.616961904761922</v>
      </c>
      <c r="I50">
        <f t="shared" si="10"/>
        <v>-12.616961904761922</v>
      </c>
      <c r="J50">
        <f t="shared" si="11"/>
        <v>-1.9887145436143929</v>
      </c>
      <c r="K50">
        <f t="shared" si="12"/>
        <v>-1.6999999999999904E-2</v>
      </c>
      <c r="L50">
        <f t="shared" si="13"/>
        <v>-6.4595238095244145E-3</v>
      </c>
      <c r="M50">
        <f t="shared" si="7"/>
        <v>-1.1729761904762159E-2</v>
      </c>
      <c r="N50">
        <f t="shared" si="8"/>
        <v>-3.3833078547027429E-5</v>
      </c>
      <c r="O50" s="3">
        <f t="shared" si="9"/>
        <v>-0.33833078547027429</v>
      </c>
      <c r="P50">
        <v>96</v>
      </c>
    </row>
    <row r="51" spans="1:16" x14ac:dyDescent="0.25">
      <c r="A51">
        <v>49</v>
      </c>
      <c r="B51">
        <v>4.3159000000000001</v>
      </c>
      <c r="C51" s="3">
        <v>3.9253285714285706</v>
      </c>
      <c r="D51" s="8">
        <f t="shared" si="14"/>
        <v>-0.39057142857142946</v>
      </c>
      <c r="E51" s="8">
        <f t="shared" si="1"/>
        <v>-0.37135952380952442</v>
      </c>
      <c r="F51" s="3">
        <v>31.54</v>
      </c>
      <c r="G51" s="9">
        <v>6329.6399999999994</v>
      </c>
      <c r="H51">
        <f t="shared" si="2"/>
        <v>-11.7126793809524</v>
      </c>
      <c r="I51">
        <f t="shared" si="10"/>
        <v>-11.7126793809524</v>
      </c>
      <c r="J51">
        <f t="shared" si="11"/>
        <v>-1.850449532825311</v>
      </c>
      <c r="K51">
        <f t="shared" si="12"/>
        <v>-3.324999999999978E-2</v>
      </c>
      <c r="L51">
        <f t="shared" si="13"/>
        <v>-5.085714285714138E-3</v>
      </c>
      <c r="M51">
        <f t="shared" si="7"/>
        <v>-1.9167857142856959E-2</v>
      </c>
      <c r="N51">
        <f t="shared" si="8"/>
        <v>-1.9264686461041338E-5</v>
      </c>
      <c r="O51" s="3">
        <f t="shared" si="9"/>
        <v>-0.19264686461041339</v>
      </c>
      <c r="P51">
        <v>98</v>
      </c>
    </row>
    <row r="52" spans="1:16" x14ac:dyDescent="0.25">
      <c r="A52">
        <v>50</v>
      </c>
      <c r="B52">
        <v>4.2716000000000003</v>
      </c>
      <c r="C52" s="3">
        <v>3.9194523809523809</v>
      </c>
      <c r="D52" s="8">
        <f t="shared" si="14"/>
        <v>-0.35214761904761938</v>
      </c>
      <c r="E52" s="8">
        <f t="shared" si="1"/>
        <v>-0.34322619047619085</v>
      </c>
      <c r="F52" s="3">
        <v>31.5</v>
      </c>
      <c r="G52">
        <v>6315</v>
      </c>
      <c r="H52">
        <f t="shared" si="2"/>
        <v>-10.811625000000012</v>
      </c>
      <c r="I52">
        <f t="shared" si="10"/>
        <v>-10.811625000000012</v>
      </c>
      <c r="J52">
        <f t="shared" si="11"/>
        <v>-1.7120546318289807</v>
      </c>
      <c r="K52">
        <f t="shared" si="12"/>
        <v>-3.4699999999999953E-2</v>
      </c>
      <c r="L52">
        <f t="shared" si="13"/>
        <v>-6.5666666666663875E-3</v>
      </c>
      <c r="M52">
        <f t="shared" si="7"/>
        <v>-2.063333333333317E-2</v>
      </c>
      <c r="N52">
        <f t="shared" si="8"/>
        <v>-1.6557947017701296E-5</v>
      </c>
      <c r="O52" s="3">
        <f t="shared" si="9"/>
        <v>-0.16557947017701297</v>
      </c>
      <c r="P52">
        <v>100</v>
      </c>
    </row>
    <row r="53" spans="1:16" x14ac:dyDescent="0.25">
      <c r="A53">
        <v>51</v>
      </c>
      <c r="B53">
        <v>4.2465000000000002</v>
      </c>
      <c r="C53" s="3">
        <v>3.9121952380952378</v>
      </c>
      <c r="D53" s="8">
        <f t="shared" si="14"/>
        <v>-0.33430476190476233</v>
      </c>
      <c r="E53" s="8">
        <f t="shared" si="1"/>
        <v>-0.3234452380952384</v>
      </c>
      <c r="F53" s="3">
        <v>31.483999999999998</v>
      </c>
      <c r="G53" s="9">
        <v>6313.56</v>
      </c>
      <c r="H53">
        <f t="shared" si="2"/>
        <v>-10.183349876190485</v>
      </c>
      <c r="I53">
        <f t="shared" si="10"/>
        <v>-10.183349876190485</v>
      </c>
      <c r="J53">
        <f t="shared" si="11"/>
        <v>-1.6129330957796371</v>
      </c>
      <c r="K53">
        <f t="shared" si="12"/>
        <v>-2.6800000000000157E-2</v>
      </c>
      <c r="L53">
        <f t="shared" si="13"/>
        <v>-7.0190476190477025E-3</v>
      </c>
      <c r="M53">
        <f t="shared" si="7"/>
        <v>-1.690952380952393E-2</v>
      </c>
      <c r="N53">
        <f t="shared" si="8"/>
        <v>-1.9034577422030659E-5</v>
      </c>
      <c r="O53" s="3">
        <f t="shared" si="9"/>
        <v>-0.19034577422030657</v>
      </c>
      <c r="P53">
        <v>102</v>
      </c>
    </row>
    <row r="54" spans="1:16" x14ac:dyDescent="0.25">
      <c r="A54">
        <v>52</v>
      </c>
      <c r="B54">
        <v>4.218</v>
      </c>
      <c r="C54" s="3">
        <v>3.9054142857142855</v>
      </c>
      <c r="D54" s="8">
        <f t="shared" si="14"/>
        <v>-0.31258571428571447</v>
      </c>
      <c r="E54" s="8">
        <f t="shared" si="1"/>
        <v>-0.3067142857142855</v>
      </c>
      <c r="F54" s="3">
        <v>31.467999999999996</v>
      </c>
      <c r="G54" s="9">
        <v>6312.1200000000008</v>
      </c>
      <c r="H54">
        <f t="shared" si="2"/>
        <v>-9.6516851428571346</v>
      </c>
      <c r="I54">
        <f t="shared" si="10"/>
        <v>-9.6516851428571346</v>
      </c>
      <c r="J54">
        <f t="shared" si="11"/>
        <v>-1.5290718717098428</v>
      </c>
      <c r="K54">
        <f t="shared" si="12"/>
        <v>-2.289999999999992E-2</v>
      </c>
      <c r="L54">
        <f t="shared" si="13"/>
        <v>-6.1690476190470189E-3</v>
      </c>
      <c r="M54">
        <f t="shared" si="7"/>
        <v>-1.453452380952347E-2</v>
      </c>
      <c r="N54">
        <f t="shared" si="8"/>
        <v>-2.0993524464022735E-5</v>
      </c>
      <c r="O54" s="3">
        <f t="shared" si="9"/>
        <v>-0.20993524464022734</v>
      </c>
      <c r="P54">
        <v>104</v>
      </c>
    </row>
    <row r="55" spans="1:16" x14ac:dyDescent="0.25">
      <c r="A55">
        <v>53</v>
      </c>
      <c r="B55">
        <v>4.2007000000000003</v>
      </c>
      <c r="C55" s="3">
        <v>3.8998571428571438</v>
      </c>
      <c r="D55" s="8">
        <f t="shared" si="14"/>
        <v>-0.30084285714285652</v>
      </c>
      <c r="E55" s="8">
        <f t="shared" si="1"/>
        <v>-0.3002428571428577</v>
      </c>
      <c r="F55" s="3">
        <v>31.451999999999991</v>
      </c>
      <c r="G55" s="9">
        <v>6310.6800000000012</v>
      </c>
      <c r="H55">
        <f t="shared" si="2"/>
        <v>-9.4432383428571569</v>
      </c>
      <c r="I55">
        <f t="shared" si="10"/>
        <v>-9.4432383428571569</v>
      </c>
      <c r="J55">
        <f t="shared" si="11"/>
        <v>-1.4963899837825962</v>
      </c>
      <c r="K55">
        <f t="shared" si="12"/>
        <v>-1.2099999999999778E-2</v>
      </c>
      <c r="L55">
        <f t="shared" si="13"/>
        <v>-5.6285714285719823E-3</v>
      </c>
      <c r="M55">
        <f t="shared" si="7"/>
        <v>-8.86428571428588E-3</v>
      </c>
      <c r="N55">
        <f t="shared" si="8"/>
        <v>-3.3686765292732122E-5</v>
      </c>
      <c r="O55" s="3">
        <f t="shared" si="9"/>
        <v>-0.33686765292732124</v>
      </c>
      <c r="P55">
        <v>106</v>
      </c>
    </row>
    <row r="56" spans="1:16" x14ac:dyDescent="0.25">
      <c r="A56">
        <v>54</v>
      </c>
      <c r="B56">
        <v>4.1938000000000004</v>
      </c>
      <c r="C56" s="3">
        <v>3.8941571428571415</v>
      </c>
      <c r="D56" s="8">
        <f t="shared" si="14"/>
        <v>-0.29964285714285888</v>
      </c>
      <c r="E56" s="8">
        <f t="shared" si="1"/>
        <v>-0.29808571428571495</v>
      </c>
      <c r="F56" s="3">
        <v>31.435999999999989</v>
      </c>
      <c r="G56" s="9">
        <v>6309.2400000000016</v>
      </c>
      <c r="H56">
        <f t="shared" si="2"/>
        <v>-9.3706225142857313</v>
      </c>
      <c r="I56">
        <f t="shared" si="10"/>
        <v>-9.3706225142857313</v>
      </c>
      <c r="J56">
        <f t="shared" si="11"/>
        <v>-1.485222073385341</v>
      </c>
      <c r="K56">
        <f t="shared" si="12"/>
        <v>-8.3000000000001961E-3</v>
      </c>
      <c r="L56">
        <f t="shared" si="13"/>
        <v>-6.1428571428574497E-3</v>
      </c>
      <c r="M56">
        <f t="shared" si="7"/>
        <v>-7.2214285714288229E-3</v>
      </c>
      <c r="N56">
        <f t="shared" si="8"/>
        <v>-4.1041813178034216E-5</v>
      </c>
      <c r="O56" s="3">
        <f t="shared" si="9"/>
        <v>-0.41041813178034214</v>
      </c>
      <c r="P56">
        <v>108</v>
      </c>
    </row>
    <row r="57" spans="1:16" x14ac:dyDescent="0.25">
      <c r="A57">
        <v>55</v>
      </c>
      <c r="B57">
        <v>4.1840999999999999</v>
      </c>
      <c r="C57" s="3">
        <v>3.8875714285714289</v>
      </c>
      <c r="D57" s="8">
        <f t="shared" si="14"/>
        <v>-0.29652857142857103</v>
      </c>
      <c r="E57" s="8">
        <f t="shared" si="1"/>
        <v>-0.29543095238095196</v>
      </c>
      <c r="F57" s="3">
        <v>31.419999999999995</v>
      </c>
      <c r="G57" s="9">
        <v>6307.8000000000011</v>
      </c>
      <c r="H57">
        <f t="shared" si="2"/>
        <v>-9.2824405238095089</v>
      </c>
      <c r="I57">
        <f t="shared" si="10"/>
        <v>-9.2824405238095089</v>
      </c>
      <c r="J57">
        <f t="shared" si="11"/>
        <v>-1.4715812999476057</v>
      </c>
      <c r="K57">
        <f t="shared" si="12"/>
        <v>-8.90000000000013E-3</v>
      </c>
      <c r="L57">
        <f t="shared" si="13"/>
        <v>-6.2452380952371378E-3</v>
      </c>
      <c r="M57">
        <f t="shared" si="7"/>
        <v>-7.5726190476186339E-3</v>
      </c>
      <c r="N57">
        <f t="shared" si="8"/>
        <v>-3.8778982962335294E-5</v>
      </c>
      <c r="O57" s="3">
        <f t="shared" si="9"/>
        <v>-0.38778982962335296</v>
      </c>
      <c r="P57">
        <v>110</v>
      </c>
    </row>
    <row r="58" spans="1:16" x14ac:dyDescent="0.25">
      <c r="A58">
        <v>56</v>
      </c>
      <c r="B58">
        <v>4.1760000000000002</v>
      </c>
      <c r="C58" s="3">
        <v>3.8816666666666673</v>
      </c>
      <c r="D58" s="8">
        <f t="shared" si="14"/>
        <v>-0.29433333333333289</v>
      </c>
      <c r="E58" s="8">
        <f t="shared" si="1"/>
        <v>-0.29317142857142842</v>
      </c>
      <c r="F58" s="3">
        <v>31.403999999999996</v>
      </c>
      <c r="G58" s="9">
        <v>6306.3600000000006</v>
      </c>
      <c r="H58">
        <f t="shared" si="2"/>
        <v>-9.2067555428571364</v>
      </c>
      <c r="I58">
        <f t="shared" si="10"/>
        <v>-9.2067555428571364</v>
      </c>
      <c r="J58">
        <f t="shared" si="11"/>
        <v>-1.4599159487972675</v>
      </c>
      <c r="K58">
        <f t="shared" si="12"/>
        <v>-9.1499999999999915E-3</v>
      </c>
      <c r="L58">
        <f t="shared" si="13"/>
        <v>-6.8904761904764467E-3</v>
      </c>
      <c r="M58">
        <f t="shared" si="7"/>
        <v>-8.0202380952382191E-3</v>
      </c>
      <c r="N58">
        <f t="shared" si="8"/>
        <v>-3.6324433980061766E-5</v>
      </c>
      <c r="O58" s="3">
        <f t="shared" si="9"/>
        <v>-0.36324433980061765</v>
      </c>
      <c r="P58">
        <v>112</v>
      </c>
    </row>
    <row r="59" spans="1:16" x14ac:dyDescent="0.25">
      <c r="A59">
        <v>57</v>
      </c>
      <c r="B59">
        <v>4.1657999999999999</v>
      </c>
      <c r="C59" s="3">
        <v>3.873790476190476</v>
      </c>
      <c r="D59" s="8">
        <f t="shared" si="14"/>
        <v>-0.29200952380952394</v>
      </c>
      <c r="E59" s="8">
        <f t="shared" si="1"/>
        <v>-0.28909999999999969</v>
      </c>
      <c r="F59" s="3">
        <v>31.387999999999995</v>
      </c>
      <c r="G59" s="9">
        <v>6304.920000000001</v>
      </c>
      <c r="H59">
        <f t="shared" si="2"/>
        <v>-9.0742707999999883</v>
      </c>
      <c r="I59">
        <f t="shared" si="10"/>
        <v>-9.0742707999999883</v>
      </c>
      <c r="J59">
        <f t="shared" si="11"/>
        <v>-1.4392364692969914</v>
      </c>
      <c r="K59">
        <f t="shared" si="12"/>
        <v>-1.0800000000000143E-2</v>
      </c>
      <c r="L59">
        <f t="shared" si="13"/>
        <v>-6.7285714285714171E-3</v>
      </c>
      <c r="M59">
        <f t="shared" si="7"/>
        <v>-8.76428571428578E-3</v>
      </c>
      <c r="N59">
        <f t="shared" si="8"/>
        <v>-3.2769807644174077E-5</v>
      </c>
      <c r="O59" s="3">
        <f t="shared" si="9"/>
        <v>-0.32769807644174076</v>
      </c>
      <c r="P59">
        <v>114</v>
      </c>
    </row>
    <row r="60" spans="1:16" x14ac:dyDescent="0.25">
      <c r="A60">
        <v>58</v>
      </c>
      <c r="B60">
        <v>4.1543999999999999</v>
      </c>
      <c r="C60" s="3">
        <v>3.8682095238095244</v>
      </c>
      <c r="D60" s="8">
        <f t="shared" si="14"/>
        <v>-0.28619047619047544</v>
      </c>
      <c r="E60" s="8">
        <f t="shared" si="1"/>
        <v>-0.28259761904761871</v>
      </c>
      <c r="F60" s="3">
        <v>31.371999999999993</v>
      </c>
      <c r="G60" s="9">
        <v>6303.4800000000014</v>
      </c>
      <c r="H60">
        <f t="shared" si="2"/>
        <v>-8.8656525047618917</v>
      </c>
      <c r="I60">
        <f t="shared" si="10"/>
        <v>-8.8656525047618917</v>
      </c>
      <c r="J60">
        <f t="shared" si="11"/>
        <v>-1.4064695223530319</v>
      </c>
      <c r="K60">
        <f t="shared" si="12"/>
        <v>-1.3100000000000112E-2</v>
      </c>
      <c r="L60">
        <f t="shared" si="13"/>
        <v>-6.5976190476191299E-3</v>
      </c>
      <c r="M60">
        <f t="shared" si="7"/>
        <v>-9.8488095238096207E-3</v>
      </c>
      <c r="N60">
        <f t="shared" si="8"/>
        <v>-2.8497374602672563E-5</v>
      </c>
      <c r="O60" s="3">
        <f t="shared" si="9"/>
        <v>-0.28497374602672565</v>
      </c>
      <c r="P60">
        <v>116</v>
      </c>
    </row>
    <row r="61" spans="1:16" x14ac:dyDescent="0.25">
      <c r="A61">
        <v>59</v>
      </c>
      <c r="B61">
        <v>4.1395999999999997</v>
      </c>
      <c r="C61" s="3">
        <v>3.8605952380952377</v>
      </c>
      <c r="D61" s="8">
        <f t="shared" si="14"/>
        <v>-0.27900476190476198</v>
      </c>
      <c r="E61" s="8">
        <f t="shared" si="1"/>
        <v>-0.28113571428571427</v>
      </c>
      <c r="F61" s="3">
        <v>31.355999999999995</v>
      </c>
      <c r="G61" s="9">
        <v>6302.0400000000009</v>
      </c>
      <c r="H61">
        <f t="shared" si="2"/>
        <v>-8.8152914571428553</v>
      </c>
      <c r="I61">
        <f t="shared" si="10"/>
        <v>-8.8152914571428553</v>
      </c>
      <c r="J61">
        <f t="shared" si="11"/>
        <v>-1.39879966759063</v>
      </c>
      <c r="K61">
        <f t="shared" si="12"/>
        <v>-7.6000000000000512E-3</v>
      </c>
      <c r="L61">
        <f t="shared" si="13"/>
        <v>-6.1380952380956089E-3</v>
      </c>
      <c r="M61">
        <f t="shared" si="7"/>
        <v>-6.86904761904783E-3</v>
      </c>
      <c r="N61">
        <f t="shared" si="8"/>
        <v>-4.063659000981971E-5</v>
      </c>
      <c r="O61" s="3">
        <f t="shared" si="9"/>
        <v>-0.40636590009819712</v>
      </c>
      <c r="P61">
        <v>118</v>
      </c>
    </row>
    <row r="62" spans="1:16" x14ac:dyDescent="0.25">
      <c r="A62">
        <v>60</v>
      </c>
      <c r="B62">
        <v>4.1391999999999998</v>
      </c>
      <c r="C62" s="3">
        <v>3.8559333333333332</v>
      </c>
      <c r="D62" s="8">
        <f t="shared" si="14"/>
        <v>-0.28326666666666656</v>
      </c>
      <c r="E62" s="8">
        <f t="shared" si="1"/>
        <v>-0.28137142857142861</v>
      </c>
      <c r="F62" s="3">
        <v>31.339999999999996</v>
      </c>
      <c r="G62" s="9">
        <v>6300.6</v>
      </c>
      <c r="H62">
        <f t="shared" si="2"/>
        <v>-8.8181805714285719</v>
      </c>
      <c r="I62">
        <f t="shared" si="10"/>
        <v>-8.8181805714285719</v>
      </c>
      <c r="J62">
        <f t="shared" si="11"/>
        <v>-1.399577908679899</v>
      </c>
      <c r="K62">
        <f t="shared" si="12"/>
        <v>-3.1999999999996476E-3</v>
      </c>
      <c r="L62">
        <f t="shared" si="13"/>
        <v>-3.4357142857139866E-3</v>
      </c>
      <c r="M62">
        <f t="shared" si="7"/>
        <v>-3.3178571428568171E-3</v>
      </c>
      <c r="N62">
        <f t="shared" si="8"/>
        <v>-8.4177817239525582E-5</v>
      </c>
      <c r="O62" s="3">
        <f t="shared" si="9"/>
        <v>-0.84177817239525576</v>
      </c>
      <c r="P62">
        <v>120</v>
      </c>
    </row>
    <row r="63" spans="1:16" x14ac:dyDescent="0.25">
      <c r="A63">
        <v>61</v>
      </c>
      <c r="B63">
        <v>4.1332000000000004</v>
      </c>
      <c r="C63" s="3">
        <v>3.8537238095238098</v>
      </c>
      <c r="D63" s="8">
        <f t="shared" si="14"/>
        <v>-0.27947619047619066</v>
      </c>
      <c r="E63" s="8">
        <f t="shared" si="1"/>
        <v>-0.27715238095238126</v>
      </c>
      <c r="F63" s="3">
        <v>31.323999999999995</v>
      </c>
      <c r="G63" s="9">
        <v>6299.1600000000008</v>
      </c>
      <c r="H63">
        <f t="shared" si="2"/>
        <v>-8.6815211809523891</v>
      </c>
      <c r="I63">
        <f t="shared" si="10"/>
        <v>-8.6815211809523891</v>
      </c>
      <c r="J63">
        <f t="shared" si="11"/>
        <v>-1.3782029954712038</v>
      </c>
      <c r="K63">
        <f t="shared" si="12"/>
        <v>-7.6000000000000512E-3</v>
      </c>
      <c r="L63">
        <f t="shared" si="13"/>
        <v>-3.3809523809527064E-3</v>
      </c>
      <c r="M63">
        <f t="shared" si="7"/>
        <v>-5.4904761904763788E-3</v>
      </c>
      <c r="N63">
        <f t="shared" si="8"/>
        <v>-5.0091200576094266E-5</v>
      </c>
      <c r="O63" s="3">
        <f t="shared" si="9"/>
        <v>-0.50091200576094264</v>
      </c>
      <c r="P63">
        <v>122</v>
      </c>
    </row>
    <row r="64" spans="1:16" x14ac:dyDescent="0.25">
      <c r="A64">
        <v>62</v>
      </c>
      <c r="B64">
        <v>4.1239999999999997</v>
      </c>
      <c r="C64" s="3">
        <v>3.8491714285714278</v>
      </c>
      <c r="D64" s="8">
        <f t="shared" si="14"/>
        <v>-0.27482857142857187</v>
      </c>
      <c r="E64" s="8">
        <f t="shared" si="1"/>
        <v>-0.27685238095238041</v>
      </c>
      <c r="F64" s="3">
        <v>31.307999999999993</v>
      </c>
      <c r="G64" s="9">
        <v>6297.7200000000012</v>
      </c>
      <c r="H64">
        <f t="shared" si="2"/>
        <v>-8.6676943428571231</v>
      </c>
      <c r="I64">
        <f t="shared" si="10"/>
        <v>-8.6676943428571231</v>
      </c>
      <c r="J64">
        <f t="shared" si="11"/>
        <v>-1.3763225965678247</v>
      </c>
      <c r="K64">
        <f t="shared" si="12"/>
        <v>-4.8000000000003595E-3</v>
      </c>
      <c r="L64">
        <f t="shared" si="13"/>
        <v>-4.4999999999995044E-3</v>
      </c>
      <c r="M64">
        <f t="shared" si="7"/>
        <v>-4.649999999999932E-3</v>
      </c>
      <c r="N64">
        <f t="shared" si="8"/>
        <v>-5.9064366638851334E-5</v>
      </c>
      <c r="O64" s="3">
        <f t="shared" si="9"/>
        <v>-0.59064366638851329</v>
      </c>
      <c r="P64">
        <v>124</v>
      </c>
    </row>
    <row r="65" spans="1:16" x14ac:dyDescent="0.25">
      <c r="A65">
        <v>63</v>
      </c>
      <c r="B65">
        <v>4.1235999999999997</v>
      </c>
      <c r="C65" s="3">
        <v>3.8447238095238108</v>
      </c>
      <c r="D65" s="8">
        <f t="shared" si="14"/>
        <v>-0.27887619047618895</v>
      </c>
      <c r="E65" s="8">
        <f t="shared" si="1"/>
        <v>-0.27533571428571335</v>
      </c>
      <c r="F65" s="3">
        <v>31.291999999999994</v>
      </c>
      <c r="G65" s="9">
        <v>6296.2800000000007</v>
      </c>
      <c r="H65">
        <f t="shared" si="2"/>
        <v>-8.6158051714285406</v>
      </c>
      <c r="I65">
        <f t="shared" si="10"/>
        <v>-8.6158051714285406</v>
      </c>
      <c r="J65">
        <f t="shared" si="11"/>
        <v>-1.3683961277815695</v>
      </c>
      <c r="K65">
        <f t="shared" si="12"/>
        <v>-5.9000000000000163E-3</v>
      </c>
      <c r="L65">
        <f t="shared" si="13"/>
        <v>-4.3833333333329616E-3</v>
      </c>
      <c r="M65">
        <f t="shared" si="7"/>
        <v>-5.141666666666489E-3</v>
      </c>
      <c r="N65">
        <f t="shared" si="8"/>
        <v>-5.3108762574036429E-5</v>
      </c>
      <c r="O65" s="3">
        <f t="shared" si="9"/>
        <v>-0.53108762574036428</v>
      </c>
      <c r="P65">
        <v>126</v>
      </c>
    </row>
    <row r="66" spans="1:16" x14ac:dyDescent="0.25">
      <c r="A66">
        <v>64</v>
      </c>
      <c r="B66">
        <v>4.1121999999999996</v>
      </c>
      <c r="C66" s="3">
        <v>3.8404047619047619</v>
      </c>
      <c r="D66" s="8">
        <f t="shared" si="14"/>
        <v>-0.27179523809523776</v>
      </c>
      <c r="E66" s="8">
        <f t="shared" si="1"/>
        <v>-0.27195714285714279</v>
      </c>
      <c r="F66" s="3">
        <v>31.276</v>
      </c>
      <c r="G66" s="9">
        <v>6294.84</v>
      </c>
      <c r="H66">
        <f t="shared" si="2"/>
        <v>-8.5057315999999972</v>
      </c>
      <c r="I66">
        <f t="shared" si="10"/>
        <v>-8.5057315999999972</v>
      </c>
      <c r="J66">
        <f t="shared" si="11"/>
        <v>-1.3512228428363544</v>
      </c>
      <c r="K66">
        <f t="shared" si="12"/>
        <v>-7.1499999999997677E-3</v>
      </c>
      <c r="L66">
        <f t="shared" si="13"/>
        <v>-3.7714285714292028E-3</v>
      </c>
      <c r="M66">
        <f t="shared" si="7"/>
        <v>-5.4607142857144852E-3</v>
      </c>
      <c r="N66">
        <f t="shared" si="8"/>
        <v>-4.9378260713551077E-5</v>
      </c>
      <c r="O66" s="3">
        <f t="shared" si="9"/>
        <v>-0.49378260713551075</v>
      </c>
      <c r="P66">
        <v>128</v>
      </c>
    </row>
    <row r="67" spans="1:16" x14ac:dyDescent="0.25">
      <c r="A67">
        <v>65</v>
      </c>
      <c r="B67">
        <v>4.1093000000000002</v>
      </c>
      <c r="C67" s="3">
        <v>3.8371809523809524</v>
      </c>
      <c r="D67" s="8">
        <f t="shared" si="14"/>
        <v>-0.27211904761904782</v>
      </c>
      <c r="E67" s="8">
        <f t="shared" si="1"/>
        <v>-0.27370714285714381</v>
      </c>
      <c r="F67" s="3">
        <v>31.259999999999998</v>
      </c>
      <c r="G67" s="9">
        <v>6293.4000000000005</v>
      </c>
      <c r="H67">
        <f t="shared" si="2"/>
        <v>-8.5560852857143157</v>
      </c>
      <c r="I67">
        <f t="shared" si="10"/>
        <v>-8.5560852857143157</v>
      </c>
      <c r="J67">
        <f t="shared" si="11"/>
        <v>-1.3595330482273993</v>
      </c>
      <c r="K67">
        <f t="shared" si="12"/>
        <v>-2.0499999999996632E-3</v>
      </c>
      <c r="L67">
        <f t="shared" si="13"/>
        <v>-3.8000000000006917E-3</v>
      </c>
      <c r="M67">
        <f t="shared" si="7"/>
        <v>-2.9250000000001775E-3</v>
      </c>
      <c r="N67">
        <f t="shared" si="8"/>
        <v>-9.2751760721100418E-5</v>
      </c>
      <c r="O67" s="3">
        <f t="shared" si="9"/>
        <v>-0.92751760721100418</v>
      </c>
      <c r="P67">
        <v>130</v>
      </c>
    </row>
    <row r="68" spans="1:16" x14ac:dyDescent="0.25">
      <c r="A68">
        <v>66</v>
      </c>
      <c r="B68">
        <v>4.1081000000000003</v>
      </c>
      <c r="C68" s="3">
        <v>3.8328047619047605</v>
      </c>
      <c r="D68" s="8">
        <f t="shared" si="14"/>
        <v>-0.27529523809523981</v>
      </c>
      <c r="E68" s="8">
        <f t="shared" ref="E68:E131" si="15">(D68+D69)/2</f>
        <v>-0.27980476190476278</v>
      </c>
      <c r="F68" s="3">
        <v>31.243999999999993</v>
      </c>
      <c r="G68" s="9">
        <v>6291.9600000000009</v>
      </c>
      <c r="H68">
        <f t="shared" ref="H68:H131" si="16">E68*F68</f>
        <v>-8.7422199809524059</v>
      </c>
      <c r="I68">
        <f t="shared" si="10"/>
        <v>-8.7422199809524059</v>
      </c>
      <c r="J68">
        <f t="shared" si="11"/>
        <v>-1.3894271389125812</v>
      </c>
      <c r="K68">
        <f t="shared" si="12"/>
        <v>2.2999999999999687E-3</v>
      </c>
      <c r="L68">
        <f t="shared" si="13"/>
        <v>-3.7976190476189942E-3</v>
      </c>
      <c r="M68">
        <f t="shared" si="7"/>
        <v>-7.4880952380951271E-4</v>
      </c>
      <c r="N68">
        <f t="shared" si="8"/>
        <v>-3.7027354328421521E-4</v>
      </c>
      <c r="O68" s="3">
        <f t="shared" si="9"/>
        <v>-3.702735432842152</v>
      </c>
      <c r="P68">
        <v>132</v>
      </c>
    </row>
    <row r="69" spans="1:16" x14ac:dyDescent="0.25">
      <c r="A69">
        <v>67</v>
      </c>
      <c r="B69">
        <v>4.1139000000000001</v>
      </c>
      <c r="C69" s="3">
        <v>3.8295857142857144</v>
      </c>
      <c r="D69" s="8">
        <f t="shared" si="14"/>
        <v>-0.28431428571428574</v>
      </c>
      <c r="E69" s="8">
        <f t="shared" si="15"/>
        <v>-0.28549761904761861</v>
      </c>
      <c r="F69" s="3">
        <v>31.227999999999998</v>
      </c>
      <c r="G69" s="9">
        <v>6290.52</v>
      </c>
      <c r="H69">
        <f t="shared" si="16"/>
        <v>-8.9155196476190337</v>
      </c>
      <c r="I69">
        <f t="shared" si="10"/>
        <v>-8.9155196476190337</v>
      </c>
      <c r="J69">
        <f t="shared" si="11"/>
        <v>-1.4172945396595247</v>
      </c>
      <c r="K69">
        <f t="shared" si="12"/>
        <v>2.1499999999998742E-3</v>
      </c>
      <c r="L69">
        <f t="shared" si="13"/>
        <v>-3.5428571428559597E-3</v>
      </c>
      <c r="M69">
        <f t="shared" ref="M69:M132" si="17">(K69+L69)/2</f>
        <v>-6.9642857142804271E-4</v>
      </c>
      <c r="N69">
        <f t="shared" ref="N69:N132" si="18">-J69/(M69*86400*58)</f>
        <v>-4.0610823663196307E-4</v>
      </c>
      <c r="O69" s="3">
        <f t="shared" ref="O69:O132" si="19">N69*10000</f>
        <v>-4.0610823663196305</v>
      </c>
      <c r="P69">
        <v>134</v>
      </c>
    </row>
    <row r="70" spans="1:16" x14ac:dyDescent="0.25">
      <c r="A70">
        <v>68</v>
      </c>
      <c r="B70">
        <v>4.1124000000000001</v>
      </c>
      <c r="C70" s="3">
        <v>3.8257190476190486</v>
      </c>
      <c r="D70" s="8">
        <f t="shared" si="14"/>
        <v>-0.28668095238095148</v>
      </c>
      <c r="E70" s="8">
        <f t="shared" si="15"/>
        <v>-0.28733809523809462</v>
      </c>
      <c r="F70" s="3">
        <v>31.212</v>
      </c>
      <c r="G70" s="9">
        <v>6289.08</v>
      </c>
      <c r="H70">
        <f t="shared" si="16"/>
        <v>-8.9683966285714085</v>
      </c>
      <c r="I70">
        <f t="shared" si="10"/>
        <v>-8.9683966285714085</v>
      </c>
      <c r="J70">
        <f t="shared" si="11"/>
        <v>-1.426026800195165</v>
      </c>
      <c r="K70">
        <f t="shared" si="12"/>
        <v>-2.4000000000001798E-3</v>
      </c>
      <c r="L70">
        <f t="shared" si="13"/>
        <v>-4.2404761904761834E-3</v>
      </c>
      <c r="M70">
        <f t="shared" si="17"/>
        <v>-3.3202380952381816E-3</v>
      </c>
      <c r="N70">
        <f t="shared" si="18"/>
        <v>-8.5707084768620086E-5</v>
      </c>
      <c r="O70" s="3">
        <f t="shared" si="19"/>
        <v>-0.8570708476862009</v>
      </c>
      <c r="P70">
        <v>136</v>
      </c>
    </row>
    <row r="71" spans="1:16" x14ac:dyDescent="0.25">
      <c r="A71">
        <v>69</v>
      </c>
      <c r="B71">
        <v>4.1090999999999998</v>
      </c>
      <c r="C71" s="3">
        <v>3.821104761904762</v>
      </c>
      <c r="D71" s="8">
        <f t="shared" si="14"/>
        <v>-0.28799523809523775</v>
      </c>
      <c r="E71" s="8">
        <f t="shared" si="15"/>
        <v>-0.28482857142857165</v>
      </c>
      <c r="F71" s="3">
        <v>31.195999999999998</v>
      </c>
      <c r="G71" s="9">
        <v>6287.64</v>
      </c>
      <c r="H71">
        <f t="shared" si="16"/>
        <v>-8.8855121142857207</v>
      </c>
      <c r="I71">
        <f t="shared" si="10"/>
        <v>-8.8855121142857207</v>
      </c>
      <c r="J71">
        <f t="shared" si="11"/>
        <v>-1.4131712557152956</v>
      </c>
      <c r="K71">
        <f t="shared" si="12"/>
        <v>-7.1500000000002117E-3</v>
      </c>
      <c r="L71">
        <f t="shared" si="13"/>
        <v>-4.6404761904772496E-3</v>
      </c>
      <c r="M71">
        <f t="shared" si="17"/>
        <v>-5.8952380952387307E-3</v>
      </c>
      <c r="N71">
        <f t="shared" si="18"/>
        <v>-4.7835653257894575E-5</v>
      </c>
      <c r="O71" s="3">
        <f t="shared" si="19"/>
        <v>-0.47835653257894573</v>
      </c>
      <c r="P71">
        <v>138</v>
      </c>
    </row>
    <row r="72" spans="1:16" x14ac:dyDescent="0.25">
      <c r="A72">
        <v>70</v>
      </c>
      <c r="B72">
        <v>4.0980999999999996</v>
      </c>
      <c r="C72" s="3">
        <v>3.8164380952380941</v>
      </c>
      <c r="D72" s="8">
        <f t="shared" si="14"/>
        <v>-0.28166190476190556</v>
      </c>
      <c r="E72" s="8">
        <f t="shared" si="15"/>
        <v>-0.2823452380952387</v>
      </c>
      <c r="F72" s="3">
        <v>31.179999999999996</v>
      </c>
      <c r="G72" s="9">
        <v>6286.2000000000007</v>
      </c>
      <c r="H72">
        <f t="shared" si="16"/>
        <v>-8.803524523809541</v>
      </c>
      <c r="I72">
        <f t="shared" si="10"/>
        <v>-8.803524523809541</v>
      </c>
      <c r="J72">
        <f t="shared" si="11"/>
        <v>-1.4004525029126564</v>
      </c>
      <c r="K72">
        <f t="shared" si="12"/>
        <v>-8.299999999999752E-3</v>
      </c>
      <c r="L72">
        <f t="shared" si="13"/>
        <v>-5.8166666666668032E-3</v>
      </c>
      <c r="M72">
        <f t="shared" si="17"/>
        <v>-7.0583333333332776E-3</v>
      </c>
      <c r="N72">
        <f t="shared" si="18"/>
        <v>-3.9593553733502388E-5</v>
      </c>
      <c r="O72" s="3">
        <f t="shared" si="19"/>
        <v>-0.3959355373350239</v>
      </c>
      <c r="P72">
        <v>140</v>
      </c>
    </row>
    <row r="73" spans="1:16" x14ac:dyDescent="0.25">
      <c r="A73">
        <v>71</v>
      </c>
      <c r="B73">
        <v>4.0925000000000002</v>
      </c>
      <c r="C73" s="3">
        <v>3.8094714285714284</v>
      </c>
      <c r="D73" s="8">
        <f t="shared" si="14"/>
        <v>-0.28302857142857185</v>
      </c>
      <c r="E73" s="8">
        <f t="shared" si="15"/>
        <v>-0.28279523809523832</v>
      </c>
      <c r="F73" s="3">
        <v>31.163999999999998</v>
      </c>
      <c r="G73" s="9">
        <v>6284.76</v>
      </c>
      <c r="H73">
        <f t="shared" si="16"/>
        <v>-8.813030800000007</v>
      </c>
      <c r="I73">
        <f t="shared" si="10"/>
        <v>-8.813030800000007</v>
      </c>
      <c r="J73">
        <f t="shared" si="11"/>
        <v>-1.4022859743251941</v>
      </c>
      <c r="K73">
        <f t="shared" si="12"/>
        <v>-5.4999999999996163E-3</v>
      </c>
      <c r="L73">
        <f t="shared" si="13"/>
        <v>-5.9499999999992337E-3</v>
      </c>
      <c r="M73">
        <f t="shared" si="17"/>
        <v>-5.724999999999425E-3</v>
      </c>
      <c r="N73">
        <f t="shared" si="18"/>
        <v>-4.8878668091783049E-5</v>
      </c>
      <c r="O73" s="3">
        <f t="shared" si="19"/>
        <v>-0.48878668091783051</v>
      </c>
      <c r="P73">
        <v>142</v>
      </c>
    </row>
    <row r="74" spans="1:16" x14ac:dyDescent="0.25">
      <c r="A74">
        <v>72</v>
      </c>
      <c r="B74">
        <v>4.0871000000000004</v>
      </c>
      <c r="C74" s="3">
        <v>3.8045380952380956</v>
      </c>
      <c r="D74" s="8">
        <f t="shared" si="14"/>
        <v>-0.28256190476190479</v>
      </c>
      <c r="E74" s="8">
        <f t="shared" si="15"/>
        <v>-0.27360476190476191</v>
      </c>
      <c r="F74" s="3">
        <v>31.148000000000003</v>
      </c>
      <c r="G74" s="9">
        <v>6283.32</v>
      </c>
      <c r="H74">
        <f t="shared" si="16"/>
        <v>-8.5222411238095255</v>
      </c>
      <c r="I74">
        <f t="shared" si="10"/>
        <v>-8.5222411238095255</v>
      </c>
      <c r="J74">
        <f t="shared" si="11"/>
        <v>-1.3563277254396602</v>
      </c>
      <c r="K74">
        <f t="shared" si="12"/>
        <v>-1.3100000000000112E-2</v>
      </c>
      <c r="L74">
        <f t="shared" si="13"/>
        <v>-3.9095238095236962E-3</v>
      </c>
      <c r="M74">
        <f t="shared" si="17"/>
        <v>-8.5047619047619039E-3</v>
      </c>
      <c r="N74">
        <f t="shared" si="18"/>
        <v>-3.1824438045153846E-5</v>
      </c>
      <c r="O74" s="3">
        <f t="shared" si="19"/>
        <v>-0.31824438045153847</v>
      </c>
      <c r="P74">
        <v>144</v>
      </c>
    </row>
    <row r="75" spans="1:16" x14ac:dyDescent="0.25">
      <c r="A75">
        <v>73</v>
      </c>
      <c r="B75">
        <v>4.0663</v>
      </c>
      <c r="C75" s="3">
        <v>3.801652380952381</v>
      </c>
      <c r="D75" s="8">
        <f t="shared" si="14"/>
        <v>-0.26464761904761902</v>
      </c>
      <c r="E75" s="8">
        <f t="shared" si="15"/>
        <v>-0.26299523809523873</v>
      </c>
      <c r="F75" s="3">
        <v>31.131999999999998</v>
      </c>
      <c r="G75" s="9">
        <v>6281.88</v>
      </c>
      <c r="H75">
        <f t="shared" si="16"/>
        <v>-8.1875677523809713</v>
      </c>
      <c r="I75">
        <f t="shared" si="10"/>
        <v>-8.1875677523809713</v>
      </c>
      <c r="J75">
        <f t="shared" si="11"/>
        <v>-1.3033626481850928</v>
      </c>
      <c r="K75">
        <f t="shared" si="12"/>
        <v>-1.3100000000000112E-2</v>
      </c>
      <c r="L75">
        <f t="shared" si="13"/>
        <v>-2.4904761904769313E-3</v>
      </c>
      <c r="M75">
        <f t="shared" si="17"/>
        <v>-7.7952380952385214E-3</v>
      </c>
      <c r="N75">
        <f t="shared" si="18"/>
        <v>-3.3365232084023606E-5</v>
      </c>
      <c r="O75" s="3">
        <f t="shared" si="19"/>
        <v>-0.33365232084023605</v>
      </c>
      <c r="P75">
        <v>146</v>
      </c>
    </row>
    <row r="76" spans="1:16" x14ac:dyDescent="0.25">
      <c r="A76">
        <v>74</v>
      </c>
      <c r="B76">
        <v>4.0609000000000002</v>
      </c>
      <c r="C76" s="3">
        <v>3.7995571428571417</v>
      </c>
      <c r="D76" s="8">
        <f t="shared" si="14"/>
        <v>-0.26134285714285843</v>
      </c>
      <c r="E76" s="8">
        <f t="shared" si="15"/>
        <v>-0.26160238095238153</v>
      </c>
      <c r="F76" s="3">
        <v>31.115999999999996</v>
      </c>
      <c r="G76" s="9">
        <v>6280.4400000000005</v>
      </c>
      <c r="H76">
        <f t="shared" si="16"/>
        <v>-8.1400196857143019</v>
      </c>
      <c r="I76">
        <f t="shared" si="10"/>
        <v>-8.1400196857143019</v>
      </c>
      <c r="J76">
        <f t="shared" si="11"/>
        <v>-1.2960906697165009</v>
      </c>
      <c r="K76">
        <f t="shared" si="12"/>
        <v>-3.6499999999999311E-3</v>
      </c>
      <c r="L76">
        <f t="shared" si="13"/>
        <v>-2.2571428571427354E-3</v>
      </c>
      <c r="M76">
        <f t="shared" si="17"/>
        <v>-2.9535714285713333E-3</v>
      </c>
      <c r="N76">
        <f t="shared" si="18"/>
        <v>-8.7568149043996816E-5</v>
      </c>
      <c r="O76" s="3">
        <f t="shared" si="19"/>
        <v>-0.87568149043996812</v>
      </c>
      <c r="P76">
        <v>148</v>
      </c>
    </row>
    <row r="77" spans="1:16" x14ac:dyDescent="0.25">
      <c r="A77">
        <v>75</v>
      </c>
      <c r="B77">
        <v>4.0590000000000002</v>
      </c>
      <c r="C77" s="3">
        <v>3.7971380952380955</v>
      </c>
      <c r="D77" s="8">
        <f t="shared" si="14"/>
        <v>-0.26186190476190463</v>
      </c>
      <c r="E77" s="8">
        <f t="shared" si="15"/>
        <v>-0.26015238095238069</v>
      </c>
      <c r="F77" s="3">
        <v>31.1</v>
      </c>
      <c r="G77">
        <v>6279</v>
      </c>
      <c r="H77">
        <f t="shared" si="16"/>
        <v>-8.0907390476190404</v>
      </c>
      <c r="I77">
        <f t="shared" si="10"/>
        <v>-8.0907390476190404</v>
      </c>
      <c r="J77">
        <f t="shared" si="11"/>
        <v>-1.2885394246884918</v>
      </c>
      <c r="K77">
        <f t="shared" si="12"/>
        <v>-4.049999999999887E-3</v>
      </c>
      <c r="L77">
        <f t="shared" si="13"/>
        <v>-2.5999999999990475E-3</v>
      </c>
      <c r="M77">
        <f t="shared" si="17"/>
        <v>-3.3249999999994673E-3</v>
      </c>
      <c r="N77">
        <f t="shared" si="18"/>
        <v>-7.7332905100916698E-5</v>
      </c>
      <c r="O77" s="3">
        <f t="shared" si="19"/>
        <v>-0.77332905100916693</v>
      </c>
      <c r="P77">
        <v>150</v>
      </c>
    </row>
    <row r="78" spans="1:16" x14ac:dyDescent="0.25">
      <c r="A78">
        <v>76</v>
      </c>
      <c r="B78">
        <v>4.0528000000000004</v>
      </c>
      <c r="C78" s="3">
        <v>3.7943571428571436</v>
      </c>
      <c r="D78" s="8">
        <f t="shared" si="14"/>
        <v>-0.25844285714285675</v>
      </c>
      <c r="E78" s="8">
        <f t="shared" si="15"/>
        <v>-0.26055952380952374</v>
      </c>
      <c r="F78" s="3">
        <v>31.076000000000001</v>
      </c>
      <c r="G78" s="9">
        <v>6273.88</v>
      </c>
      <c r="H78">
        <f t="shared" si="16"/>
        <v>-8.0971477619047594</v>
      </c>
      <c r="I78">
        <f t="shared" si="10"/>
        <v>-8.0971477619047594</v>
      </c>
      <c r="J78">
        <f t="shared" si="11"/>
        <v>-1.2906124697802253</v>
      </c>
      <c r="K78">
        <f t="shared" si="12"/>
        <v>-2.5500000000002743E-3</v>
      </c>
      <c r="L78">
        <f t="shared" si="13"/>
        <v>-2.9571428571433245E-3</v>
      </c>
      <c r="M78">
        <f t="shared" si="17"/>
        <v>-2.7535714285717994E-3</v>
      </c>
      <c r="N78">
        <f t="shared" si="18"/>
        <v>-9.3531473038245018E-5</v>
      </c>
      <c r="O78" s="3">
        <f t="shared" si="19"/>
        <v>-0.93531473038245017</v>
      </c>
      <c r="P78">
        <v>152</v>
      </c>
    </row>
    <row r="79" spans="1:16" x14ac:dyDescent="0.25">
      <c r="A79">
        <v>77</v>
      </c>
      <c r="B79">
        <v>4.0538999999999996</v>
      </c>
      <c r="C79" s="3">
        <v>3.7912238095238089</v>
      </c>
      <c r="D79" s="8">
        <f t="shared" si="14"/>
        <v>-0.26267619047619073</v>
      </c>
      <c r="E79" s="8">
        <f t="shared" si="15"/>
        <v>-0.25904761904761875</v>
      </c>
      <c r="F79" s="3">
        <v>31.052</v>
      </c>
      <c r="G79" s="9">
        <v>6268.76</v>
      </c>
      <c r="H79">
        <f t="shared" si="16"/>
        <v>-8.0439466666666579</v>
      </c>
      <c r="I79">
        <f t="shared" si="10"/>
        <v>-8.0439466666666579</v>
      </c>
      <c r="J79">
        <f t="shared" si="11"/>
        <v>-1.283179873956996</v>
      </c>
      <c r="K79">
        <f t="shared" si="12"/>
        <v>-5.0000000000003375E-3</v>
      </c>
      <c r="L79">
        <f t="shared" si="13"/>
        <v>-3.4880952380953456E-3</v>
      </c>
      <c r="M79">
        <f t="shared" si="17"/>
        <v>-4.2440476190478416E-3</v>
      </c>
      <c r="N79">
        <f t="shared" si="18"/>
        <v>-6.033447736950409E-5</v>
      </c>
      <c r="O79" s="3">
        <f t="shared" si="19"/>
        <v>-0.60334477369504091</v>
      </c>
      <c r="P79">
        <v>154</v>
      </c>
    </row>
    <row r="80" spans="1:16" x14ac:dyDescent="0.25">
      <c r="A80">
        <v>78</v>
      </c>
      <c r="B80">
        <v>4.0427999999999997</v>
      </c>
      <c r="C80" s="3">
        <v>3.787380952380953</v>
      </c>
      <c r="D80" s="8">
        <f t="shared" si="14"/>
        <v>-0.25541904761904677</v>
      </c>
      <c r="E80" s="8">
        <f t="shared" si="15"/>
        <v>-0.25364523809523787</v>
      </c>
      <c r="F80" s="3">
        <v>31.027999999999999</v>
      </c>
      <c r="G80" s="9">
        <v>6263.64</v>
      </c>
      <c r="H80">
        <f t="shared" si="16"/>
        <v>-7.87010444761904</v>
      </c>
      <c r="I80">
        <f t="shared" si="10"/>
        <v>-7.87010444761904</v>
      </c>
      <c r="J80">
        <f t="shared" si="11"/>
        <v>-1.2564745814923972</v>
      </c>
      <c r="K80">
        <f t="shared" si="12"/>
        <v>-8.6499999999998245E-3</v>
      </c>
      <c r="L80">
        <f t="shared" si="13"/>
        <v>-3.2476190476189437E-3</v>
      </c>
      <c r="M80">
        <f t="shared" si="17"/>
        <v>-5.9488095238093841E-3</v>
      </c>
      <c r="N80">
        <f t="shared" si="18"/>
        <v>-4.2148479080010211E-5</v>
      </c>
      <c r="O80" s="3">
        <f t="shared" si="19"/>
        <v>-0.42148479080010209</v>
      </c>
      <c r="P80">
        <v>156</v>
      </c>
    </row>
    <row r="81" spans="1:16" x14ac:dyDescent="0.25">
      <c r="A81">
        <v>79</v>
      </c>
      <c r="B81">
        <v>4.0366</v>
      </c>
      <c r="C81" s="3">
        <v>3.784728571428571</v>
      </c>
      <c r="D81" s="8">
        <f t="shared" si="14"/>
        <v>-0.25187142857142897</v>
      </c>
      <c r="E81" s="8">
        <f t="shared" si="15"/>
        <v>-0.24943571428571487</v>
      </c>
      <c r="F81" s="3">
        <v>31.003999999999998</v>
      </c>
      <c r="G81" s="9">
        <v>6258.52</v>
      </c>
      <c r="H81">
        <f t="shared" si="16"/>
        <v>-7.7335048857143036</v>
      </c>
      <c r="I81">
        <f t="shared" si="10"/>
        <v>-7.7335048857143036</v>
      </c>
      <c r="J81">
        <f t="shared" si="11"/>
        <v>-1.2356763077715345</v>
      </c>
      <c r="K81">
        <f t="shared" si="12"/>
        <v>-7.1999999999996511E-3</v>
      </c>
      <c r="L81">
        <f t="shared" si="13"/>
        <v>-2.9904761904766541E-3</v>
      </c>
      <c r="M81">
        <f t="shared" si="17"/>
        <v>-5.0952380952381526E-3</v>
      </c>
      <c r="N81">
        <f t="shared" si="18"/>
        <v>-4.8394777871776436E-5</v>
      </c>
      <c r="O81" s="3">
        <f t="shared" si="19"/>
        <v>-0.48394777871776434</v>
      </c>
      <c r="P81">
        <v>158</v>
      </c>
    </row>
    <row r="82" spans="1:16" x14ac:dyDescent="0.25">
      <c r="A82">
        <v>80</v>
      </c>
      <c r="B82">
        <v>4.0284000000000004</v>
      </c>
      <c r="C82" s="3">
        <v>3.7813999999999997</v>
      </c>
      <c r="D82" s="8">
        <f t="shared" si="14"/>
        <v>-0.24700000000000077</v>
      </c>
      <c r="E82" s="8">
        <f t="shared" si="15"/>
        <v>-0.24846428571428603</v>
      </c>
      <c r="F82" s="3">
        <v>30.979999999999997</v>
      </c>
      <c r="G82" s="9">
        <v>6253.4000000000005</v>
      </c>
      <c r="H82">
        <f t="shared" si="16"/>
        <v>-7.6974235714285806</v>
      </c>
      <c r="I82">
        <f t="shared" si="10"/>
        <v>-7.6974235714285806</v>
      </c>
      <c r="J82">
        <f t="shared" si="11"/>
        <v>-1.2309181519539099</v>
      </c>
      <c r="K82">
        <f t="shared" si="12"/>
        <v>-5.3499999999999659E-3</v>
      </c>
      <c r="L82">
        <f t="shared" si="13"/>
        <v>-4.3785714285711208E-3</v>
      </c>
      <c r="M82">
        <f t="shared" si="17"/>
        <v>-4.8642857142855433E-3</v>
      </c>
      <c r="N82">
        <f t="shared" si="18"/>
        <v>-5.0497323960130614E-5</v>
      </c>
      <c r="O82" s="3">
        <f t="shared" si="19"/>
        <v>-0.50497323960130613</v>
      </c>
      <c r="P82">
        <v>160</v>
      </c>
    </row>
    <row r="83" spans="1:16" x14ac:dyDescent="0.25">
      <c r="A83">
        <v>81</v>
      </c>
      <c r="B83">
        <v>4.0259</v>
      </c>
      <c r="C83" s="3">
        <v>3.7759714285714288</v>
      </c>
      <c r="D83" s="8">
        <f t="shared" si="14"/>
        <v>-0.24992857142857128</v>
      </c>
      <c r="E83" s="8">
        <f t="shared" si="15"/>
        <v>-0.25098809523809473</v>
      </c>
      <c r="F83" s="3">
        <v>30.955999999999996</v>
      </c>
      <c r="G83" s="9">
        <v>6248.2800000000007</v>
      </c>
      <c r="H83">
        <f t="shared" si="16"/>
        <v>-7.76958747619046</v>
      </c>
      <c r="I83">
        <f t="shared" si="10"/>
        <v>-7.76958747619046</v>
      </c>
      <c r="J83">
        <f t="shared" si="11"/>
        <v>-1.2434762008409448</v>
      </c>
      <c r="K83">
        <f t="shared" si="12"/>
        <v>-2.9500000000002302E-3</v>
      </c>
      <c r="L83">
        <f t="shared" si="13"/>
        <v>-5.4738095238089368E-3</v>
      </c>
      <c r="M83">
        <f t="shared" si="17"/>
        <v>-4.2119047619045835E-3</v>
      </c>
      <c r="N83">
        <f t="shared" si="18"/>
        <v>-5.8913822111756157E-5</v>
      </c>
      <c r="O83" s="3">
        <f t="shared" si="19"/>
        <v>-0.58913822111756153</v>
      </c>
      <c r="P83">
        <v>162</v>
      </c>
    </row>
    <row r="84" spans="1:16" x14ac:dyDescent="0.25">
      <c r="A84">
        <v>82</v>
      </c>
      <c r="B84">
        <v>4.0225</v>
      </c>
      <c r="C84" s="3">
        <v>3.7704523809523818</v>
      </c>
      <c r="D84" s="8">
        <f t="shared" si="14"/>
        <v>-0.25204761904761819</v>
      </c>
      <c r="E84" s="8">
        <f t="shared" si="15"/>
        <v>-0.25320714285714252</v>
      </c>
      <c r="F84" s="3">
        <v>30.931999999999995</v>
      </c>
      <c r="G84" s="9">
        <v>6243.1600000000008</v>
      </c>
      <c r="H84">
        <f t="shared" si="16"/>
        <v>-7.8322033428571309</v>
      </c>
      <c r="I84">
        <f t="shared" si="10"/>
        <v>-7.8322033428571309</v>
      </c>
      <c r="J84">
        <f t="shared" si="11"/>
        <v>-1.2545254875507161</v>
      </c>
      <c r="K84">
        <f t="shared" si="12"/>
        <v>-3.4000000000000696E-3</v>
      </c>
      <c r="L84">
        <f t="shared" si="13"/>
        <v>-5.6190476190478567E-3</v>
      </c>
      <c r="M84">
        <f t="shared" si="17"/>
        <v>-4.5095238095239631E-3</v>
      </c>
      <c r="N84">
        <f t="shared" si="18"/>
        <v>-5.5514581315812751E-5</v>
      </c>
      <c r="O84" s="3">
        <f t="shared" si="19"/>
        <v>-0.5551458131581275</v>
      </c>
      <c r="P84">
        <v>164</v>
      </c>
    </row>
    <row r="85" spans="1:16" x14ac:dyDescent="0.25">
      <c r="A85">
        <v>83</v>
      </c>
      <c r="B85">
        <v>4.0190999999999999</v>
      </c>
      <c r="C85" s="3">
        <v>3.764733333333333</v>
      </c>
      <c r="D85" s="8">
        <f t="shared" si="14"/>
        <v>-0.25436666666666685</v>
      </c>
      <c r="E85" s="8">
        <f t="shared" si="15"/>
        <v>-0.25604047619047599</v>
      </c>
      <c r="F85" s="3">
        <v>30.907999999999994</v>
      </c>
      <c r="G85" s="9">
        <v>6238.0400000000009</v>
      </c>
      <c r="H85">
        <f t="shared" si="16"/>
        <v>-7.9136990380952303</v>
      </c>
      <c r="I85">
        <f t="shared" si="10"/>
        <v>-7.9136990380952303</v>
      </c>
      <c r="J85">
        <f t="shared" si="11"/>
        <v>-1.2686194763251324</v>
      </c>
      <c r="K85">
        <f t="shared" si="12"/>
        <v>-2.8000000000001357E-3</v>
      </c>
      <c r="L85">
        <f t="shared" si="13"/>
        <v>-5.6333333333336011E-3</v>
      </c>
      <c r="M85">
        <f t="shared" si="17"/>
        <v>-4.2166666666668684E-3</v>
      </c>
      <c r="N85">
        <f t="shared" si="18"/>
        <v>-6.0037191457541662E-5</v>
      </c>
      <c r="O85" s="3">
        <f t="shared" si="19"/>
        <v>-0.60037191457541661</v>
      </c>
      <c r="P85">
        <v>166</v>
      </c>
    </row>
    <row r="86" spans="1:16" x14ac:dyDescent="0.25">
      <c r="A86">
        <v>84</v>
      </c>
      <c r="B86">
        <v>4.0168999999999997</v>
      </c>
      <c r="C86" s="3">
        <v>3.7591857142857146</v>
      </c>
      <c r="D86" s="8">
        <f t="shared" si="14"/>
        <v>-0.25771428571428512</v>
      </c>
      <c r="E86" s="8">
        <f t="shared" si="15"/>
        <v>-0.25779047619047635</v>
      </c>
      <c r="F86" s="3">
        <v>30.883999999999993</v>
      </c>
      <c r="G86" s="9">
        <v>6232.920000000001</v>
      </c>
      <c r="H86">
        <f t="shared" si="16"/>
        <v>-7.9616010666666694</v>
      </c>
      <c r="I86">
        <f t="shared" si="10"/>
        <v>-7.9616010666666694</v>
      </c>
      <c r="J86">
        <f t="shared" si="11"/>
        <v>-1.2773469042867016</v>
      </c>
      <c r="K86">
        <f t="shared" si="12"/>
        <v>-3.0999999999998806E-3</v>
      </c>
      <c r="L86">
        <f t="shared" si="13"/>
        <v>-4.850000000000243E-3</v>
      </c>
      <c r="M86">
        <f t="shared" si="17"/>
        <v>-3.9750000000000618E-3</v>
      </c>
      <c r="N86">
        <f t="shared" si="18"/>
        <v>-6.4125385766659122E-5</v>
      </c>
      <c r="O86" s="3">
        <f t="shared" si="19"/>
        <v>-0.64125385766659126</v>
      </c>
      <c r="P86">
        <v>168</v>
      </c>
    </row>
    <row r="87" spans="1:16" x14ac:dyDescent="0.25">
      <c r="A87">
        <v>85</v>
      </c>
      <c r="B87">
        <v>4.0129000000000001</v>
      </c>
      <c r="C87" s="3">
        <v>3.7550333333333326</v>
      </c>
      <c r="D87" s="8">
        <f t="shared" si="14"/>
        <v>-0.25786666666666758</v>
      </c>
      <c r="E87" s="8">
        <f t="shared" si="15"/>
        <v>-0.2568714285714282</v>
      </c>
      <c r="F87" s="3">
        <v>30.859999999999992</v>
      </c>
      <c r="G87" s="9">
        <v>6227.8000000000011</v>
      </c>
      <c r="H87">
        <f t="shared" si="16"/>
        <v>-7.9270522857142725</v>
      </c>
      <c r="I87">
        <f t="shared" si="10"/>
        <v>-7.9270522857142725</v>
      </c>
      <c r="J87">
        <f t="shared" si="11"/>
        <v>-1.272849527235022</v>
      </c>
      <c r="K87">
        <f t="shared" si="12"/>
        <v>-4.750000000000032E-3</v>
      </c>
      <c r="L87">
        <f t="shared" si="13"/>
        <v>-3.8309523809518797E-3</v>
      </c>
      <c r="M87">
        <f t="shared" si="17"/>
        <v>-4.2904761904759559E-3</v>
      </c>
      <c r="N87">
        <f t="shared" si="18"/>
        <v>-5.9201107769289191E-5</v>
      </c>
      <c r="O87" s="3">
        <f t="shared" si="19"/>
        <v>-0.59201107769289196</v>
      </c>
      <c r="P87">
        <v>170</v>
      </c>
    </row>
    <row r="88" spans="1:16" x14ac:dyDescent="0.25">
      <c r="A88">
        <v>86</v>
      </c>
      <c r="B88">
        <v>4.0073999999999996</v>
      </c>
      <c r="C88" s="3">
        <v>3.7515238095238108</v>
      </c>
      <c r="D88" s="8">
        <f t="shared" si="14"/>
        <v>-0.25587619047618881</v>
      </c>
      <c r="E88" s="8">
        <f t="shared" si="15"/>
        <v>-0.25283809523809464</v>
      </c>
      <c r="F88" s="3">
        <v>30.835999999999991</v>
      </c>
      <c r="G88" s="9">
        <v>6222.6800000000012</v>
      </c>
      <c r="H88">
        <f t="shared" si="16"/>
        <v>-7.7965155047618842</v>
      </c>
      <c r="I88">
        <f t="shared" si="10"/>
        <v>-7.7965155047618842</v>
      </c>
      <c r="J88">
        <f t="shared" si="11"/>
        <v>-1.252919241349689</v>
      </c>
      <c r="K88">
        <f t="shared" si="12"/>
        <v>-7.5500000000001677E-3</v>
      </c>
      <c r="L88">
        <f t="shared" si="13"/>
        <v>-3.5166666666666124E-3</v>
      </c>
      <c r="M88">
        <f t="shared" si="17"/>
        <v>-5.5333333333333901E-3</v>
      </c>
      <c r="N88">
        <f t="shared" si="18"/>
        <v>-4.5185023187205575E-5</v>
      </c>
      <c r="O88" s="3">
        <f t="shared" si="19"/>
        <v>-0.45185023187205575</v>
      </c>
      <c r="P88">
        <v>172</v>
      </c>
    </row>
    <row r="89" spans="1:16" x14ac:dyDescent="0.25">
      <c r="A89">
        <v>87</v>
      </c>
      <c r="B89">
        <v>3.9977999999999998</v>
      </c>
      <c r="C89" s="3">
        <v>3.7479999999999993</v>
      </c>
      <c r="D89" s="8">
        <f t="shared" si="14"/>
        <v>-0.24980000000000047</v>
      </c>
      <c r="E89" s="8">
        <f t="shared" si="15"/>
        <v>-0.24364047619047624</v>
      </c>
      <c r="F89" s="3">
        <v>30.811999999999991</v>
      </c>
      <c r="G89" s="9">
        <v>6217.5600000000013</v>
      </c>
      <c r="H89">
        <f t="shared" si="16"/>
        <v>-7.5070503523809515</v>
      </c>
      <c r="I89">
        <f t="shared" ref="I89:I152" si="20">H89</f>
        <v>-7.5070503523809515</v>
      </c>
      <c r="J89">
        <f t="shared" ref="J89:J152" si="21">(I89/G89)*1000</f>
        <v>-1.2073949189683655</v>
      </c>
      <c r="K89">
        <f t="shared" ref="K89:K152" si="22">(B90-B88)/(A90-A88)</f>
        <v>-1.1999999999999789E-2</v>
      </c>
      <c r="L89">
        <f t="shared" ref="L89:L152" si="23">(C90-C88)/(A90-A88)</f>
        <v>-2.8023809523813892E-3</v>
      </c>
      <c r="M89">
        <f t="shared" si="17"/>
        <v>-7.4011904761905889E-3</v>
      </c>
      <c r="N89">
        <f t="shared" si="18"/>
        <v>-3.2554124985973564E-5</v>
      </c>
      <c r="O89" s="3">
        <f t="shared" si="19"/>
        <v>-0.32554124985973565</v>
      </c>
      <c r="P89">
        <v>174</v>
      </c>
    </row>
    <row r="90" spans="1:16" x14ac:dyDescent="0.25">
      <c r="A90">
        <v>88</v>
      </c>
      <c r="B90">
        <v>3.9834000000000001</v>
      </c>
      <c r="C90" s="3">
        <v>3.745919047619048</v>
      </c>
      <c r="D90" s="8">
        <f t="shared" ref="D90:D153" si="24">C90-B90</f>
        <v>-0.23748095238095202</v>
      </c>
      <c r="E90" s="8">
        <f t="shared" si="15"/>
        <v>-0.22888333333333377</v>
      </c>
      <c r="F90" s="3">
        <v>30.78799999999999</v>
      </c>
      <c r="G90" s="9">
        <v>6212.4400000000014</v>
      </c>
      <c r="H90">
        <f t="shared" si="16"/>
        <v>-7.0468600666666781</v>
      </c>
      <c r="I90">
        <f t="shared" si="20"/>
        <v>-7.0468600666666781</v>
      </c>
      <c r="J90">
        <f t="shared" si="21"/>
        <v>-1.134314386403197</v>
      </c>
      <c r="K90">
        <f t="shared" si="22"/>
        <v>-1.6749999999999821E-2</v>
      </c>
      <c r="L90">
        <f t="shared" si="23"/>
        <v>-1.9928571428573516E-3</v>
      </c>
      <c r="M90">
        <f t="shared" si="17"/>
        <v>-9.3714285714285861E-3</v>
      </c>
      <c r="N90">
        <f t="shared" si="18"/>
        <v>-2.4153824411435359E-5</v>
      </c>
      <c r="O90" s="3">
        <f t="shared" si="19"/>
        <v>-0.2415382441143536</v>
      </c>
      <c r="P90">
        <v>176</v>
      </c>
    </row>
    <row r="91" spans="1:16" x14ac:dyDescent="0.25">
      <c r="A91">
        <v>89</v>
      </c>
      <c r="B91">
        <v>3.9643000000000002</v>
      </c>
      <c r="C91" s="3">
        <v>3.7440142857142846</v>
      </c>
      <c r="D91" s="8">
        <f t="shared" si="24"/>
        <v>-0.22028571428571553</v>
      </c>
      <c r="E91" s="8">
        <f t="shared" si="15"/>
        <v>-0.21681904761904858</v>
      </c>
      <c r="F91" s="3">
        <v>30.763999999999989</v>
      </c>
      <c r="G91" s="9">
        <v>6207.3200000000015</v>
      </c>
      <c r="H91">
        <f t="shared" si="16"/>
        <v>-6.6702211809524083</v>
      </c>
      <c r="I91">
        <f t="shared" si="20"/>
        <v>-6.6702211809524083</v>
      </c>
      <c r="J91">
        <f t="shared" si="21"/>
        <v>-1.0745734360323629</v>
      </c>
      <c r="K91">
        <f t="shared" si="22"/>
        <v>-1.4799999999999924E-2</v>
      </c>
      <c r="L91">
        <f t="shared" si="23"/>
        <v>-2.7357142857147299E-3</v>
      </c>
      <c r="M91">
        <f t="shared" si="17"/>
        <v>-8.7678571428573271E-3</v>
      </c>
      <c r="N91">
        <f t="shared" si="18"/>
        <v>-2.4456871360824282E-5</v>
      </c>
      <c r="O91" s="3">
        <f t="shared" si="19"/>
        <v>-0.24456871360824281</v>
      </c>
      <c r="P91">
        <v>178</v>
      </c>
    </row>
    <row r="92" spans="1:16" x14ac:dyDescent="0.25">
      <c r="A92">
        <v>90</v>
      </c>
      <c r="B92">
        <v>3.9538000000000002</v>
      </c>
      <c r="C92" s="3">
        <v>3.7404476190476186</v>
      </c>
      <c r="D92" s="8">
        <f t="shared" si="24"/>
        <v>-0.21335238095238163</v>
      </c>
      <c r="E92" s="8">
        <f t="shared" si="15"/>
        <v>-0.21288095238095228</v>
      </c>
      <c r="F92" s="3">
        <v>30.739999999999988</v>
      </c>
      <c r="G92" s="9">
        <v>6202.2000000000016</v>
      </c>
      <c r="H92">
        <f t="shared" si="16"/>
        <v>-6.5439604761904704</v>
      </c>
      <c r="I92">
        <f t="shared" si="20"/>
        <v>-6.5439604761904704</v>
      </c>
      <c r="J92">
        <f t="shared" si="21"/>
        <v>-1.055103104735492</v>
      </c>
      <c r="K92">
        <f t="shared" si="22"/>
        <v>-7.1499999999999897E-3</v>
      </c>
      <c r="L92">
        <f t="shared" si="23"/>
        <v>-3.2119047619036944E-3</v>
      </c>
      <c r="M92">
        <f t="shared" si="17"/>
        <v>-5.1809523809518421E-3</v>
      </c>
      <c r="N92">
        <f t="shared" si="18"/>
        <v>-4.0639051611609912E-5</v>
      </c>
      <c r="O92" s="3">
        <f t="shared" si="19"/>
        <v>-0.40639051611609911</v>
      </c>
      <c r="P92">
        <v>180</v>
      </c>
    </row>
    <row r="93" spans="1:16" x14ac:dyDescent="0.25">
      <c r="A93">
        <v>91</v>
      </c>
      <c r="B93">
        <v>3.95</v>
      </c>
      <c r="C93" s="3">
        <v>3.7375904761904772</v>
      </c>
      <c r="D93" s="8">
        <f t="shared" si="24"/>
        <v>-0.21240952380952294</v>
      </c>
      <c r="E93" s="8">
        <f t="shared" si="15"/>
        <v>-0.21404999999999896</v>
      </c>
      <c r="F93" s="3">
        <v>30.715999999999987</v>
      </c>
      <c r="G93" s="9">
        <v>6197.0800000000017</v>
      </c>
      <c r="H93">
        <f t="shared" si="16"/>
        <v>-6.5747597999999652</v>
      </c>
      <c r="I93">
        <f t="shared" si="20"/>
        <v>-6.5747597999999652</v>
      </c>
      <c r="J93">
        <f t="shared" si="21"/>
        <v>-1.0609447998089363</v>
      </c>
      <c r="K93">
        <f t="shared" si="22"/>
        <v>-2.4000000000001798E-3</v>
      </c>
      <c r="L93">
        <f t="shared" si="23"/>
        <v>-3.5690476190468612E-3</v>
      </c>
      <c r="M93">
        <f t="shared" si="17"/>
        <v>-2.9845238095235205E-3</v>
      </c>
      <c r="N93">
        <f t="shared" si="18"/>
        <v>-7.0937520523599757E-5</v>
      </c>
      <c r="O93" s="3">
        <f t="shared" si="19"/>
        <v>-0.70937520523599762</v>
      </c>
      <c r="P93">
        <v>182</v>
      </c>
    </row>
    <row r="94" spans="1:16" x14ac:dyDescent="0.25">
      <c r="A94">
        <v>92</v>
      </c>
      <c r="B94">
        <v>3.9489999999999998</v>
      </c>
      <c r="C94" s="3">
        <v>3.7333095238095249</v>
      </c>
      <c r="D94" s="8">
        <f t="shared" si="24"/>
        <v>-0.21569047619047499</v>
      </c>
      <c r="E94" s="8">
        <f t="shared" si="15"/>
        <v>-0.21535952380952295</v>
      </c>
      <c r="F94" s="3">
        <v>30.691999999999986</v>
      </c>
      <c r="G94" s="9">
        <v>6191.9600000000019</v>
      </c>
      <c r="H94">
        <f t="shared" si="16"/>
        <v>-6.609814504761875</v>
      </c>
      <c r="I94">
        <f t="shared" si="20"/>
        <v>-6.609814504761875</v>
      </c>
      <c r="J94">
        <f t="shared" si="21"/>
        <v>-1.0674833985946086</v>
      </c>
      <c r="K94">
        <f t="shared" si="22"/>
        <v>-2.5000000000001688E-3</v>
      </c>
      <c r="L94">
        <f t="shared" si="23"/>
        <v>-3.8095238095241513E-3</v>
      </c>
      <c r="M94">
        <f t="shared" si="17"/>
        <v>-3.15476190476216E-3</v>
      </c>
      <c r="N94">
        <f t="shared" si="18"/>
        <v>-6.7523167336818254E-5</v>
      </c>
      <c r="O94" s="3">
        <f t="shared" si="19"/>
        <v>-0.67523167336818257</v>
      </c>
      <c r="P94">
        <v>184</v>
      </c>
    </row>
    <row r="95" spans="1:16" x14ac:dyDescent="0.25">
      <c r="A95">
        <v>93</v>
      </c>
      <c r="B95">
        <v>3.9449999999999998</v>
      </c>
      <c r="C95" s="3">
        <v>3.7299714285714289</v>
      </c>
      <c r="D95" s="8">
        <f t="shared" si="24"/>
        <v>-0.2150285714285709</v>
      </c>
      <c r="E95" s="8">
        <f t="shared" si="15"/>
        <v>-0.21529285714285695</v>
      </c>
      <c r="F95" s="3">
        <v>30.667999999999985</v>
      </c>
      <c r="G95" s="9">
        <v>6186.840000000002</v>
      </c>
      <c r="H95">
        <f t="shared" si="16"/>
        <v>-6.6026013428571337</v>
      </c>
      <c r="I95">
        <f t="shared" si="20"/>
        <v>-6.6026013428571337</v>
      </c>
      <c r="J95">
        <f t="shared" si="21"/>
        <v>-1.0672009204791351</v>
      </c>
      <c r="K95">
        <f t="shared" si="22"/>
        <v>-4.249999999999865E-3</v>
      </c>
      <c r="L95">
        <f t="shared" si="23"/>
        <v>-4.1833333333338718E-3</v>
      </c>
      <c r="M95">
        <f t="shared" si="17"/>
        <v>-4.2166666666668684E-3</v>
      </c>
      <c r="N95">
        <f t="shared" si="18"/>
        <v>-5.0505094066559709E-5</v>
      </c>
      <c r="O95" s="3">
        <f t="shared" si="19"/>
        <v>-0.50505094066559708</v>
      </c>
      <c r="P95">
        <v>186</v>
      </c>
    </row>
    <row r="96" spans="1:16" x14ac:dyDescent="0.25">
      <c r="A96">
        <v>94</v>
      </c>
      <c r="B96">
        <v>3.9405000000000001</v>
      </c>
      <c r="C96" s="3">
        <v>3.7249428571428571</v>
      </c>
      <c r="D96" s="8">
        <f t="shared" si="24"/>
        <v>-0.215557142857143</v>
      </c>
      <c r="E96" s="8">
        <f t="shared" si="15"/>
        <v>-0.21382142857142838</v>
      </c>
      <c r="F96" s="3">
        <v>30.643999999999988</v>
      </c>
      <c r="G96" s="9">
        <v>6181.7200000000021</v>
      </c>
      <c r="H96">
        <f t="shared" si="16"/>
        <v>-6.5523438571428487</v>
      </c>
      <c r="I96">
        <f t="shared" si="20"/>
        <v>-6.5523438571428487</v>
      </c>
      <c r="J96">
        <f t="shared" si="21"/>
        <v>-1.059954811467172</v>
      </c>
      <c r="K96">
        <f t="shared" si="22"/>
        <v>-6.2499999999998668E-3</v>
      </c>
      <c r="L96">
        <f t="shared" si="23"/>
        <v>-4.7785714285712988E-3</v>
      </c>
      <c r="M96">
        <f t="shared" si="17"/>
        <v>-5.5142857142855828E-3</v>
      </c>
      <c r="N96">
        <f t="shared" si="18"/>
        <v>-3.8358034894429124E-5</v>
      </c>
      <c r="O96" s="3">
        <f t="shared" si="19"/>
        <v>-0.38358034894429122</v>
      </c>
      <c r="P96">
        <v>188</v>
      </c>
    </row>
    <row r="97" spans="1:16" x14ac:dyDescent="0.25">
      <c r="A97">
        <v>95</v>
      </c>
      <c r="B97">
        <v>3.9325000000000001</v>
      </c>
      <c r="C97" s="3">
        <v>3.7204142857142863</v>
      </c>
      <c r="D97" s="8">
        <f t="shared" si="24"/>
        <v>-0.21208571428571377</v>
      </c>
      <c r="E97" s="8">
        <f t="shared" si="15"/>
        <v>-0.208935714285714</v>
      </c>
      <c r="F97" s="3">
        <v>30.619999999999994</v>
      </c>
      <c r="G97" s="9">
        <v>6176.6000000000022</v>
      </c>
      <c r="H97">
        <f t="shared" si="16"/>
        <v>-6.3976115714285617</v>
      </c>
      <c r="I97">
        <f t="shared" si="20"/>
        <v>-6.3976115714285617</v>
      </c>
      <c r="J97">
        <f t="shared" si="21"/>
        <v>-1.0357820761306478</v>
      </c>
      <c r="K97">
        <f t="shared" si="22"/>
        <v>-8.9500000000000135E-3</v>
      </c>
      <c r="L97">
        <f t="shared" si="23"/>
        <v>-4.0642857142856315E-3</v>
      </c>
      <c r="M97">
        <f t="shared" si="17"/>
        <v>-6.5071428571428225E-3</v>
      </c>
      <c r="N97">
        <f t="shared" si="18"/>
        <v>-3.1764082408925735E-5</v>
      </c>
      <c r="O97" s="3">
        <f t="shared" si="19"/>
        <v>-0.31764082408925737</v>
      </c>
      <c r="P97">
        <v>190</v>
      </c>
    </row>
    <row r="98" spans="1:16" x14ac:dyDescent="0.25">
      <c r="A98">
        <v>96</v>
      </c>
      <c r="B98">
        <v>3.9226000000000001</v>
      </c>
      <c r="C98" s="3">
        <v>3.7168142857142858</v>
      </c>
      <c r="D98" s="8">
        <f t="shared" si="24"/>
        <v>-0.20578571428571424</v>
      </c>
      <c r="E98" s="8">
        <f t="shared" si="15"/>
        <v>-0.20590714285714284</v>
      </c>
      <c r="F98" s="3">
        <v>30.595999999999993</v>
      </c>
      <c r="G98" s="9">
        <v>6171.4800000000014</v>
      </c>
      <c r="H98">
        <f t="shared" si="16"/>
        <v>-6.2999349428571412</v>
      </c>
      <c r="I98">
        <f t="shared" si="20"/>
        <v>-6.2999349428571412</v>
      </c>
      <c r="J98">
        <f t="shared" si="21"/>
        <v>-1.0208142848809587</v>
      </c>
      <c r="K98">
        <f t="shared" si="22"/>
        <v>-6.5500000000000558E-3</v>
      </c>
      <c r="L98">
        <f t="shared" si="23"/>
        <v>-3.5214285714288973E-3</v>
      </c>
      <c r="M98">
        <f t="shared" si="17"/>
        <v>-5.0357142857144765E-3</v>
      </c>
      <c r="N98">
        <f t="shared" si="18"/>
        <v>-4.0452365391828344E-5</v>
      </c>
      <c r="O98" s="3">
        <f t="shared" si="19"/>
        <v>-0.40452365391828343</v>
      </c>
      <c r="P98">
        <v>192</v>
      </c>
    </row>
    <row r="99" spans="1:16" x14ac:dyDescent="0.25">
      <c r="A99">
        <v>97</v>
      </c>
      <c r="B99">
        <v>3.9194</v>
      </c>
      <c r="C99" s="3">
        <v>3.7133714285714285</v>
      </c>
      <c r="D99" s="8">
        <f t="shared" si="24"/>
        <v>-0.20602857142857145</v>
      </c>
      <c r="E99" s="8">
        <f t="shared" si="15"/>
        <v>-0.20629523809523809</v>
      </c>
      <c r="F99" s="3">
        <v>30.571999999999992</v>
      </c>
      <c r="G99" s="9">
        <v>6166.3600000000006</v>
      </c>
      <c r="H99">
        <f t="shared" si="16"/>
        <v>-6.3068580190476169</v>
      </c>
      <c r="I99">
        <f t="shared" si="20"/>
        <v>-6.3068580190476169</v>
      </c>
      <c r="J99">
        <f t="shared" si="21"/>
        <v>-1.0227845956200443</v>
      </c>
      <c r="K99">
        <f t="shared" si="22"/>
        <v>-3.2000000000000917E-3</v>
      </c>
      <c r="L99">
        <f t="shared" si="23"/>
        <v>-3.5880952380953346E-3</v>
      </c>
      <c r="M99">
        <f t="shared" si="17"/>
        <v>-3.3940476190477131E-3</v>
      </c>
      <c r="N99">
        <f t="shared" si="18"/>
        <v>-6.0134611715692549E-5</v>
      </c>
      <c r="O99" s="3">
        <f t="shared" si="19"/>
        <v>-0.60134611715692554</v>
      </c>
      <c r="P99">
        <v>194</v>
      </c>
    </row>
    <row r="100" spans="1:16" x14ac:dyDescent="0.25">
      <c r="A100">
        <v>98</v>
      </c>
      <c r="B100">
        <v>3.9161999999999999</v>
      </c>
      <c r="C100" s="3">
        <v>3.7096380952380952</v>
      </c>
      <c r="D100" s="8">
        <f t="shared" si="24"/>
        <v>-0.20656190476190472</v>
      </c>
      <c r="E100" s="8">
        <f t="shared" si="15"/>
        <v>-0.20271904761904769</v>
      </c>
      <c r="F100" s="3">
        <v>30.547999999999995</v>
      </c>
      <c r="G100" s="9">
        <v>6161.2400000000007</v>
      </c>
      <c r="H100">
        <f t="shared" si="16"/>
        <v>-6.1926614666666673</v>
      </c>
      <c r="I100">
        <f t="shared" si="20"/>
        <v>-6.1926614666666673</v>
      </c>
      <c r="J100">
        <f t="shared" si="21"/>
        <v>-1.0050998608505215</v>
      </c>
      <c r="K100">
        <f t="shared" si="22"/>
        <v>-6.8500000000000227E-3</v>
      </c>
      <c r="L100">
        <f t="shared" si="23"/>
        <v>-3.2738095238096232E-3</v>
      </c>
      <c r="M100">
        <f t="shared" si="17"/>
        <v>-5.061904761904823E-3</v>
      </c>
      <c r="N100">
        <f t="shared" si="18"/>
        <v>-3.9623561337112294E-5</v>
      </c>
      <c r="O100" s="3">
        <f t="shared" si="19"/>
        <v>-0.39623561337112295</v>
      </c>
      <c r="P100">
        <v>196</v>
      </c>
    </row>
    <row r="101" spans="1:16" x14ac:dyDescent="0.25">
      <c r="A101">
        <v>99</v>
      </c>
      <c r="B101">
        <v>3.9056999999999999</v>
      </c>
      <c r="C101" s="3">
        <v>3.7068238095238093</v>
      </c>
      <c r="D101" s="8">
        <f t="shared" si="24"/>
        <v>-0.19887619047619065</v>
      </c>
      <c r="E101" s="8">
        <f t="shared" si="15"/>
        <v>-0.19943095238095276</v>
      </c>
      <c r="F101" s="3">
        <v>30.524000000000001</v>
      </c>
      <c r="G101" s="9">
        <v>6156.1200000000008</v>
      </c>
      <c r="H101">
        <f t="shared" si="16"/>
        <v>-6.0874303904762019</v>
      </c>
      <c r="I101">
        <f t="shared" si="20"/>
        <v>-6.0874303904762019</v>
      </c>
      <c r="J101">
        <f t="shared" si="21"/>
        <v>-0.98884206131072838</v>
      </c>
      <c r="K101">
        <f t="shared" si="22"/>
        <v>-6.6500000000000448E-3</v>
      </c>
      <c r="L101">
        <f t="shared" si="23"/>
        <v>-3.3619047619051212E-3</v>
      </c>
      <c r="M101">
        <f t="shared" si="17"/>
        <v>-5.005952380952583E-3</v>
      </c>
      <c r="N101">
        <f t="shared" si="18"/>
        <v>-3.9418353613279772E-5</v>
      </c>
      <c r="O101" s="3">
        <f t="shared" si="19"/>
        <v>-0.39418353613279772</v>
      </c>
      <c r="P101">
        <v>198</v>
      </c>
    </row>
    <row r="102" spans="1:16" x14ac:dyDescent="0.25">
      <c r="A102">
        <v>100</v>
      </c>
      <c r="B102">
        <v>3.9028999999999998</v>
      </c>
      <c r="C102" s="3">
        <v>3.7029142857142849</v>
      </c>
      <c r="D102" s="8">
        <f t="shared" si="24"/>
        <v>-0.19998571428571488</v>
      </c>
      <c r="E102" s="8">
        <f t="shared" si="15"/>
        <v>-0.20073809523809483</v>
      </c>
      <c r="F102" s="3">
        <v>30.5</v>
      </c>
      <c r="G102">
        <v>6151</v>
      </c>
      <c r="H102">
        <f t="shared" si="16"/>
        <v>-6.1225119047618923</v>
      </c>
      <c r="I102">
        <f t="shared" si="20"/>
        <v>-6.1225119047618923</v>
      </c>
      <c r="J102">
        <f t="shared" si="21"/>
        <v>-0.99536854247470208</v>
      </c>
      <c r="K102">
        <f t="shared" si="22"/>
        <v>-2.1999999999999797E-3</v>
      </c>
      <c r="L102">
        <f t="shared" si="23"/>
        <v>-3.5071428571420427E-3</v>
      </c>
      <c r="M102">
        <f t="shared" si="17"/>
        <v>-2.8535714285710112E-3</v>
      </c>
      <c r="N102">
        <f t="shared" si="18"/>
        <v>-6.9607081862025147E-5</v>
      </c>
      <c r="O102" s="3">
        <f t="shared" si="19"/>
        <v>-0.69607081862025144</v>
      </c>
      <c r="P102">
        <v>200</v>
      </c>
    </row>
    <row r="103" spans="1:16" x14ac:dyDescent="0.25">
      <c r="A103">
        <v>101</v>
      </c>
      <c r="B103">
        <v>3.9013</v>
      </c>
      <c r="C103" s="3">
        <v>3.6998095238095252</v>
      </c>
      <c r="D103" s="8">
        <f t="shared" si="24"/>
        <v>-0.20149047619047478</v>
      </c>
      <c r="E103" s="8">
        <f t="shared" si="15"/>
        <v>-0.20073333333333254</v>
      </c>
      <c r="F103" s="3">
        <v>30.472000000000001</v>
      </c>
      <c r="G103" s="9">
        <v>6146.6</v>
      </c>
      <c r="H103">
        <f t="shared" si="16"/>
        <v>-6.1167461333333097</v>
      </c>
      <c r="I103">
        <f t="shared" si="20"/>
        <v>-6.1167461333333097</v>
      </c>
      <c r="J103">
        <f t="shared" si="21"/>
        <v>-0.99514302758164008</v>
      </c>
      <c r="K103">
        <f t="shared" si="22"/>
        <v>-2.9500000000000082E-3</v>
      </c>
      <c r="L103">
        <f t="shared" si="23"/>
        <v>-2.9452380952377233E-3</v>
      </c>
      <c r="M103">
        <f t="shared" si="17"/>
        <v>-2.9476190476188657E-3</v>
      </c>
      <c r="N103">
        <f t="shared" si="18"/>
        <v>-6.7370910095846463E-5</v>
      </c>
      <c r="O103" s="3">
        <f t="shared" si="19"/>
        <v>-0.67370910095846459</v>
      </c>
      <c r="P103">
        <v>202</v>
      </c>
    </row>
    <row r="104" spans="1:16" x14ac:dyDescent="0.25">
      <c r="A104">
        <v>102</v>
      </c>
      <c r="B104">
        <v>3.8969999999999998</v>
      </c>
      <c r="C104" s="3">
        <v>3.6970238095238095</v>
      </c>
      <c r="D104" s="8">
        <f t="shared" si="24"/>
        <v>-0.19997619047619031</v>
      </c>
      <c r="E104" s="8">
        <f t="shared" si="15"/>
        <v>-0.20157857142857094</v>
      </c>
      <c r="F104" s="3">
        <v>30.444000000000006</v>
      </c>
      <c r="G104" s="9">
        <v>6142.2000000000007</v>
      </c>
      <c r="H104">
        <f t="shared" si="16"/>
        <v>-6.1368580285714147</v>
      </c>
      <c r="I104">
        <f t="shared" si="20"/>
        <v>-6.1368580285714147</v>
      </c>
      <c r="J104">
        <f t="shared" si="21"/>
        <v>-0.99913028370476609</v>
      </c>
      <c r="K104">
        <f t="shared" si="22"/>
        <v>-2.2999999999999687E-3</v>
      </c>
      <c r="L104">
        <f t="shared" si="23"/>
        <v>-3.1452380952383674E-3</v>
      </c>
      <c r="M104">
        <f t="shared" si="17"/>
        <v>-2.7226190476191681E-3</v>
      </c>
      <c r="N104">
        <f t="shared" si="18"/>
        <v>-7.3230754392361935E-5</v>
      </c>
      <c r="O104" s="3">
        <f t="shared" si="19"/>
        <v>-0.73230754392361941</v>
      </c>
      <c r="P104">
        <v>204</v>
      </c>
    </row>
    <row r="105" spans="1:16" x14ac:dyDescent="0.25">
      <c r="A105">
        <v>103</v>
      </c>
      <c r="B105">
        <v>3.8967000000000001</v>
      </c>
      <c r="C105" s="3">
        <v>3.6935190476190485</v>
      </c>
      <c r="D105" s="8">
        <f t="shared" si="24"/>
        <v>-0.20318095238095157</v>
      </c>
      <c r="E105" s="8">
        <f t="shared" si="15"/>
        <v>-0.20331666666666592</v>
      </c>
      <c r="F105" s="3">
        <v>30.416000000000004</v>
      </c>
      <c r="G105" s="9">
        <v>6137.8000000000011</v>
      </c>
      <c r="H105">
        <f t="shared" si="16"/>
        <v>-6.184079733333312</v>
      </c>
      <c r="I105">
        <f t="shared" si="20"/>
        <v>-6.184079733333312</v>
      </c>
      <c r="J105">
        <f t="shared" si="21"/>
        <v>-1.0075401175231045</v>
      </c>
      <c r="K105">
        <f t="shared" si="22"/>
        <v>-1.8499999999999073E-3</v>
      </c>
      <c r="L105">
        <f t="shared" si="23"/>
        <v>-3.5880952380948905E-3</v>
      </c>
      <c r="M105">
        <f t="shared" si="17"/>
        <v>-2.7190476190473989E-3</v>
      </c>
      <c r="N105">
        <f t="shared" si="18"/>
        <v>-7.3944146086450779E-5</v>
      </c>
      <c r="O105" s="3">
        <f t="shared" si="19"/>
        <v>-0.73944146086450779</v>
      </c>
      <c r="P105">
        <v>206</v>
      </c>
    </row>
    <row r="106" spans="1:16" x14ac:dyDescent="0.25">
      <c r="A106">
        <v>104</v>
      </c>
      <c r="B106">
        <v>3.8933</v>
      </c>
      <c r="C106" s="3">
        <v>3.6898476190476197</v>
      </c>
      <c r="D106" s="8">
        <f t="shared" si="24"/>
        <v>-0.20345238095238027</v>
      </c>
      <c r="E106" s="8">
        <f t="shared" si="15"/>
        <v>-0.20328333333333282</v>
      </c>
      <c r="F106" s="3">
        <v>30.387999999999998</v>
      </c>
      <c r="G106" s="9">
        <v>6133.4000000000015</v>
      </c>
      <c r="H106">
        <f t="shared" si="16"/>
        <v>-6.1773739333333175</v>
      </c>
      <c r="I106">
        <f t="shared" si="20"/>
        <v>-6.1773739333333175</v>
      </c>
      <c r="J106">
        <f t="shared" si="21"/>
        <v>-1.0071695851132025</v>
      </c>
      <c r="K106">
        <f t="shared" si="22"/>
        <v>-3.5000000000000586E-3</v>
      </c>
      <c r="L106">
        <f t="shared" si="23"/>
        <v>-3.466666666666951E-3</v>
      </c>
      <c r="M106">
        <f t="shared" si="17"/>
        <v>-3.4833333333335048E-3</v>
      </c>
      <c r="N106">
        <f t="shared" si="18"/>
        <v>-5.7698673733315057E-5</v>
      </c>
      <c r="O106" s="3">
        <f t="shared" si="19"/>
        <v>-0.57698673733315053</v>
      </c>
      <c r="P106">
        <v>208</v>
      </c>
    </row>
    <row r="107" spans="1:16" x14ac:dyDescent="0.25">
      <c r="A107">
        <v>105</v>
      </c>
      <c r="B107">
        <v>3.8896999999999999</v>
      </c>
      <c r="C107" s="3">
        <v>3.6865857142857146</v>
      </c>
      <c r="D107" s="8">
        <f t="shared" si="24"/>
        <v>-0.20311428571428536</v>
      </c>
      <c r="E107" s="8">
        <f t="shared" si="15"/>
        <v>-0.20063095238095197</v>
      </c>
      <c r="F107" s="3">
        <v>30.360000000000003</v>
      </c>
      <c r="G107" s="9">
        <v>6129.0000000000018</v>
      </c>
      <c r="H107">
        <f t="shared" si="16"/>
        <v>-6.0911557142857022</v>
      </c>
      <c r="I107">
        <f t="shared" si="20"/>
        <v>-6.0911557142857022</v>
      </c>
      <c r="J107">
        <f t="shared" si="21"/>
        <v>-0.99382537351700118</v>
      </c>
      <c r="K107">
        <f t="shared" si="22"/>
        <v>-5.9000000000000163E-3</v>
      </c>
      <c r="L107">
        <f t="shared" si="23"/>
        <v>-3.2476190476191658E-3</v>
      </c>
      <c r="M107">
        <f t="shared" si="17"/>
        <v>-4.573809523809591E-3</v>
      </c>
      <c r="N107">
        <f t="shared" si="18"/>
        <v>-4.3360099496558668E-5</v>
      </c>
      <c r="O107" s="3">
        <f t="shared" si="19"/>
        <v>-0.43360099496558668</v>
      </c>
      <c r="P107">
        <v>210</v>
      </c>
    </row>
    <row r="108" spans="1:16" x14ac:dyDescent="0.25">
      <c r="A108">
        <v>106</v>
      </c>
      <c r="B108">
        <v>3.8815</v>
      </c>
      <c r="C108" s="3">
        <v>3.6833523809523814</v>
      </c>
      <c r="D108" s="8">
        <f t="shared" si="24"/>
        <v>-0.19814761904761857</v>
      </c>
      <c r="E108" s="8">
        <f t="shared" si="15"/>
        <v>-0.19761428571428574</v>
      </c>
      <c r="F108" s="3">
        <v>30.332000000000004</v>
      </c>
      <c r="G108" s="9">
        <v>6124.6000000000022</v>
      </c>
      <c r="H108">
        <f t="shared" si="16"/>
        <v>-5.9940365142857157</v>
      </c>
      <c r="I108">
        <f t="shared" si="20"/>
        <v>-5.9940365142857157</v>
      </c>
      <c r="J108">
        <f t="shared" si="21"/>
        <v>-0.97868212034838409</v>
      </c>
      <c r="K108">
        <f t="shared" si="22"/>
        <v>-5.9499999999998998E-3</v>
      </c>
      <c r="L108">
        <f t="shared" si="23"/>
        <v>-2.9333333333336764E-3</v>
      </c>
      <c r="M108">
        <f t="shared" si="17"/>
        <v>-4.4416666666667881E-3</v>
      </c>
      <c r="N108">
        <f t="shared" si="18"/>
        <v>-4.3969745833798664E-5</v>
      </c>
      <c r="O108" s="3">
        <f t="shared" si="19"/>
        <v>-0.43969745833798662</v>
      </c>
      <c r="P108">
        <v>212</v>
      </c>
    </row>
    <row r="109" spans="1:16" x14ac:dyDescent="0.25">
      <c r="A109">
        <v>107</v>
      </c>
      <c r="B109">
        <v>3.8778000000000001</v>
      </c>
      <c r="C109" s="3">
        <v>3.6807190476190472</v>
      </c>
      <c r="D109" s="8">
        <f t="shared" si="24"/>
        <v>-0.19708095238095291</v>
      </c>
      <c r="E109" s="8">
        <f t="shared" si="15"/>
        <v>-0.19702619047619052</v>
      </c>
      <c r="F109" s="3">
        <v>30.304000000000002</v>
      </c>
      <c r="G109" s="9">
        <v>6120.2000000000016</v>
      </c>
      <c r="H109">
        <f t="shared" si="16"/>
        <v>-5.9706816761904777</v>
      </c>
      <c r="I109">
        <f t="shared" si="20"/>
        <v>-5.9706816761904777</v>
      </c>
      <c r="J109">
        <f t="shared" si="21"/>
        <v>-0.97556969971413943</v>
      </c>
      <c r="K109">
        <f t="shared" si="22"/>
        <v>-3.2499999999999751E-3</v>
      </c>
      <c r="L109">
        <f t="shared" si="23"/>
        <v>-2.6619047619047542E-3</v>
      </c>
      <c r="M109">
        <f t="shared" si="17"/>
        <v>-2.9559523809523647E-3</v>
      </c>
      <c r="N109">
        <f t="shared" si="18"/>
        <v>-6.5859606801335423E-5</v>
      </c>
      <c r="O109" s="3">
        <f t="shared" si="19"/>
        <v>-0.65859606801335424</v>
      </c>
      <c r="P109">
        <v>214</v>
      </c>
    </row>
    <row r="110" spans="1:16" x14ac:dyDescent="0.25">
      <c r="A110">
        <v>108</v>
      </c>
      <c r="B110">
        <v>3.875</v>
      </c>
      <c r="C110" s="3">
        <v>3.6780285714285719</v>
      </c>
      <c r="D110" s="8">
        <f t="shared" si="24"/>
        <v>-0.19697142857142813</v>
      </c>
      <c r="E110" s="8">
        <f t="shared" si="15"/>
        <v>-0.19828095238095211</v>
      </c>
      <c r="F110" s="3">
        <v>30.276</v>
      </c>
      <c r="G110" s="9">
        <v>6115.8000000000011</v>
      </c>
      <c r="H110">
        <f t="shared" si="16"/>
        <v>-6.0031541142857066</v>
      </c>
      <c r="I110">
        <f t="shared" si="20"/>
        <v>-6.0031541142857066</v>
      </c>
      <c r="J110">
        <f t="shared" si="21"/>
        <v>-0.98158116914969518</v>
      </c>
      <c r="K110">
        <f t="shared" si="22"/>
        <v>-2.4500000000000632E-3</v>
      </c>
      <c r="L110">
        <f t="shared" si="23"/>
        <v>-3.7047619047616553E-3</v>
      </c>
      <c r="M110">
        <f t="shared" si="17"/>
        <v>-3.0773809523808593E-3</v>
      </c>
      <c r="N110">
        <f t="shared" si="18"/>
        <v>-6.3650705366653272E-5</v>
      </c>
      <c r="O110" s="3">
        <f t="shared" si="19"/>
        <v>-0.63650705366653271</v>
      </c>
      <c r="P110">
        <v>216</v>
      </c>
    </row>
    <row r="111" spans="1:16" x14ac:dyDescent="0.25">
      <c r="A111">
        <v>109</v>
      </c>
      <c r="B111">
        <v>3.8729</v>
      </c>
      <c r="C111" s="3">
        <v>3.6733095238095239</v>
      </c>
      <c r="D111" s="8">
        <f t="shared" si="24"/>
        <v>-0.1995904761904761</v>
      </c>
      <c r="E111" s="8">
        <f t="shared" si="15"/>
        <v>-0.20131904761904762</v>
      </c>
      <c r="F111" s="3">
        <v>30.248000000000001</v>
      </c>
      <c r="G111" s="9">
        <v>6111.4000000000015</v>
      </c>
      <c r="H111">
        <f t="shared" si="16"/>
        <v>-6.0894985523809524</v>
      </c>
      <c r="I111">
        <f t="shared" si="20"/>
        <v>-6.0894985523809524</v>
      </c>
      <c r="J111">
        <f t="shared" si="21"/>
        <v>-0.99641629616470062</v>
      </c>
      <c r="K111">
        <f t="shared" si="22"/>
        <v>-1.8000000000000238E-3</v>
      </c>
      <c r="L111">
        <f t="shared" si="23"/>
        <v>-4.83809523809553E-3</v>
      </c>
      <c r="M111">
        <f t="shared" si="17"/>
        <v>-3.3190476190477769E-3</v>
      </c>
      <c r="N111">
        <f t="shared" si="18"/>
        <v>-5.9908107759587579E-5</v>
      </c>
      <c r="O111" s="3">
        <f t="shared" si="19"/>
        <v>-0.59908107759587581</v>
      </c>
      <c r="P111">
        <v>218</v>
      </c>
    </row>
    <row r="112" spans="1:16" x14ac:dyDescent="0.25">
      <c r="A112">
        <v>110</v>
      </c>
      <c r="B112">
        <v>3.8714</v>
      </c>
      <c r="C112" s="3">
        <v>3.6683523809523808</v>
      </c>
      <c r="D112" s="8">
        <f t="shared" si="24"/>
        <v>-0.20304761904761914</v>
      </c>
      <c r="E112" s="8">
        <f t="shared" si="15"/>
        <v>-0.20315238095238053</v>
      </c>
      <c r="F112" s="3">
        <v>30.220000000000006</v>
      </c>
      <c r="G112" s="9">
        <v>6107.0000000000018</v>
      </c>
      <c r="H112">
        <f t="shared" si="16"/>
        <v>-6.1392649523809411</v>
      </c>
      <c r="I112">
        <f t="shared" si="20"/>
        <v>-6.1392649523809411</v>
      </c>
      <c r="J112">
        <f t="shared" si="21"/>
        <v>-1.005283273682813</v>
      </c>
      <c r="K112">
        <f t="shared" si="22"/>
        <v>-3.1000000000001027E-3</v>
      </c>
      <c r="L112">
        <f t="shared" si="23"/>
        <v>-4.933333333333012E-3</v>
      </c>
      <c r="M112">
        <f t="shared" si="17"/>
        <v>-4.0166666666665574E-3</v>
      </c>
      <c r="N112">
        <f t="shared" si="18"/>
        <v>-4.9943724746170595E-5</v>
      </c>
      <c r="O112" s="3">
        <f t="shared" si="19"/>
        <v>-0.49943724746170592</v>
      </c>
      <c r="P112">
        <v>220</v>
      </c>
    </row>
    <row r="113" spans="1:16" x14ac:dyDescent="0.25">
      <c r="A113">
        <v>111</v>
      </c>
      <c r="B113">
        <v>3.8666999999999998</v>
      </c>
      <c r="C113" s="3">
        <v>3.6634428571428579</v>
      </c>
      <c r="D113" s="8">
        <f t="shared" si="24"/>
        <v>-0.20325714285714191</v>
      </c>
      <c r="E113" s="8">
        <f t="shared" si="15"/>
        <v>-0.20260238095238048</v>
      </c>
      <c r="F113" s="3">
        <v>30.192</v>
      </c>
      <c r="G113" s="9">
        <v>6102.6000000000013</v>
      </c>
      <c r="H113">
        <f t="shared" si="16"/>
        <v>-6.1169710857142716</v>
      </c>
      <c r="I113">
        <f t="shared" si="20"/>
        <v>-6.1169710857142716</v>
      </c>
      <c r="J113">
        <f t="shared" si="21"/>
        <v>-1.0023549119578983</v>
      </c>
      <c r="K113">
        <f t="shared" si="22"/>
        <v>-4.350000000000076E-3</v>
      </c>
      <c r="L113">
        <f t="shared" si="23"/>
        <v>-3.8000000000000256E-3</v>
      </c>
      <c r="M113">
        <f t="shared" si="17"/>
        <v>-4.0750000000000508E-3</v>
      </c>
      <c r="N113">
        <f t="shared" si="18"/>
        <v>-4.9085381846890487E-5</v>
      </c>
      <c r="O113" s="3">
        <f t="shared" si="19"/>
        <v>-0.49085381846890486</v>
      </c>
      <c r="P113">
        <v>222</v>
      </c>
    </row>
    <row r="114" spans="1:16" x14ac:dyDescent="0.25">
      <c r="A114">
        <v>112</v>
      </c>
      <c r="B114">
        <v>3.8626999999999998</v>
      </c>
      <c r="C114" s="3">
        <v>3.6607523809523808</v>
      </c>
      <c r="D114" s="8">
        <f t="shared" si="24"/>
        <v>-0.20194761904761904</v>
      </c>
      <c r="E114" s="8">
        <f t="shared" si="15"/>
        <v>-0.20309761904761925</v>
      </c>
      <c r="F114" s="3">
        <v>30.163999999999998</v>
      </c>
      <c r="G114" s="9">
        <v>6098.2000000000007</v>
      </c>
      <c r="H114">
        <f t="shared" si="16"/>
        <v>-6.1262365809523862</v>
      </c>
      <c r="I114">
        <f t="shared" si="20"/>
        <v>-6.1262365809523862</v>
      </c>
      <c r="J114">
        <f t="shared" si="21"/>
        <v>-1.0045975174563617</v>
      </c>
      <c r="K114">
        <f t="shared" si="22"/>
        <v>-2.8499999999997971E-3</v>
      </c>
      <c r="L114">
        <f t="shared" si="23"/>
        <v>-3.3452380952385674E-3</v>
      </c>
      <c r="M114">
        <f t="shared" si="17"/>
        <v>-3.0976190476191823E-3</v>
      </c>
      <c r="N114">
        <f t="shared" si="18"/>
        <v>-6.4717593287677203E-5</v>
      </c>
      <c r="O114" s="3">
        <f t="shared" si="19"/>
        <v>-0.647175932876772</v>
      </c>
      <c r="P114">
        <v>224</v>
      </c>
    </row>
    <row r="115" spans="1:16" x14ac:dyDescent="0.25">
      <c r="A115">
        <v>113</v>
      </c>
      <c r="B115">
        <v>3.8610000000000002</v>
      </c>
      <c r="C115" s="3">
        <v>3.6567523809523808</v>
      </c>
      <c r="D115" s="8">
        <f t="shared" si="24"/>
        <v>-0.20424761904761946</v>
      </c>
      <c r="E115" s="8">
        <f t="shared" si="15"/>
        <v>-0.2039452380952389</v>
      </c>
      <c r="F115" s="3">
        <v>30.136000000000003</v>
      </c>
      <c r="G115" s="9">
        <v>6093.8000000000011</v>
      </c>
      <c r="H115">
        <f t="shared" si="16"/>
        <v>-6.14609369523812</v>
      </c>
      <c r="I115">
        <f t="shared" si="20"/>
        <v>-6.14609369523812</v>
      </c>
      <c r="J115">
        <f t="shared" si="21"/>
        <v>-1.0085814590630016</v>
      </c>
      <c r="K115">
        <f t="shared" si="22"/>
        <v>-2.6499999999998192E-3</v>
      </c>
      <c r="L115">
        <f t="shared" si="23"/>
        <v>-3.4976190476194713E-3</v>
      </c>
      <c r="M115">
        <f t="shared" si="17"/>
        <v>-3.0738095238096452E-3</v>
      </c>
      <c r="N115">
        <f t="shared" si="18"/>
        <v>-6.5477530611282611E-5</v>
      </c>
      <c r="O115" s="3">
        <f t="shared" si="19"/>
        <v>-0.65477530611282608</v>
      </c>
      <c r="P115">
        <v>226</v>
      </c>
    </row>
    <row r="116" spans="1:16" x14ac:dyDescent="0.25">
      <c r="A116">
        <v>114</v>
      </c>
      <c r="B116">
        <v>3.8574000000000002</v>
      </c>
      <c r="C116" s="3">
        <v>3.6537571428571418</v>
      </c>
      <c r="D116" s="8">
        <f t="shared" si="24"/>
        <v>-0.20364285714285835</v>
      </c>
      <c r="E116" s="8">
        <f t="shared" si="15"/>
        <v>-0.20127857142857231</v>
      </c>
      <c r="F116" s="3">
        <v>30.108000000000004</v>
      </c>
      <c r="G116" s="9">
        <v>6089.4000000000015</v>
      </c>
      <c r="H116">
        <f t="shared" si="16"/>
        <v>-6.0600952285714556</v>
      </c>
      <c r="I116">
        <f t="shared" si="20"/>
        <v>-6.0600952285714556</v>
      </c>
      <c r="J116">
        <f t="shared" si="21"/>
        <v>-0.99518757653815704</v>
      </c>
      <c r="K116">
        <f t="shared" si="22"/>
        <v>-5.3000000000000824E-3</v>
      </c>
      <c r="L116">
        <f t="shared" si="23"/>
        <v>-2.6333333333334874E-3</v>
      </c>
      <c r="M116">
        <f t="shared" si="17"/>
        <v>-3.9666666666667849E-3</v>
      </c>
      <c r="N116">
        <f t="shared" si="18"/>
        <v>-5.0065378419808241E-5</v>
      </c>
      <c r="O116" s="3">
        <f t="shared" si="19"/>
        <v>-0.50065378419808237</v>
      </c>
      <c r="P116">
        <v>228</v>
      </c>
    </row>
    <row r="117" spans="1:16" x14ac:dyDescent="0.25">
      <c r="A117">
        <v>115</v>
      </c>
      <c r="B117">
        <v>3.8504</v>
      </c>
      <c r="C117" s="3">
        <v>3.6514857142857138</v>
      </c>
      <c r="D117" s="8">
        <f t="shared" si="24"/>
        <v>-0.19891428571428627</v>
      </c>
      <c r="E117" s="8">
        <f t="shared" si="15"/>
        <v>-0.19705238095238142</v>
      </c>
      <c r="F117" s="3">
        <v>30.080000000000002</v>
      </c>
      <c r="G117" s="9">
        <v>6085.0000000000009</v>
      </c>
      <c r="H117">
        <f t="shared" si="16"/>
        <v>-5.9273356190476338</v>
      </c>
      <c r="I117">
        <f t="shared" si="20"/>
        <v>-5.9273356190476338</v>
      </c>
      <c r="J117">
        <f t="shared" si="21"/>
        <v>-0.97408966623625848</v>
      </c>
      <c r="K117">
        <f t="shared" si="22"/>
        <v>-7.0000000000001172E-3</v>
      </c>
      <c r="L117">
        <f t="shared" si="23"/>
        <v>-2.7738095238092342E-3</v>
      </c>
      <c r="M117">
        <f t="shared" si="17"/>
        <v>-4.8869047619046757E-3</v>
      </c>
      <c r="N117">
        <f t="shared" si="18"/>
        <v>-3.9776203114449772E-5</v>
      </c>
      <c r="O117" s="3">
        <f t="shared" si="19"/>
        <v>-0.39776203114449771</v>
      </c>
      <c r="P117">
        <v>230</v>
      </c>
    </row>
    <row r="118" spans="1:16" x14ac:dyDescent="0.25">
      <c r="A118">
        <v>116</v>
      </c>
      <c r="B118">
        <v>3.8433999999999999</v>
      </c>
      <c r="C118" s="3">
        <v>3.6482095238095233</v>
      </c>
      <c r="D118" s="8">
        <f t="shared" si="24"/>
        <v>-0.19519047619047658</v>
      </c>
      <c r="E118" s="8">
        <f t="shared" si="15"/>
        <v>-0.19562380952381009</v>
      </c>
      <c r="F118" s="3">
        <v>30.052</v>
      </c>
      <c r="G118" s="9">
        <v>6080.6</v>
      </c>
      <c r="H118">
        <f t="shared" si="16"/>
        <v>-5.8788867238095408</v>
      </c>
      <c r="I118">
        <f t="shared" si="20"/>
        <v>-5.8788867238095408</v>
      </c>
      <c r="J118">
        <f t="shared" si="21"/>
        <v>-0.96682674798696522</v>
      </c>
      <c r="K118">
        <f t="shared" si="22"/>
        <v>-4.9000000000001265E-3</v>
      </c>
      <c r="L118">
        <f t="shared" si="23"/>
        <v>-3.4714285714287918E-3</v>
      </c>
      <c r="M118">
        <f t="shared" si="17"/>
        <v>-4.1857142857144591E-3</v>
      </c>
      <c r="N118">
        <f t="shared" si="18"/>
        <v>-4.6093251021523914E-5</v>
      </c>
      <c r="O118" s="3">
        <f t="shared" si="19"/>
        <v>-0.46093251021523912</v>
      </c>
      <c r="P118">
        <v>232</v>
      </c>
    </row>
    <row r="119" spans="1:16" x14ac:dyDescent="0.25">
      <c r="A119">
        <v>117</v>
      </c>
      <c r="B119">
        <v>3.8405999999999998</v>
      </c>
      <c r="C119" s="3">
        <v>3.6445428571428562</v>
      </c>
      <c r="D119" s="8">
        <f t="shared" si="24"/>
        <v>-0.1960571428571436</v>
      </c>
      <c r="E119" s="8">
        <f t="shared" si="15"/>
        <v>-0.19666666666666677</v>
      </c>
      <c r="F119" s="3">
        <v>30.024000000000001</v>
      </c>
      <c r="G119" s="9">
        <v>6076.2000000000007</v>
      </c>
      <c r="H119">
        <f t="shared" si="16"/>
        <v>-5.9047200000000029</v>
      </c>
      <c r="I119">
        <f t="shared" si="20"/>
        <v>-5.9047200000000029</v>
      </c>
      <c r="J119">
        <f t="shared" si="21"/>
        <v>-0.97177841414041699</v>
      </c>
      <c r="K119">
        <f t="shared" si="22"/>
        <v>-2.4999999999999467E-3</v>
      </c>
      <c r="L119">
        <f t="shared" si="23"/>
        <v>-3.5428571428566258E-3</v>
      </c>
      <c r="M119">
        <f t="shared" si="17"/>
        <v>-3.0214285714282862E-3</v>
      </c>
      <c r="N119">
        <f t="shared" si="18"/>
        <v>-6.418199025184591E-5</v>
      </c>
      <c r="O119" s="3">
        <f t="shared" si="19"/>
        <v>-0.64181990251845911</v>
      </c>
      <c r="P119">
        <v>234</v>
      </c>
    </row>
    <row r="120" spans="1:16" x14ac:dyDescent="0.25">
      <c r="A120">
        <v>118</v>
      </c>
      <c r="B120">
        <v>3.8384</v>
      </c>
      <c r="C120" s="3">
        <v>3.6411238095238101</v>
      </c>
      <c r="D120" s="8">
        <f t="shared" si="24"/>
        <v>-0.19727619047618994</v>
      </c>
      <c r="E120" s="8">
        <f t="shared" si="15"/>
        <v>-0.19775952380952333</v>
      </c>
      <c r="F120" s="3">
        <v>29.996000000000002</v>
      </c>
      <c r="G120" s="9">
        <v>6071.8000000000011</v>
      </c>
      <c r="H120">
        <f t="shared" si="16"/>
        <v>-5.9319946761904623</v>
      </c>
      <c r="I120">
        <f t="shared" si="20"/>
        <v>-5.9319946761904623</v>
      </c>
      <c r="J120">
        <f t="shared" si="21"/>
        <v>-0.97697464939399548</v>
      </c>
      <c r="K120">
        <f t="shared" si="22"/>
        <v>-1.8999999999997907E-3</v>
      </c>
      <c r="L120">
        <f t="shared" si="23"/>
        <v>-2.9928571428563533E-3</v>
      </c>
      <c r="M120">
        <f t="shared" si="17"/>
        <v>-2.446428571428072E-3</v>
      </c>
      <c r="N120">
        <f t="shared" si="18"/>
        <v>-7.9690952654484491E-5</v>
      </c>
      <c r="O120" s="3">
        <f t="shared" si="19"/>
        <v>-0.79690952654484493</v>
      </c>
      <c r="P120">
        <v>236</v>
      </c>
    </row>
    <row r="121" spans="1:16" x14ac:dyDescent="0.25">
      <c r="A121">
        <v>119</v>
      </c>
      <c r="B121">
        <v>3.8368000000000002</v>
      </c>
      <c r="C121" s="3">
        <v>3.6385571428571435</v>
      </c>
      <c r="D121" s="8">
        <f t="shared" si="24"/>
        <v>-0.19824285714285672</v>
      </c>
      <c r="E121" s="8">
        <f t="shared" si="15"/>
        <v>-0.1997833333333332</v>
      </c>
      <c r="F121" s="3">
        <v>29.968</v>
      </c>
      <c r="G121" s="9">
        <v>6067.4000000000005</v>
      </c>
      <c r="H121">
        <f t="shared" si="16"/>
        <v>-5.9871069333333296</v>
      </c>
      <c r="I121">
        <f t="shared" si="20"/>
        <v>-5.9871069333333296</v>
      </c>
      <c r="J121">
        <f t="shared" si="21"/>
        <v>-0.98676647877728996</v>
      </c>
      <c r="K121">
        <f t="shared" si="22"/>
        <v>-8.5000000000001741E-4</v>
      </c>
      <c r="L121">
        <f t="shared" si="23"/>
        <v>-2.8738095238098893E-3</v>
      </c>
      <c r="M121">
        <f t="shared" si="17"/>
        <v>-1.8619047619049534E-3</v>
      </c>
      <c r="N121">
        <f t="shared" si="18"/>
        <v>-1.0575847724790055E-4</v>
      </c>
      <c r="O121" s="3">
        <f t="shared" si="19"/>
        <v>-1.0575847724790055</v>
      </c>
      <c r="P121">
        <v>238</v>
      </c>
    </row>
    <row r="122" spans="1:16" x14ac:dyDescent="0.25">
      <c r="A122">
        <v>120</v>
      </c>
      <c r="B122">
        <v>3.8367</v>
      </c>
      <c r="C122" s="3">
        <v>3.6353761904761903</v>
      </c>
      <c r="D122" s="8">
        <f t="shared" si="24"/>
        <v>-0.20132380952380968</v>
      </c>
      <c r="E122" s="8">
        <f t="shared" si="15"/>
        <v>-0.20188571428571422</v>
      </c>
      <c r="F122" s="3">
        <v>29.939999999999998</v>
      </c>
      <c r="G122" s="9">
        <v>6063</v>
      </c>
      <c r="H122">
        <f t="shared" si="16"/>
        <v>-6.044458285714283</v>
      </c>
      <c r="I122">
        <f t="shared" si="20"/>
        <v>-6.044458285714283</v>
      </c>
      <c r="J122">
        <f t="shared" si="21"/>
        <v>-0.99694182512193352</v>
      </c>
      <c r="K122">
        <f t="shared" si="22"/>
        <v>-5.5000000000005045E-4</v>
      </c>
      <c r="L122">
        <f t="shared" si="23"/>
        <v>-2.6523809523810726E-3</v>
      </c>
      <c r="M122">
        <f t="shared" si="17"/>
        <v>-1.6011904761905615E-3</v>
      </c>
      <c r="N122">
        <f t="shared" si="18"/>
        <v>-1.242467628055727E-4</v>
      </c>
      <c r="O122" s="3">
        <f t="shared" si="19"/>
        <v>-1.242467628055727</v>
      </c>
      <c r="P122">
        <v>240</v>
      </c>
    </row>
    <row r="123" spans="1:16" x14ac:dyDescent="0.25">
      <c r="A123">
        <v>121</v>
      </c>
      <c r="B123">
        <v>3.8357000000000001</v>
      </c>
      <c r="C123" s="3">
        <v>3.6332523809523813</v>
      </c>
      <c r="D123" s="8">
        <f t="shared" si="24"/>
        <v>-0.20244761904761877</v>
      </c>
      <c r="E123" s="8">
        <f t="shared" si="15"/>
        <v>-0.20275238095238057</v>
      </c>
      <c r="F123" s="3">
        <v>29.911999999999999</v>
      </c>
      <c r="G123" s="9">
        <v>6058.6</v>
      </c>
      <c r="H123">
        <f t="shared" si="16"/>
        <v>-6.0647292190476074</v>
      </c>
      <c r="I123">
        <f t="shared" si="20"/>
        <v>-6.0647292190476074</v>
      </c>
      <c r="J123">
        <f t="shared" si="21"/>
        <v>-1.0010116560009916</v>
      </c>
      <c r="K123">
        <f t="shared" si="22"/>
        <v>-1.4499999999999513E-3</v>
      </c>
      <c r="L123">
        <f t="shared" si="23"/>
        <v>-2.3166666666663005E-3</v>
      </c>
      <c r="M123">
        <f t="shared" si="17"/>
        <v>-1.8833333333331259E-3</v>
      </c>
      <c r="N123">
        <f t="shared" si="18"/>
        <v>-1.0606453819562078E-4</v>
      </c>
      <c r="O123" s="3">
        <f t="shared" si="19"/>
        <v>-1.0606453819562078</v>
      </c>
      <c r="P123">
        <v>242</v>
      </c>
    </row>
    <row r="124" spans="1:16" x14ac:dyDescent="0.25">
      <c r="A124">
        <v>122</v>
      </c>
      <c r="B124">
        <v>3.8338000000000001</v>
      </c>
      <c r="C124" s="3">
        <v>3.6307428571428577</v>
      </c>
      <c r="D124" s="8">
        <f t="shared" si="24"/>
        <v>-0.20305714285714238</v>
      </c>
      <c r="E124" s="8">
        <f t="shared" si="15"/>
        <v>-0.20429761904761889</v>
      </c>
      <c r="F124" s="3">
        <v>29.884000000000004</v>
      </c>
      <c r="G124" s="9">
        <v>6054.2000000000007</v>
      </c>
      <c r="H124">
        <f t="shared" si="16"/>
        <v>-6.1052300476190435</v>
      </c>
      <c r="I124">
        <f t="shared" si="20"/>
        <v>-6.1052300476190435</v>
      </c>
      <c r="J124">
        <f t="shared" si="21"/>
        <v>-1.0084288671697406</v>
      </c>
      <c r="K124">
        <f t="shared" si="22"/>
        <v>-1.3499999999999623E-3</v>
      </c>
      <c r="L124">
        <f t="shared" si="23"/>
        <v>-2.8952380952382839E-3</v>
      </c>
      <c r="M124">
        <f t="shared" si="17"/>
        <v>-2.1226190476191231E-3</v>
      </c>
      <c r="N124">
        <f t="shared" si="18"/>
        <v>-9.4805050978858611E-5</v>
      </c>
      <c r="O124" s="3">
        <f t="shared" si="19"/>
        <v>-0.94805050978858607</v>
      </c>
      <c r="P124">
        <v>244</v>
      </c>
    </row>
    <row r="125" spans="1:16" x14ac:dyDescent="0.25">
      <c r="A125">
        <v>123</v>
      </c>
      <c r="B125">
        <v>3.8330000000000002</v>
      </c>
      <c r="C125" s="3">
        <v>3.6274619047619048</v>
      </c>
      <c r="D125" s="8">
        <f t="shared" si="24"/>
        <v>-0.20553809523809541</v>
      </c>
      <c r="E125" s="8">
        <f t="shared" si="15"/>
        <v>-0.2070333333333334</v>
      </c>
      <c r="F125" s="3">
        <v>29.856000000000002</v>
      </c>
      <c r="G125" s="9">
        <v>6049.8</v>
      </c>
      <c r="H125">
        <f t="shared" si="16"/>
        <v>-6.1811872000000028</v>
      </c>
      <c r="I125">
        <f t="shared" si="20"/>
        <v>-6.1811872000000028</v>
      </c>
      <c r="J125">
        <f t="shared" si="21"/>
        <v>-1.0217176104995211</v>
      </c>
      <c r="K125">
        <f t="shared" si="22"/>
        <v>-3.9999999999995595E-4</v>
      </c>
      <c r="L125">
        <f t="shared" si="23"/>
        <v>-3.1357142857144638E-3</v>
      </c>
      <c r="M125">
        <f t="shared" si="17"/>
        <v>-1.7678571428572099E-3</v>
      </c>
      <c r="N125">
        <f t="shared" si="18"/>
        <v>-1.1532991591354764E-4</v>
      </c>
      <c r="O125" s="3">
        <f t="shared" si="19"/>
        <v>-1.1532991591354764</v>
      </c>
      <c r="P125">
        <v>246</v>
      </c>
    </row>
    <row r="126" spans="1:16" x14ac:dyDescent="0.25">
      <c r="A126">
        <v>124</v>
      </c>
      <c r="B126">
        <v>3.8330000000000002</v>
      </c>
      <c r="C126" s="3">
        <v>3.6244714285714288</v>
      </c>
      <c r="D126" s="8">
        <f t="shared" si="24"/>
        <v>-0.2085285714285714</v>
      </c>
      <c r="E126" s="8">
        <f t="shared" si="15"/>
        <v>-0.20974999999999988</v>
      </c>
      <c r="F126" s="3">
        <v>29.827999999999996</v>
      </c>
      <c r="G126" s="9">
        <v>6045.4</v>
      </c>
      <c r="H126">
        <f t="shared" si="16"/>
        <v>-6.2564229999999954</v>
      </c>
      <c r="I126">
        <f t="shared" si="20"/>
        <v>-6.2564229999999954</v>
      </c>
      <c r="J126">
        <f t="shared" si="21"/>
        <v>-1.0349063750951129</v>
      </c>
      <c r="K126">
        <f t="shared" si="22"/>
        <v>4.9999999999883471E-5</v>
      </c>
      <c r="L126">
        <f t="shared" si="23"/>
        <v>-2.666666666666595E-3</v>
      </c>
      <c r="M126">
        <f t="shared" si="17"/>
        <v>-1.3083333333333558E-3</v>
      </c>
      <c r="N126">
        <f t="shared" si="18"/>
        <v>-1.5784866740718804E-4</v>
      </c>
      <c r="O126" s="3">
        <f t="shared" si="19"/>
        <v>-1.5784866740718804</v>
      </c>
      <c r="P126">
        <v>248</v>
      </c>
    </row>
    <row r="127" spans="1:16" x14ac:dyDescent="0.25">
      <c r="A127">
        <v>125</v>
      </c>
      <c r="B127">
        <v>3.8331</v>
      </c>
      <c r="C127" s="3">
        <v>3.6221285714285716</v>
      </c>
      <c r="D127" s="8">
        <f t="shared" si="24"/>
        <v>-0.21097142857142837</v>
      </c>
      <c r="E127" s="8">
        <f t="shared" si="15"/>
        <v>-0.21174523809523826</v>
      </c>
      <c r="F127" s="3">
        <v>29.8</v>
      </c>
      <c r="G127">
        <v>6041</v>
      </c>
      <c r="H127">
        <f t="shared" si="16"/>
        <v>-6.3100080952381008</v>
      </c>
      <c r="I127">
        <f t="shared" si="20"/>
        <v>-6.3100080952381008</v>
      </c>
      <c r="J127">
        <f t="shared" si="21"/>
        <v>-1.044530391530889</v>
      </c>
      <c r="K127">
        <f t="shared" si="22"/>
        <v>-2.0000000000020002E-4</v>
      </c>
      <c r="L127">
        <f t="shared" si="23"/>
        <v>-2.195238095238583E-3</v>
      </c>
      <c r="M127">
        <f t="shared" si="17"/>
        <v>-1.1976190476193915E-3</v>
      </c>
      <c r="N127">
        <f t="shared" si="18"/>
        <v>-1.7404463879353485E-4</v>
      </c>
      <c r="O127" s="3">
        <f t="shared" si="19"/>
        <v>-1.7404463879353484</v>
      </c>
      <c r="P127">
        <v>250</v>
      </c>
    </row>
    <row r="128" spans="1:16" x14ac:dyDescent="0.25">
      <c r="A128">
        <v>126</v>
      </c>
      <c r="B128">
        <v>3.8325999999999998</v>
      </c>
      <c r="C128" s="3">
        <v>3.6200809523809516</v>
      </c>
      <c r="D128" s="8">
        <f t="shared" si="24"/>
        <v>-0.21251904761904816</v>
      </c>
      <c r="E128" s="8">
        <f t="shared" si="15"/>
        <v>-0.21177857142857204</v>
      </c>
      <c r="F128" s="3">
        <v>29.763999999999999</v>
      </c>
      <c r="G128" s="9">
        <v>6034.2</v>
      </c>
      <c r="H128">
        <f t="shared" si="16"/>
        <v>-6.3033774000000182</v>
      </c>
      <c r="I128">
        <f t="shared" si="20"/>
        <v>-6.3033774000000182</v>
      </c>
      <c r="J128">
        <f t="shared" si="21"/>
        <v>-1.0446086308044178</v>
      </c>
      <c r="K128">
        <f t="shared" si="22"/>
        <v>-1.8499999999999073E-3</v>
      </c>
      <c r="L128">
        <f t="shared" si="23"/>
        <v>-1.883333333333681E-3</v>
      </c>
      <c r="M128">
        <f t="shared" si="17"/>
        <v>-1.8666666666667941E-3</v>
      </c>
      <c r="N128">
        <f t="shared" si="18"/>
        <v>-1.1167220755554129E-4</v>
      </c>
      <c r="O128" s="3">
        <f t="shared" si="19"/>
        <v>-1.1167220755554128</v>
      </c>
      <c r="P128">
        <v>252</v>
      </c>
    </row>
    <row r="129" spans="1:16" x14ac:dyDescent="0.25">
      <c r="A129">
        <v>127</v>
      </c>
      <c r="B129">
        <v>3.8294000000000001</v>
      </c>
      <c r="C129" s="3">
        <v>3.6183619047619042</v>
      </c>
      <c r="D129" s="8">
        <f t="shared" si="24"/>
        <v>-0.21103809523809591</v>
      </c>
      <c r="E129" s="8">
        <f t="shared" si="15"/>
        <v>-0.20803571428571477</v>
      </c>
      <c r="F129" s="3">
        <v>29.727999999999998</v>
      </c>
      <c r="G129" s="9">
        <v>6027.4</v>
      </c>
      <c r="H129">
        <f t="shared" si="16"/>
        <v>-6.1844857142857279</v>
      </c>
      <c r="I129">
        <f t="shared" si="20"/>
        <v>-6.1844857142857279</v>
      </c>
      <c r="J129">
        <f t="shared" si="21"/>
        <v>-1.0260619362056158</v>
      </c>
      <c r="K129">
        <f t="shared" si="22"/>
        <v>-5.5999999999998273E-3</v>
      </c>
      <c r="L129">
        <f t="shared" si="23"/>
        <v>-1.8571428571425574E-3</v>
      </c>
      <c r="M129">
        <f t="shared" si="17"/>
        <v>-3.7285714285711924E-3</v>
      </c>
      <c r="N129">
        <f t="shared" si="18"/>
        <v>-5.4914795864464876E-5</v>
      </c>
      <c r="O129" s="3">
        <f t="shared" si="19"/>
        <v>-0.54914795864464871</v>
      </c>
      <c r="P129">
        <v>254</v>
      </c>
    </row>
    <row r="130" spans="1:16" x14ac:dyDescent="0.25">
      <c r="A130">
        <v>128</v>
      </c>
      <c r="B130">
        <v>3.8214000000000001</v>
      </c>
      <c r="C130" s="3">
        <v>3.6163666666666665</v>
      </c>
      <c r="D130" s="8">
        <f t="shared" si="24"/>
        <v>-0.20503333333333362</v>
      </c>
      <c r="E130" s="8">
        <f t="shared" si="15"/>
        <v>-0.20464285714285713</v>
      </c>
      <c r="F130" s="3">
        <v>29.691999999999997</v>
      </c>
      <c r="G130" s="9">
        <v>6020.5999999999995</v>
      </c>
      <c r="H130">
        <f t="shared" si="16"/>
        <v>-6.076255714285713</v>
      </c>
      <c r="I130">
        <f t="shared" si="20"/>
        <v>-6.076255714285713</v>
      </c>
      <c r="J130">
        <f t="shared" si="21"/>
        <v>-1.0092442139131836</v>
      </c>
      <c r="K130">
        <f t="shared" si="22"/>
        <v>-5.9000000000000163E-3</v>
      </c>
      <c r="L130">
        <f t="shared" si="23"/>
        <v>-2.5071428571423748E-3</v>
      </c>
      <c r="M130">
        <f t="shared" si="17"/>
        <v>-4.2035714285711956E-3</v>
      </c>
      <c r="N130">
        <f t="shared" si="18"/>
        <v>-4.791109544114931E-5</v>
      </c>
      <c r="O130" s="3">
        <f t="shared" si="19"/>
        <v>-0.4791109544114931</v>
      </c>
      <c r="P130">
        <v>256</v>
      </c>
    </row>
    <row r="131" spans="1:16" x14ac:dyDescent="0.25">
      <c r="A131">
        <v>129</v>
      </c>
      <c r="B131">
        <v>3.8176000000000001</v>
      </c>
      <c r="C131" s="3">
        <v>3.6133476190476195</v>
      </c>
      <c r="D131" s="8">
        <f t="shared" si="24"/>
        <v>-0.20425238095238063</v>
      </c>
      <c r="E131" s="8">
        <f t="shared" si="15"/>
        <v>-0.20323571428571419</v>
      </c>
      <c r="F131" s="3">
        <v>29.655999999999995</v>
      </c>
      <c r="G131" s="9">
        <v>6013.7999999999993</v>
      </c>
      <c r="H131">
        <f t="shared" si="16"/>
        <v>-6.0271583428571391</v>
      </c>
      <c r="I131">
        <f t="shared" si="20"/>
        <v>-6.0271583428571391</v>
      </c>
      <c r="J131">
        <f t="shared" si="21"/>
        <v>-1.002221281528674</v>
      </c>
      <c r="K131">
        <f t="shared" si="22"/>
        <v>-3.9000000000000146E-3</v>
      </c>
      <c r="L131">
        <f t="shared" si="23"/>
        <v>-2.4928571428570745E-3</v>
      </c>
      <c r="M131">
        <f t="shared" si="17"/>
        <v>-3.1964285714285445E-3</v>
      </c>
      <c r="N131">
        <f t="shared" si="18"/>
        <v>-6.2568663808271942E-5</v>
      </c>
      <c r="O131" s="3">
        <f t="shared" si="19"/>
        <v>-0.6256866380827194</v>
      </c>
      <c r="P131">
        <v>258</v>
      </c>
    </row>
    <row r="132" spans="1:16" x14ac:dyDescent="0.25">
      <c r="A132">
        <v>130</v>
      </c>
      <c r="B132">
        <v>3.8136000000000001</v>
      </c>
      <c r="C132" s="3">
        <v>3.6113809523809524</v>
      </c>
      <c r="D132" s="8">
        <f t="shared" si="24"/>
        <v>-0.20221904761904774</v>
      </c>
      <c r="E132" s="8">
        <f t="shared" ref="E132:E195" si="25">(D132+D133)/2</f>
        <v>-0.20397619047619076</v>
      </c>
      <c r="F132" s="3">
        <v>29.619999999999994</v>
      </c>
      <c r="G132" s="9">
        <v>6006.9999999999991</v>
      </c>
      <c r="H132">
        <f t="shared" ref="H132:H195" si="26">E132*F132</f>
        <v>-6.0417747619047688</v>
      </c>
      <c r="I132">
        <f t="shared" si="20"/>
        <v>-6.0417747619047688</v>
      </c>
      <c r="J132">
        <f t="shared" si="21"/>
        <v>-1.005789039771062</v>
      </c>
      <c r="K132">
        <f t="shared" si="22"/>
        <v>-1.3000000000000789E-3</v>
      </c>
      <c r="L132">
        <f t="shared" si="23"/>
        <v>-2.0404761904766477E-3</v>
      </c>
      <c r="M132">
        <f t="shared" si="17"/>
        <v>-1.6702380952383633E-3</v>
      </c>
      <c r="N132">
        <f t="shared" si="18"/>
        <v>-1.2016743128429477E-4</v>
      </c>
      <c r="O132" s="3">
        <f t="shared" si="19"/>
        <v>-1.2016743128429477</v>
      </c>
      <c r="P132">
        <v>260</v>
      </c>
    </row>
    <row r="133" spans="1:16" x14ac:dyDescent="0.25">
      <c r="A133">
        <v>131</v>
      </c>
      <c r="B133">
        <v>3.8149999999999999</v>
      </c>
      <c r="C133" s="3">
        <v>3.6092666666666662</v>
      </c>
      <c r="D133" s="8">
        <f t="shared" si="24"/>
        <v>-0.20573333333333377</v>
      </c>
      <c r="E133" s="8">
        <f t="shared" si="25"/>
        <v>-0.20722619047619073</v>
      </c>
      <c r="F133" s="3">
        <v>29.583999999999993</v>
      </c>
      <c r="G133" s="9">
        <v>6000.1999999999989</v>
      </c>
      <c r="H133">
        <f t="shared" si="26"/>
        <v>-6.1305796190476247</v>
      </c>
      <c r="I133">
        <f t="shared" si="20"/>
        <v>-6.1305796190476247</v>
      </c>
      <c r="J133">
        <f t="shared" si="21"/>
        <v>-1.0217292122008641</v>
      </c>
      <c r="K133">
        <f t="shared" si="22"/>
        <v>1.2499999999999734E-3</v>
      </c>
      <c r="L133">
        <f t="shared" si="23"/>
        <v>-2.0000000000000018E-3</v>
      </c>
      <c r="M133">
        <f t="shared" ref="M133:M196" si="27">(K133+L133)/2</f>
        <v>-3.7500000000001421E-4</v>
      </c>
      <c r="N133">
        <f t="shared" ref="N133:N196" si="28">-J133/(M133*86400*58)</f>
        <v>-5.4370434876587132E-4</v>
      </c>
      <c r="O133" s="3">
        <f t="shared" ref="O133:O196" si="29">N133*10000</f>
        <v>-5.4370434876587135</v>
      </c>
      <c r="P133">
        <v>262</v>
      </c>
    </row>
    <row r="134" spans="1:16" x14ac:dyDescent="0.25">
      <c r="A134">
        <v>132</v>
      </c>
      <c r="B134">
        <v>3.8161</v>
      </c>
      <c r="C134" s="3">
        <v>3.6073809523809524</v>
      </c>
      <c r="D134" s="8">
        <f t="shared" si="24"/>
        <v>-0.20871904761904769</v>
      </c>
      <c r="E134" s="8">
        <f t="shared" si="25"/>
        <v>-0.20896190476190446</v>
      </c>
      <c r="F134" s="3">
        <v>29.547999999999991</v>
      </c>
      <c r="G134" s="9">
        <v>5993.3999999999987</v>
      </c>
      <c r="H134">
        <f t="shared" si="26"/>
        <v>-6.1744063619047509</v>
      </c>
      <c r="I134">
        <f t="shared" si="20"/>
        <v>-6.1744063619047509</v>
      </c>
      <c r="J134">
        <f t="shared" si="21"/>
        <v>-1.0302009480269552</v>
      </c>
      <c r="K134">
        <f t="shared" si="22"/>
        <v>9.9999999999988987E-5</v>
      </c>
      <c r="L134">
        <f t="shared" si="23"/>
        <v>-1.6357142857137408E-3</v>
      </c>
      <c r="M134">
        <f t="shared" si="27"/>
        <v>-7.678571428568759E-4</v>
      </c>
      <c r="N134">
        <f t="shared" si="28"/>
        <v>-2.6773169073150352E-4</v>
      </c>
      <c r="O134" s="3">
        <f t="shared" si="29"/>
        <v>-2.6773169073150354</v>
      </c>
      <c r="P134">
        <v>264</v>
      </c>
    </row>
    <row r="135" spans="1:16" x14ac:dyDescent="0.25">
      <c r="A135">
        <v>133</v>
      </c>
      <c r="B135">
        <v>3.8151999999999999</v>
      </c>
      <c r="C135" s="3">
        <v>3.6059952380952387</v>
      </c>
      <c r="D135" s="8">
        <f t="shared" si="24"/>
        <v>-0.20920476190476123</v>
      </c>
      <c r="E135" s="8">
        <f t="shared" si="25"/>
        <v>-0.20923333333333316</v>
      </c>
      <c r="F135" s="3">
        <v>29.51199999999999</v>
      </c>
      <c r="G135" s="9">
        <v>5986.5999999999985</v>
      </c>
      <c r="H135">
        <f t="shared" si="26"/>
        <v>-6.1748941333333258</v>
      </c>
      <c r="I135">
        <f t="shared" si="20"/>
        <v>-6.1748941333333258</v>
      </c>
      <c r="J135">
        <f t="shared" si="21"/>
        <v>-1.0314525996948731</v>
      </c>
      <c r="K135">
        <f t="shared" si="22"/>
        <v>-1.3000000000000789E-3</v>
      </c>
      <c r="L135">
        <f t="shared" si="23"/>
        <v>-1.571428571428779E-3</v>
      </c>
      <c r="M135">
        <f t="shared" si="27"/>
        <v>-1.4357142857144289E-3</v>
      </c>
      <c r="N135">
        <f t="shared" si="28"/>
        <v>-1.4336380433924311E-4</v>
      </c>
      <c r="O135" s="3">
        <f t="shared" si="29"/>
        <v>-1.4336380433924312</v>
      </c>
      <c r="P135">
        <v>266</v>
      </c>
    </row>
    <row r="136" spans="1:16" x14ac:dyDescent="0.25">
      <c r="A136">
        <v>134</v>
      </c>
      <c r="B136">
        <v>3.8134999999999999</v>
      </c>
      <c r="C136" s="3">
        <v>3.6042380952380948</v>
      </c>
      <c r="D136" s="8">
        <f t="shared" si="24"/>
        <v>-0.20926190476190509</v>
      </c>
      <c r="E136" s="8">
        <f t="shared" si="25"/>
        <v>-0.20729047619047658</v>
      </c>
      <c r="F136" s="3">
        <v>29.475999999999988</v>
      </c>
      <c r="G136" s="9">
        <v>5979.7999999999984</v>
      </c>
      <c r="H136">
        <f t="shared" si="26"/>
        <v>-6.1100940761904852</v>
      </c>
      <c r="I136">
        <f t="shared" si="20"/>
        <v>-6.1100940761904852</v>
      </c>
      <c r="J136">
        <f t="shared" si="21"/>
        <v>-1.0217890357855592</v>
      </c>
      <c r="K136">
        <f t="shared" si="22"/>
        <v>-3.8499999999999091E-3</v>
      </c>
      <c r="L136">
        <f t="shared" si="23"/>
        <v>-1.9071428571433291E-3</v>
      </c>
      <c r="M136">
        <f t="shared" si="27"/>
        <v>-2.8785714285716191E-3</v>
      </c>
      <c r="N136">
        <f t="shared" si="28"/>
        <v>-7.0834118180718771E-5</v>
      </c>
      <c r="O136" s="3">
        <f t="shared" si="29"/>
        <v>-0.70834118180718775</v>
      </c>
      <c r="P136">
        <v>268</v>
      </c>
    </row>
    <row r="137" spans="1:16" x14ac:dyDescent="0.25">
      <c r="A137">
        <v>135</v>
      </c>
      <c r="B137">
        <v>3.8075000000000001</v>
      </c>
      <c r="C137" s="3">
        <v>3.602180952380952</v>
      </c>
      <c r="D137" s="8">
        <f t="shared" si="24"/>
        <v>-0.20531904761904807</v>
      </c>
      <c r="E137" s="8">
        <f t="shared" si="25"/>
        <v>-0.2033047619047621</v>
      </c>
      <c r="F137" s="3">
        <v>29.439999999999987</v>
      </c>
      <c r="G137" s="9">
        <v>5972.9999999999982</v>
      </c>
      <c r="H137">
        <f t="shared" si="26"/>
        <v>-5.9852921904761933</v>
      </c>
      <c r="I137">
        <f t="shared" si="20"/>
        <v>-5.9852921904761933</v>
      </c>
      <c r="J137">
        <f t="shared" si="21"/>
        <v>-1.0020579592292307</v>
      </c>
      <c r="K137">
        <f t="shared" si="22"/>
        <v>-6.0499999999998888E-3</v>
      </c>
      <c r="L137">
        <f t="shared" si="23"/>
        <v>-2.0642857142854076E-3</v>
      </c>
      <c r="M137">
        <f t="shared" si="27"/>
        <v>-4.0571428571426482E-3</v>
      </c>
      <c r="N137">
        <f t="shared" si="28"/>
        <v>-4.9286820863554195E-5</v>
      </c>
      <c r="O137" s="3">
        <f t="shared" si="29"/>
        <v>-0.49286820863554193</v>
      </c>
      <c r="P137">
        <v>270</v>
      </c>
    </row>
    <row r="138" spans="1:16" x14ac:dyDescent="0.25">
      <c r="A138">
        <v>136</v>
      </c>
      <c r="B138">
        <v>3.8014000000000001</v>
      </c>
      <c r="C138" s="3">
        <v>3.600109523809524</v>
      </c>
      <c r="D138" s="8">
        <f t="shared" si="24"/>
        <v>-0.20129047619047613</v>
      </c>
      <c r="E138" s="8">
        <f t="shared" si="25"/>
        <v>-0.20156190476190461</v>
      </c>
      <c r="F138" s="3">
        <v>29.403999999999986</v>
      </c>
      <c r="G138" s="9">
        <v>5966.199999999998</v>
      </c>
      <c r="H138">
        <f t="shared" si="26"/>
        <v>-5.9267262476190403</v>
      </c>
      <c r="I138">
        <f t="shared" si="20"/>
        <v>-5.9267262476190403</v>
      </c>
      <c r="J138">
        <f t="shared" si="21"/>
        <v>-0.99338376983993881</v>
      </c>
      <c r="K138">
        <f t="shared" si="22"/>
        <v>-3.8500000000001311E-3</v>
      </c>
      <c r="L138">
        <f t="shared" si="23"/>
        <v>-2.1071428571426409E-3</v>
      </c>
      <c r="M138">
        <f t="shared" si="27"/>
        <v>-2.978571428571386E-3</v>
      </c>
      <c r="N138">
        <f t="shared" si="28"/>
        <v>-6.6552949105080588E-5</v>
      </c>
      <c r="O138" s="3">
        <f t="shared" si="29"/>
        <v>-0.66552949105080583</v>
      </c>
      <c r="P138">
        <v>272</v>
      </c>
    </row>
    <row r="139" spans="1:16" x14ac:dyDescent="0.25">
      <c r="A139">
        <v>137</v>
      </c>
      <c r="B139">
        <v>3.7997999999999998</v>
      </c>
      <c r="C139" s="3">
        <v>3.5979666666666668</v>
      </c>
      <c r="D139" s="8">
        <f t="shared" si="24"/>
        <v>-0.20183333333333309</v>
      </c>
      <c r="E139" s="8">
        <f t="shared" si="25"/>
        <v>-0.20396428571428515</v>
      </c>
      <c r="F139" s="3">
        <v>29.367999999999984</v>
      </c>
      <c r="G139" s="9">
        <v>5959.3999999999978</v>
      </c>
      <c r="H139">
        <f t="shared" si="26"/>
        <v>-5.9900231428571233</v>
      </c>
      <c r="I139">
        <f t="shared" si="20"/>
        <v>-5.9900231428571233</v>
      </c>
      <c r="J139">
        <f t="shared" si="21"/>
        <v>-1.0051386285292354</v>
      </c>
      <c r="K139">
        <f t="shared" si="22"/>
        <v>4.9999999999883471E-5</v>
      </c>
      <c r="L139">
        <f t="shared" si="23"/>
        <v>-2.3523809523806616E-3</v>
      </c>
      <c r="M139">
        <f t="shared" si="27"/>
        <v>-1.1511904761903891E-3</v>
      </c>
      <c r="N139">
        <f t="shared" si="28"/>
        <v>-1.7423565793070711E-4</v>
      </c>
      <c r="O139" s="3">
        <f t="shared" si="29"/>
        <v>-1.742356579307071</v>
      </c>
      <c r="P139">
        <v>274</v>
      </c>
    </row>
    <row r="140" spans="1:16" x14ac:dyDescent="0.25">
      <c r="A140">
        <v>138</v>
      </c>
      <c r="B140">
        <v>3.8014999999999999</v>
      </c>
      <c r="C140" s="3">
        <v>3.5954047619047627</v>
      </c>
      <c r="D140" s="8">
        <f t="shared" si="24"/>
        <v>-0.20609523809523722</v>
      </c>
      <c r="E140" s="8">
        <f t="shared" si="25"/>
        <v>-0.20891666666666597</v>
      </c>
      <c r="F140" s="3">
        <v>29.331999999999983</v>
      </c>
      <c r="G140" s="9">
        <v>5952.5999999999976</v>
      </c>
      <c r="H140">
        <f t="shared" si="26"/>
        <v>-6.1279436666666429</v>
      </c>
      <c r="I140">
        <f t="shared" si="20"/>
        <v>-6.1279436666666429</v>
      </c>
      <c r="J140">
        <f t="shared" si="21"/>
        <v>-1.0294566519952031</v>
      </c>
      <c r="K140">
        <f t="shared" si="22"/>
        <v>2.7500000000000302E-3</v>
      </c>
      <c r="L140">
        <f t="shared" si="23"/>
        <v>-2.2023809523807891E-3</v>
      </c>
      <c r="M140">
        <f t="shared" si="27"/>
        <v>2.7380952380962054E-4</v>
      </c>
      <c r="N140">
        <f t="shared" si="28"/>
        <v>7.5027034024278234E-4</v>
      </c>
      <c r="O140" s="3">
        <f t="shared" si="29"/>
        <v>7.502703402427823</v>
      </c>
      <c r="P140">
        <v>276</v>
      </c>
    </row>
    <row r="141" spans="1:16" x14ac:dyDescent="0.25">
      <c r="A141">
        <v>139</v>
      </c>
      <c r="B141">
        <v>3.8052999999999999</v>
      </c>
      <c r="C141" s="3">
        <v>3.5935619047619052</v>
      </c>
      <c r="D141" s="8">
        <f t="shared" si="24"/>
        <v>-0.21173809523809473</v>
      </c>
      <c r="E141" s="8">
        <f t="shared" si="25"/>
        <v>-0.21310714285714272</v>
      </c>
      <c r="F141" s="3">
        <v>29.295999999999982</v>
      </c>
      <c r="G141" s="9">
        <v>5945.7999999999975</v>
      </c>
      <c r="H141">
        <f t="shared" si="26"/>
        <v>-6.2431868571428488</v>
      </c>
      <c r="I141">
        <f t="shared" si="20"/>
        <v>-6.2431868571428488</v>
      </c>
      <c r="J141">
        <f t="shared" si="21"/>
        <v>-1.0500162900102343</v>
      </c>
      <c r="K141">
        <f t="shared" si="22"/>
        <v>2.3500000000000743E-3</v>
      </c>
      <c r="L141">
        <f t="shared" si="23"/>
        <v>-1.8404761904766698E-3</v>
      </c>
      <c r="M141">
        <f t="shared" si="27"/>
        <v>2.5476190476170224E-4</v>
      </c>
      <c r="N141">
        <f t="shared" si="28"/>
        <v>8.2246952211093688E-4</v>
      </c>
      <c r="O141" s="3">
        <f t="shared" si="29"/>
        <v>8.2246952211093696</v>
      </c>
      <c r="P141">
        <v>278</v>
      </c>
    </row>
    <row r="142" spans="1:16" x14ac:dyDescent="0.25">
      <c r="A142">
        <v>140</v>
      </c>
      <c r="B142">
        <v>3.8062</v>
      </c>
      <c r="C142" s="3">
        <v>3.5917238095238093</v>
      </c>
      <c r="D142" s="8">
        <f t="shared" si="24"/>
        <v>-0.21447619047619071</v>
      </c>
      <c r="E142" s="8">
        <f t="shared" si="25"/>
        <v>-0.21623571428571409</v>
      </c>
      <c r="F142" s="3">
        <v>29.259999999999984</v>
      </c>
      <c r="G142" s="9">
        <v>5938.9999999999973</v>
      </c>
      <c r="H142">
        <f t="shared" si="26"/>
        <v>-6.327056999999991</v>
      </c>
      <c r="I142">
        <f t="shared" si="20"/>
        <v>-6.327056999999991</v>
      </c>
      <c r="J142">
        <f t="shared" si="21"/>
        <v>-1.0653404613571298</v>
      </c>
      <c r="K142">
        <f t="shared" si="22"/>
        <v>5.5000000000005045E-4</v>
      </c>
      <c r="L142">
        <f t="shared" si="23"/>
        <v>-2.578571428571319E-3</v>
      </c>
      <c r="M142">
        <f t="shared" si="27"/>
        <v>-1.0142857142856343E-3</v>
      </c>
      <c r="N142">
        <f t="shared" si="28"/>
        <v>-2.0959763452403225E-4</v>
      </c>
      <c r="O142" s="3">
        <f t="shared" si="29"/>
        <v>-2.0959763452403224</v>
      </c>
      <c r="P142">
        <v>280</v>
      </c>
    </row>
    <row r="143" spans="1:16" x14ac:dyDescent="0.25">
      <c r="A143">
        <v>141</v>
      </c>
      <c r="B143">
        <v>3.8064</v>
      </c>
      <c r="C143" s="3">
        <v>3.5884047619047625</v>
      </c>
      <c r="D143" s="8">
        <f t="shared" si="24"/>
        <v>-0.21799523809523746</v>
      </c>
      <c r="E143" s="8">
        <f t="shared" si="25"/>
        <v>-0.2194904761904759</v>
      </c>
      <c r="F143" s="3">
        <v>29.22399999999999</v>
      </c>
      <c r="G143" s="9">
        <v>5932.1999999999971</v>
      </c>
      <c r="H143">
        <f t="shared" si="26"/>
        <v>-6.4143896761904653</v>
      </c>
      <c r="I143">
        <f t="shared" si="20"/>
        <v>-6.4143896761904653</v>
      </c>
      <c r="J143">
        <f t="shared" si="21"/>
        <v>-1.081283449005507</v>
      </c>
      <c r="K143">
        <f t="shared" si="22"/>
        <v>7.5000000000002842E-4</v>
      </c>
      <c r="L143">
        <f t="shared" si="23"/>
        <v>-2.5047619047617875E-3</v>
      </c>
      <c r="M143">
        <f t="shared" si="27"/>
        <v>-8.7738095238087954E-4</v>
      </c>
      <c r="N143">
        <f t="shared" si="28"/>
        <v>-2.4592892847151318E-4</v>
      </c>
      <c r="O143" s="3">
        <f t="shared" si="29"/>
        <v>-2.459289284715132</v>
      </c>
      <c r="P143">
        <v>282</v>
      </c>
    </row>
    <row r="144" spans="1:16" x14ac:dyDescent="0.25">
      <c r="A144">
        <v>142</v>
      </c>
      <c r="B144">
        <v>3.8077000000000001</v>
      </c>
      <c r="C144" s="3">
        <v>3.5867142857142857</v>
      </c>
      <c r="D144" s="8">
        <f t="shared" si="24"/>
        <v>-0.22098571428571434</v>
      </c>
      <c r="E144" s="8">
        <f t="shared" si="25"/>
        <v>-0.22239523809523809</v>
      </c>
      <c r="F144" s="3">
        <v>29.187999999999988</v>
      </c>
      <c r="G144" s="9">
        <v>5925.3999999999978</v>
      </c>
      <c r="H144">
        <f t="shared" si="26"/>
        <v>-6.4912722095238067</v>
      </c>
      <c r="I144">
        <f t="shared" si="20"/>
        <v>-6.4912722095238067</v>
      </c>
      <c r="J144">
        <f t="shared" si="21"/>
        <v>-1.0954994109298628</v>
      </c>
      <c r="K144">
        <f t="shared" si="22"/>
        <v>9.5000000000000639E-4</v>
      </c>
      <c r="L144">
        <f t="shared" si="23"/>
        <v>-1.9547619047621811E-3</v>
      </c>
      <c r="M144">
        <f t="shared" si="27"/>
        <v>-5.0238095238108738E-4</v>
      </c>
      <c r="N144">
        <f t="shared" si="28"/>
        <v>-4.3514825614360204E-4</v>
      </c>
      <c r="O144" s="3">
        <f t="shared" si="29"/>
        <v>-4.3514825614360202</v>
      </c>
      <c r="P144">
        <v>284</v>
      </c>
    </row>
    <row r="145" spans="1:16" x14ac:dyDescent="0.25">
      <c r="A145">
        <v>143</v>
      </c>
      <c r="B145">
        <v>3.8083</v>
      </c>
      <c r="C145" s="3">
        <v>3.5844952380952382</v>
      </c>
      <c r="D145" s="8">
        <f t="shared" si="24"/>
        <v>-0.22380476190476184</v>
      </c>
      <c r="E145" s="8">
        <f t="shared" si="25"/>
        <v>-0.2232738095238096</v>
      </c>
      <c r="F145" s="3">
        <v>29.151999999999987</v>
      </c>
      <c r="G145" s="9">
        <v>5918.5999999999985</v>
      </c>
      <c r="H145">
        <f t="shared" si="26"/>
        <v>-6.508878095238094</v>
      </c>
      <c r="I145">
        <f t="shared" si="20"/>
        <v>-6.508878095238094</v>
      </c>
      <c r="J145">
        <f t="shared" si="21"/>
        <v>-1.0997327231504235</v>
      </c>
      <c r="K145">
        <f t="shared" si="22"/>
        <v>-1.6000000000000458E-3</v>
      </c>
      <c r="L145">
        <f t="shared" si="23"/>
        <v>-2.4785714285715521E-3</v>
      </c>
      <c r="M145">
        <f t="shared" si="27"/>
        <v>-2.039285714285799E-3</v>
      </c>
      <c r="N145">
        <f t="shared" si="28"/>
        <v>-1.0761364333109451E-4</v>
      </c>
      <c r="O145" s="3">
        <f t="shared" si="29"/>
        <v>-1.0761364333109451</v>
      </c>
      <c r="P145">
        <v>286</v>
      </c>
    </row>
    <row r="146" spans="1:16" x14ac:dyDescent="0.25">
      <c r="A146">
        <v>144</v>
      </c>
      <c r="B146">
        <v>3.8045</v>
      </c>
      <c r="C146" s="3">
        <v>3.5817571428571426</v>
      </c>
      <c r="D146" s="8">
        <f t="shared" si="24"/>
        <v>-0.22274285714285735</v>
      </c>
      <c r="E146" s="8">
        <f t="shared" si="25"/>
        <v>-0.22355952380952382</v>
      </c>
      <c r="F146" s="3">
        <v>29.115999999999993</v>
      </c>
      <c r="G146" s="9">
        <v>5911.7999999999984</v>
      </c>
      <c r="H146">
        <f t="shared" si="26"/>
        <v>-6.5091590952380942</v>
      </c>
      <c r="I146">
        <f t="shared" si="20"/>
        <v>-6.5091590952380942</v>
      </c>
      <c r="J146">
        <f t="shared" si="21"/>
        <v>-1.1010452138499436</v>
      </c>
      <c r="K146">
        <f t="shared" si="22"/>
        <v>-1.9500000000001183E-3</v>
      </c>
      <c r="L146">
        <f t="shared" si="23"/>
        <v>-2.2357142857143408E-3</v>
      </c>
      <c r="M146">
        <f t="shared" si="27"/>
        <v>-2.0928571428572296E-3</v>
      </c>
      <c r="N146">
        <f t="shared" si="28"/>
        <v>-1.0498417329413223E-4</v>
      </c>
      <c r="O146" s="3">
        <f t="shared" si="29"/>
        <v>-1.0498417329413223</v>
      </c>
      <c r="P146">
        <v>288</v>
      </c>
    </row>
    <row r="147" spans="1:16" x14ac:dyDescent="0.25">
      <c r="A147">
        <v>145</v>
      </c>
      <c r="B147">
        <v>3.8043999999999998</v>
      </c>
      <c r="C147" s="3">
        <v>3.5800238095238095</v>
      </c>
      <c r="D147" s="8">
        <f t="shared" si="24"/>
        <v>-0.22437619047619028</v>
      </c>
      <c r="E147" s="8">
        <f t="shared" si="25"/>
        <v>-0.2234857142857134</v>
      </c>
      <c r="F147" s="3">
        <v>29.079999999999995</v>
      </c>
      <c r="G147" s="9">
        <v>5904.9999999999982</v>
      </c>
      <c r="H147">
        <f t="shared" si="26"/>
        <v>-6.4989645714285444</v>
      </c>
      <c r="I147">
        <f t="shared" si="20"/>
        <v>-6.4989645714285444</v>
      </c>
      <c r="J147">
        <f t="shared" si="21"/>
        <v>-1.1005867182774844</v>
      </c>
      <c r="K147">
        <f t="shared" si="22"/>
        <v>-1.9499999999998963E-3</v>
      </c>
      <c r="L147">
        <f t="shared" si="23"/>
        <v>-1.8761904761894765E-3</v>
      </c>
      <c r="M147">
        <f t="shared" si="27"/>
        <v>-1.9130952380946864E-3</v>
      </c>
      <c r="N147">
        <f t="shared" si="28"/>
        <v>-1.1480107128213928E-4</v>
      </c>
      <c r="O147" s="3">
        <f t="shared" si="29"/>
        <v>-1.1480107128213928</v>
      </c>
      <c r="P147">
        <v>290</v>
      </c>
    </row>
    <row r="148" spans="1:16" x14ac:dyDescent="0.25">
      <c r="A148">
        <v>146</v>
      </c>
      <c r="B148">
        <v>3.8006000000000002</v>
      </c>
      <c r="C148" s="3">
        <v>3.5780047619047637</v>
      </c>
      <c r="D148" s="8">
        <f t="shared" si="24"/>
        <v>-0.22259523809523651</v>
      </c>
      <c r="E148" s="8">
        <f t="shared" si="25"/>
        <v>-0.22248095238095189</v>
      </c>
      <c r="F148" s="3">
        <v>29.043999999999993</v>
      </c>
      <c r="G148" s="9">
        <v>5898.1999999999989</v>
      </c>
      <c r="H148">
        <f t="shared" si="26"/>
        <v>-6.4617367809523651</v>
      </c>
      <c r="I148">
        <f t="shared" si="20"/>
        <v>-6.4617367809523651</v>
      </c>
      <c r="J148">
        <f t="shared" si="21"/>
        <v>-1.0955438576095022</v>
      </c>
      <c r="K148">
        <f t="shared" si="22"/>
        <v>-2.6999999999999247E-3</v>
      </c>
      <c r="L148">
        <f t="shared" si="23"/>
        <v>-1.6952380952384161E-3</v>
      </c>
      <c r="M148">
        <f t="shared" si="27"/>
        <v>-2.1976190476191704E-3</v>
      </c>
      <c r="N148">
        <f t="shared" si="28"/>
        <v>-9.9479964488638682E-5</v>
      </c>
      <c r="O148" s="3">
        <f t="shared" si="29"/>
        <v>-0.99479964488638684</v>
      </c>
      <c r="P148">
        <v>292</v>
      </c>
    </row>
    <row r="149" spans="1:16" x14ac:dyDescent="0.25">
      <c r="A149">
        <v>147</v>
      </c>
      <c r="B149">
        <v>3.7989999999999999</v>
      </c>
      <c r="C149" s="3">
        <v>3.5766333333333327</v>
      </c>
      <c r="D149" s="8">
        <f t="shared" si="24"/>
        <v>-0.22236666666666727</v>
      </c>
      <c r="E149" s="8">
        <f t="shared" si="25"/>
        <v>-0.22430000000000017</v>
      </c>
      <c r="F149" s="3">
        <v>29.007999999999992</v>
      </c>
      <c r="G149" s="9">
        <v>5891.4</v>
      </c>
      <c r="H149">
        <f t="shared" si="26"/>
        <v>-6.5064944000000029</v>
      </c>
      <c r="I149">
        <f t="shared" si="20"/>
        <v>-6.5064944000000029</v>
      </c>
      <c r="J149">
        <f t="shared" si="21"/>
        <v>-1.1044054723834746</v>
      </c>
      <c r="K149">
        <f t="shared" si="22"/>
        <v>4.4999999999983942E-4</v>
      </c>
      <c r="L149">
        <f t="shared" si="23"/>
        <v>-1.3690476190484357E-3</v>
      </c>
      <c r="M149">
        <f t="shared" si="27"/>
        <v>-4.5952380952429817E-4</v>
      </c>
      <c r="N149">
        <f t="shared" si="28"/>
        <v>-4.7959958129082677E-4</v>
      </c>
      <c r="O149" s="3">
        <f t="shared" si="29"/>
        <v>-4.7959958129082674</v>
      </c>
      <c r="P149">
        <v>294</v>
      </c>
    </row>
    <row r="150" spans="1:16" x14ac:dyDescent="0.25">
      <c r="A150">
        <v>148</v>
      </c>
      <c r="B150">
        <v>3.8014999999999999</v>
      </c>
      <c r="C150" s="3">
        <v>3.5752666666666668</v>
      </c>
      <c r="D150" s="8">
        <f t="shared" si="24"/>
        <v>-0.22623333333333306</v>
      </c>
      <c r="E150" s="8">
        <f t="shared" si="25"/>
        <v>-0.22650238095238051</v>
      </c>
      <c r="F150" s="3">
        <v>28.971999999999998</v>
      </c>
      <c r="G150" s="9">
        <v>5884.5999999999995</v>
      </c>
      <c r="H150">
        <f t="shared" si="26"/>
        <v>-6.5622269809523672</v>
      </c>
      <c r="I150">
        <f t="shared" si="20"/>
        <v>-6.5622269809523672</v>
      </c>
      <c r="J150">
        <f t="shared" si="21"/>
        <v>-1.1151525984692872</v>
      </c>
      <c r="K150">
        <f t="shared" si="22"/>
        <v>7.5000000000002842E-4</v>
      </c>
      <c r="L150">
        <f t="shared" si="23"/>
        <v>-1.4523809523803166E-3</v>
      </c>
      <c r="M150">
        <f t="shared" si="27"/>
        <v>-3.511904761901441E-4</v>
      </c>
      <c r="N150">
        <f t="shared" si="28"/>
        <v>-6.3365057709042724E-4</v>
      </c>
      <c r="O150" s="3">
        <f t="shared" si="29"/>
        <v>-6.3365057709042727</v>
      </c>
      <c r="P150">
        <v>296</v>
      </c>
    </row>
    <row r="151" spans="1:16" x14ac:dyDescent="0.25">
      <c r="A151">
        <v>149</v>
      </c>
      <c r="B151">
        <v>3.8005</v>
      </c>
      <c r="C151" s="3">
        <v>3.573728571428572</v>
      </c>
      <c r="D151" s="8">
        <f t="shared" si="24"/>
        <v>-0.22677142857142796</v>
      </c>
      <c r="E151" s="8">
        <f t="shared" si="25"/>
        <v>-0.22508571428571411</v>
      </c>
      <c r="F151" s="3">
        <v>28.936</v>
      </c>
      <c r="G151" s="9">
        <v>5877.7999999999993</v>
      </c>
      <c r="H151">
        <f t="shared" si="26"/>
        <v>-6.5130802285714235</v>
      </c>
      <c r="I151">
        <f t="shared" si="20"/>
        <v>-6.5130802285714235</v>
      </c>
      <c r="J151">
        <f t="shared" si="21"/>
        <v>-1.1080812937785267</v>
      </c>
      <c r="K151">
        <f t="shared" si="22"/>
        <v>-2.8999999999999027E-3</v>
      </c>
      <c r="L151">
        <f t="shared" si="23"/>
        <v>-1.483333333333503E-3</v>
      </c>
      <c r="M151">
        <f t="shared" si="27"/>
        <v>-2.1916666666667028E-3</v>
      </c>
      <c r="N151">
        <f t="shared" si="28"/>
        <v>-1.0089168722398026E-4</v>
      </c>
      <c r="O151" s="3">
        <f t="shared" si="29"/>
        <v>-1.0089168722398025</v>
      </c>
      <c r="P151">
        <v>298</v>
      </c>
    </row>
    <row r="152" spans="1:16" x14ac:dyDescent="0.25">
      <c r="A152">
        <v>150</v>
      </c>
      <c r="B152">
        <v>3.7957000000000001</v>
      </c>
      <c r="C152" s="3">
        <v>3.5722999999999998</v>
      </c>
      <c r="D152" s="8">
        <f t="shared" si="24"/>
        <v>-0.22340000000000027</v>
      </c>
      <c r="E152" s="8">
        <f t="shared" si="25"/>
        <v>-0.22306190476190468</v>
      </c>
      <c r="F152" s="3">
        <v>28.9</v>
      </c>
      <c r="G152">
        <v>5871</v>
      </c>
      <c r="H152">
        <f t="shared" si="26"/>
        <v>-6.4464890476190453</v>
      </c>
      <c r="I152">
        <f t="shared" si="20"/>
        <v>-6.4464890476190453</v>
      </c>
      <c r="J152">
        <f t="shared" si="21"/>
        <v>-1.0980223211751057</v>
      </c>
      <c r="K152">
        <f t="shared" si="22"/>
        <v>-3.8499999999999091E-3</v>
      </c>
      <c r="L152">
        <f t="shared" si="23"/>
        <v>-1.8261904761904812E-3</v>
      </c>
      <c r="M152">
        <f t="shared" si="27"/>
        <v>-2.8380952380951951E-3</v>
      </c>
      <c r="N152">
        <f t="shared" si="28"/>
        <v>-7.7204473873414726E-5</v>
      </c>
      <c r="O152" s="3">
        <f t="shared" si="29"/>
        <v>-0.77204473873414725</v>
      </c>
      <c r="P152">
        <v>300</v>
      </c>
    </row>
    <row r="153" spans="1:16" x14ac:dyDescent="0.25">
      <c r="A153">
        <v>151</v>
      </c>
      <c r="B153">
        <v>3.7928000000000002</v>
      </c>
      <c r="C153" s="3">
        <v>3.5700761904761911</v>
      </c>
      <c r="D153" s="8">
        <f t="shared" si="24"/>
        <v>-0.2227238095238091</v>
      </c>
      <c r="E153" s="8">
        <f t="shared" si="25"/>
        <v>-0.22232857142857076</v>
      </c>
      <c r="F153" s="3">
        <v>28.880000000000003</v>
      </c>
      <c r="G153" s="9">
        <v>5864.4</v>
      </c>
      <c r="H153">
        <f t="shared" si="26"/>
        <v>-6.4208491428571239</v>
      </c>
      <c r="I153">
        <f t="shared" ref="I153:I216" si="30">H153</f>
        <v>-6.4208491428571239</v>
      </c>
      <c r="J153">
        <f t="shared" ref="J153:J216" si="31">(I153/G153)*1000</f>
        <v>-1.0948859461934937</v>
      </c>
      <c r="K153">
        <f t="shared" ref="K153:K216" si="32">(B154-B152)/(A154-A152)</f>
        <v>-2.7000000000001467E-3</v>
      </c>
      <c r="L153">
        <f t="shared" ref="L153:L216" si="33">(C154-C152)/(A154-A152)</f>
        <v>-1.966666666666228E-3</v>
      </c>
      <c r="M153">
        <f t="shared" si="27"/>
        <v>-2.3333333333331874E-3</v>
      </c>
      <c r="N153">
        <f t="shared" si="28"/>
        <v>-9.363761855103671E-5</v>
      </c>
      <c r="O153" s="3">
        <f t="shared" si="29"/>
        <v>-0.93637618551036705</v>
      </c>
      <c r="P153">
        <v>302</v>
      </c>
    </row>
    <row r="154" spans="1:16" x14ac:dyDescent="0.25">
      <c r="A154">
        <v>152</v>
      </c>
      <c r="B154">
        <v>3.7902999999999998</v>
      </c>
      <c r="C154" s="3">
        <v>3.5683666666666674</v>
      </c>
      <c r="D154" s="8">
        <f t="shared" ref="D154:D217" si="34">C154-B154</f>
        <v>-0.22193333333333243</v>
      </c>
      <c r="E154" s="8">
        <f t="shared" si="25"/>
        <v>-0.22121666666666595</v>
      </c>
      <c r="F154" s="3">
        <v>28.860000000000003</v>
      </c>
      <c r="G154" s="9">
        <v>5857.7999999999993</v>
      </c>
      <c r="H154">
        <f t="shared" si="26"/>
        <v>-6.3843129999999801</v>
      </c>
      <c r="I154">
        <f t="shared" si="30"/>
        <v>-6.3843129999999801</v>
      </c>
      <c r="J154">
        <f t="shared" si="31"/>
        <v>-1.0898823790501522</v>
      </c>
      <c r="K154">
        <f t="shared" si="32"/>
        <v>-2.5500000000000522E-3</v>
      </c>
      <c r="L154">
        <f t="shared" si="33"/>
        <v>-1.4380952380952383E-3</v>
      </c>
      <c r="M154">
        <f t="shared" si="27"/>
        <v>-1.9940476190476453E-3</v>
      </c>
      <c r="N154">
        <f t="shared" si="28"/>
        <v>-1.0906926078445367E-4</v>
      </c>
      <c r="O154" s="3">
        <f t="shared" si="29"/>
        <v>-1.0906926078445367</v>
      </c>
      <c r="P154">
        <v>304</v>
      </c>
    </row>
    <row r="155" spans="1:16" x14ac:dyDescent="0.25">
      <c r="A155">
        <v>153</v>
      </c>
      <c r="B155">
        <v>3.7877000000000001</v>
      </c>
      <c r="C155" s="3">
        <v>3.5672000000000006</v>
      </c>
      <c r="D155" s="8">
        <f t="shared" si="34"/>
        <v>-0.22049999999999947</v>
      </c>
      <c r="E155" s="8">
        <f t="shared" si="25"/>
        <v>-0.22126428571428569</v>
      </c>
      <c r="F155" s="3">
        <v>28.840000000000003</v>
      </c>
      <c r="G155" s="9">
        <v>5851.1999999999989</v>
      </c>
      <c r="H155">
        <f t="shared" si="26"/>
        <v>-6.3812620000000004</v>
      </c>
      <c r="I155">
        <f t="shared" si="30"/>
        <v>-6.3812620000000004</v>
      </c>
      <c r="J155">
        <f t="shared" si="31"/>
        <v>-1.0905903062619637</v>
      </c>
      <c r="K155">
        <f t="shared" si="32"/>
        <v>-1.1999999999998678E-3</v>
      </c>
      <c r="L155">
        <f t="shared" si="33"/>
        <v>-1.2476190476196081E-3</v>
      </c>
      <c r="M155">
        <f t="shared" si="27"/>
        <v>-1.223809523809738E-3</v>
      </c>
      <c r="N155">
        <f t="shared" si="28"/>
        <v>-1.7783042584996558E-4</v>
      </c>
      <c r="O155" s="3">
        <f t="shared" si="29"/>
        <v>-1.7783042584996558</v>
      </c>
      <c r="P155">
        <v>306</v>
      </c>
    </row>
    <row r="156" spans="1:16" x14ac:dyDescent="0.25">
      <c r="A156">
        <v>154</v>
      </c>
      <c r="B156">
        <v>3.7879</v>
      </c>
      <c r="C156" s="3">
        <v>3.5658714285714281</v>
      </c>
      <c r="D156" s="8">
        <f t="shared" si="34"/>
        <v>-0.22202857142857191</v>
      </c>
      <c r="E156" s="8">
        <f t="shared" si="25"/>
        <v>-0.21176190476190482</v>
      </c>
      <c r="F156" s="3">
        <v>28.820000000000004</v>
      </c>
      <c r="G156" s="9">
        <v>5844.5999999999985</v>
      </c>
      <c r="H156">
        <f t="shared" si="26"/>
        <v>-6.1029780952380976</v>
      </c>
      <c r="I156">
        <f t="shared" si="30"/>
        <v>-6.1029780952380976</v>
      </c>
      <c r="J156">
        <f t="shared" si="31"/>
        <v>-1.0442080031547238</v>
      </c>
      <c r="K156">
        <f t="shared" si="32"/>
        <v>-1.1050000000000004E-2</v>
      </c>
      <c r="L156">
        <f t="shared" si="33"/>
        <v>-1.5476190476191309E-3</v>
      </c>
      <c r="M156">
        <f t="shared" si="27"/>
        <v>-6.2988095238095676E-3</v>
      </c>
      <c r="N156">
        <f t="shared" si="28"/>
        <v>-3.3081622836739937E-5</v>
      </c>
      <c r="O156" s="3">
        <f t="shared" si="29"/>
        <v>-0.33081622836739938</v>
      </c>
      <c r="P156">
        <v>308</v>
      </c>
    </row>
    <row r="157" spans="1:16" x14ac:dyDescent="0.25">
      <c r="A157">
        <v>155</v>
      </c>
      <c r="B157">
        <v>3.7656000000000001</v>
      </c>
      <c r="C157" s="3">
        <v>3.5641047619047623</v>
      </c>
      <c r="D157" s="8">
        <f t="shared" si="34"/>
        <v>-0.20149523809523773</v>
      </c>
      <c r="E157" s="8">
        <f t="shared" si="25"/>
        <v>-0.19606904761904742</v>
      </c>
      <c r="F157" s="3">
        <v>28.800000000000004</v>
      </c>
      <c r="G157" s="9">
        <v>5837.9999999999982</v>
      </c>
      <c r="H157">
        <f t="shared" si="26"/>
        <v>-5.6467885714285666</v>
      </c>
      <c r="I157">
        <f t="shared" si="30"/>
        <v>-5.6467885714285666</v>
      </c>
      <c r="J157">
        <f t="shared" si="31"/>
        <v>-0.96724710027895999</v>
      </c>
      <c r="K157">
        <f t="shared" si="32"/>
        <v>-1.7500000000000071E-2</v>
      </c>
      <c r="L157">
        <f t="shared" si="33"/>
        <v>-1.807142857142674E-3</v>
      </c>
      <c r="M157">
        <f t="shared" si="27"/>
        <v>-9.6535714285713725E-3</v>
      </c>
      <c r="N157">
        <f t="shared" si="28"/>
        <v>-1.9994368225837122E-5</v>
      </c>
      <c r="O157" s="3">
        <f t="shared" si="29"/>
        <v>-0.19994368225837122</v>
      </c>
      <c r="P157">
        <v>310</v>
      </c>
    </row>
    <row r="158" spans="1:16" x14ac:dyDescent="0.25">
      <c r="A158">
        <v>156</v>
      </c>
      <c r="B158">
        <v>3.7528999999999999</v>
      </c>
      <c r="C158" s="3">
        <v>3.5622571428571428</v>
      </c>
      <c r="D158" s="8">
        <f t="shared" si="34"/>
        <v>-0.19064285714285711</v>
      </c>
      <c r="E158" s="8">
        <f t="shared" si="25"/>
        <v>-0.19208333333333294</v>
      </c>
      <c r="F158" s="3">
        <v>28.780000000000008</v>
      </c>
      <c r="G158" s="9">
        <v>5831.3999999999978</v>
      </c>
      <c r="H158">
        <f t="shared" si="26"/>
        <v>-5.528158333333324</v>
      </c>
      <c r="I158">
        <f t="shared" si="30"/>
        <v>-5.528158333333324</v>
      </c>
      <c r="J158">
        <f t="shared" si="31"/>
        <v>-0.94799847949606031</v>
      </c>
      <c r="K158">
        <f t="shared" si="32"/>
        <v>-5.9000000000000163E-3</v>
      </c>
      <c r="L158">
        <f t="shared" si="33"/>
        <v>-1.9142857142855352E-3</v>
      </c>
      <c r="M158">
        <f t="shared" si="27"/>
        <v>-3.9071428571427758E-3</v>
      </c>
      <c r="N158">
        <f t="shared" si="28"/>
        <v>-4.8417974132623437E-5</v>
      </c>
      <c r="O158" s="3">
        <f t="shared" si="29"/>
        <v>-0.48417974132623437</v>
      </c>
      <c r="P158">
        <v>312</v>
      </c>
    </row>
    <row r="159" spans="1:16" x14ac:dyDescent="0.25">
      <c r="A159">
        <v>157</v>
      </c>
      <c r="B159">
        <v>3.7538</v>
      </c>
      <c r="C159" s="3">
        <v>3.5602761904761913</v>
      </c>
      <c r="D159" s="8">
        <f t="shared" si="34"/>
        <v>-0.19352380952380877</v>
      </c>
      <c r="E159" s="8">
        <f t="shared" si="25"/>
        <v>-0.19222619047618994</v>
      </c>
      <c r="F159" s="3">
        <v>28.760000000000009</v>
      </c>
      <c r="G159" s="9">
        <v>5824.7999999999984</v>
      </c>
      <c r="H159">
        <f t="shared" si="26"/>
        <v>-5.5284252380952239</v>
      </c>
      <c r="I159">
        <f t="shared" si="30"/>
        <v>-5.5284252380952239</v>
      </c>
      <c r="J159">
        <f t="shared" si="31"/>
        <v>-0.94911846554306167</v>
      </c>
      <c r="K159">
        <f t="shared" si="32"/>
        <v>-1.7000000000000348E-3</v>
      </c>
      <c r="L159">
        <f t="shared" si="33"/>
        <v>-1.8428571428570351E-3</v>
      </c>
      <c r="M159">
        <f t="shared" si="27"/>
        <v>-1.7714285714285349E-3</v>
      </c>
      <c r="N159">
        <f t="shared" si="28"/>
        <v>-1.0691903778763904E-4</v>
      </c>
      <c r="O159" s="3">
        <f t="shared" si="29"/>
        <v>-1.0691903778763903</v>
      </c>
      <c r="P159">
        <v>314</v>
      </c>
    </row>
    <row r="160" spans="1:16" x14ac:dyDescent="0.25">
      <c r="A160">
        <v>158</v>
      </c>
      <c r="B160">
        <v>3.7494999999999998</v>
      </c>
      <c r="C160" s="3">
        <v>3.5585714285714287</v>
      </c>
      <c r="D160" s="8">
        <f t="shared" si="34"/>
        <v>-0.19092857142857111</v>
      </c>
      <c r="E160" s="8">
        <f t="shared" si="25"/>
        <v>-0.19360476190476161</v>
      </c>
      <c r="F160" s="3">
        <v>28.740000000000009</v>
      </c>
      <c r="G160" s="9">
        <v>5818.1999999999989</v>
      </c>
      <c r="H160">
        <f t="shared" si="26"/>
        <v>-5.5642008571428505</v>
      </c>
      <c r="I160">
        <f t="shared" si="30"/>
        <v>-5.5642008571428505</v>
      </c>
      <c r="J160">
        <f t="shared" si="31"/>
        <v>-0.95634403374632215</v>
      </c>
      <c r="K160">
        <f t="shared" si="32"/>
        <v>-2.9999999999996696E-4</v>
      </c>
      <c r="L160">
        <f t="shared" si="33"/>
        <v>-1.6785714285716402E-3</v>
      </c>
      <c r="M160">
        <f t="shared" si="27"/>
        <v>-9.8928571428580359E-4</v>
      </c>
      <c r="N160">
        <f t="shared" si="28"/>
        <v>-1.9290819571304396E-4</v>
      </c>
      <c r="O160" s="3">
        <f t="shared" si="29"/>
        <v>-1.9290819571304396</v>
      </c>
      <c r="P160">
        <v>316</v>
      </c>
    </row>
    <row r="161" spans="1:16" x14ac:dyDescent="0.25">
      <c r="A161">
        <v>159</v>
      </c>
      <c r="B161">
        <v>3.7532000000000001</v>
      </c>
      <c r="C161" s="3">
        <v>3.556919047619048</v>
      </c>
      <c r="D161" s="8">
        <f t="shared" si="34"/>
        <v>-0.19628095238095211</v>
      </c>
      <c r="E161" s="8">
        <f t="shared" si="25"/>
        <v>-0.19434047619047612</v>
      </c>
      <c r="F161" s="3">
        <v>28.72000000000001</v>
      </c>
      <c r="G161" s="9">
        <v>5811.5999999999985</v>
      </c>
      <c r="H161">
        <f t="shared" si="26"/>
        <v>-5.581458476190476</v>
      </c>
      <c r="I161">
        <f t="shared" si="30"/>
        <v>-5.581458476190476</v>
      </c>
      <c r="J161">
        <f t="shared" si="31"/>
        <v>-0.96039962767404463</v>
      </c>
      <c r="K161">
        <f t="shared" si="32"/>
        <v>-8.9999999999990088E-4</v>
      </c>
      <c r="L161">
        <f t="shared" si="33"/>
        <v>-1.6357142857144069E-3</v>
      </c>
      <c r="M161">
        <f t="shared" si="27"/>
        <v>-1.2678571428571539E-3</v>
      </c>
      <c r="N161">
        <f t="shared" si="28"/>
        <v>-1.5116105880502611E-4</v>
      </c>
      <c r="O161" s="3">
        <f t="shared" si="29"/>
        <v>-1.5116105880502611</v>
      </c>
      <c r="P161">
        <v>318</v>
      </c>
    </row>
    <row r="162" spans="1:16" x14ac:dyDescent="0.25">
      <c r="A162">
        <v>160</v>
      </c>
      <c r="B162">
        <v>3.7477</v>
      </c>
      <c r="C162" s="3">
        <v>3.5552999999999999</v>
      </c>
      <c r="D162" s="8">
        <f t="shared" si="34"/>
        <v>-0.19240000000000013</v>
      </c>
      <c r="E162" s="8">
        <f t="shared" si="25"/>
        <v>-0.19177619047619077</v>
      </c>
      <c r="F162" s="3">
        <v>28.70000000000001</v>
      </c>
      <c r="G162" s="9">
        <v>5804.9999999999982</v>
      </c>
      <c r="H162">
        <f t="shared" si="26"/>
        <v>-5.5039766666666772</v>
      </c>
      <c r="I162">
        <f t="shared" si="30"/>
        <v>-5.5039766666666772</v>
      </c>
      <c r="J162">
        <f t="shared" si="31"/>
        <v>-0.94814412862475084</v>
      </c>
      <c r="K162">
        <f t="shared" si="32"/>
        <v>-3.9500000000001201E-3</v>
      </c>
      <c r="L162">
        <f t="shared" si="33"/>
        <v>-1.3857142857147675E-3</v>
      </c>
      <c r="M162">
        <f t="shared" si="27"/>
        <v>-2.6678571428574438E-3</v>
      </c>
      <c r="N162">
        <f t="shared" si="28"/>
        <v>-7.0920216630383898E-5</v>
      </c>
      <c r="O162" s="3">
        <f t="shared" si="29"/>
        <v>-0.70920216630383892</v>
      </c>
      <c r="P162">
        <v>320</v>
      </c>
    </row>
    <row r="163" spans="1:16" x14ac:dyDescent="0.25">
      <c r="A163">
        <v>161</v>
      </c>
      <c r="B163">
        <v>3.7452999999999999</v>
      </c>
      <c r="C163" s="3">
        <v>3.5541476190476184</v>
      </c>
      <c r="D163" s="8">
        <f t="shared" si="34"/>
        <v>-0.19115238095238141</v>
      </c>
      <c r="E163" s="8">
        <f t="shared" si="25"/>
        <v>-0.19109523809523798</v>
      </c>
      <c r="F163" s="3">
        <v>28.680000000000014</v>
      </c>
      <c r="G163" s="9">
        <v>5798.3999999999987</v>
      </c>
      <c r="H163">
        <f t="shared" si="26"/>
        <v>-5.4806114285714278</v>
      </c>
      <c r="I163">
        <f t="shared" si="30"/>
        <v>-5.4806114285714278</v>
      </c>
      <c r="J163">
        <f t="shared" si="31"/>
        <v>-0.94519374802901301</v>
      </c>
      <c r="K163">
        <f t="shared" si="32"/>
        <v>-1.8000000000000238E-3</v>
      </c>
      <c r="L163">
        <f t="shared" si="33"/>
        <v>-1.119047619047242E-3</v>
      </c>
      <c r="M163">
        <f t="shared" si="27"/>
        <v>-1.4595238095236329E-3</v>
      </c>
      <c r="N163">
        <f t="shared" si="28"/>
        <v>-1.2923136161042771E-4</v>
      </c>
      <c r="O163" s="3">
        <f t="shared" si="29"/>
        <v>-1.2923136161042772</v>
      </c>
      <c r="P163">
        <v>322</v>
      </c>
    </row>
    <row r="164" spans="1:16" x14ac:dyDescent="0.25">
      <c r="A164">
        <v>162</v>
      </c>
      <c r="B164">
        <v>3.7441</v>
      </c>
      <c r="C164" s="3">
        <v>3.5530619047619054</v>
      </c>
      <c r="D164" s="8">
        <f t="shared" si="34"/>
        <v>-0.19103809523809456</v>
      </c>
      <c r="E164" s="8">
        <f t="shared" si="25"/>
        <v>-0.19227142857142776</v>
      </c>
      <c r="F164" s="3">
        <v>28.660000000000014</v>
      </c>
      <c r="G164" s="9">
        <v>5791.7999999999993</v>
      </c>
      <c r="H164">
        <f t="shared" si="26"/>
        <v>-5.5104991428571219</v>
      </c>
      <c r="I164">
        <f t="shared" si="30"/>
        <v>-5.5104991428571219</v>
      </c>
      <c r="J164">
        <f t="shared" si="31"/>
        <v>-0.95143118596241627</v>
      </c>
      <c r="K164">
        <f t="shared" si="32"/>
        <v>-1.9999999999997797E-4</v>
      </c>
      <c r="L164">
        <f t="shared" si="33"/>
        <v>-1.3761904761897537E-3</v>
      </c>
      <c r="M164">
        <f t="shared" si="27"/>
        <v>-7.8809523809486581E-4</v>
      </c>
      <c r="N164">
        <f t="shared" si="28"/>
        <v>-2.4091117353587397E-4</v>
      </c>
      <c r="O164" s="3">
        <f t="shared" si="29"/>
        <v>-2.4091117353587399</v>
      </c>
      <c r="P164">
        <v>324</v>
      </c>
    </row>
    <row r="165" spans="1:16" x14ac:dyDescent="0.25">
      <c r="A165">
        <v>163</v>
      </c>
      <c r="B165">
        <v>3.7448999999999999</v>
      </c>
      <c r="C165" s="3">
        <v>3.5513952380952389</v>
      </c>
      <c r="D165" s="8">
        <f t="shared" si="34"/>
        <v>-0.19350476190476096</v>
      </c>
      <c r="E165" s="8">
        <f t="shared" si="25"/>
        <v>-0.19425476190476143</v>
      </c>
      <c r="F165" s="3">
        <v>28.640000000000015</v>
      </c>
      <c r="G165" s="9">
        <v>5785.1999999999989</v>
      </c>
      <c r="H165">
        <f t="shared" si="26"/>
        <v>-5.5634563809523705</v>
      </c>
      <c r="I165">
        <f t="shared" si="30"/>
        <v>-5.5634563809523705</v>
      </c>
      <c r="J165">
        <f t="shared" si="31"/>
        <v>-0.96167053532330282</v>
      </c>
      <c r="K165">
        <f t="shared" si="32"/>
        <v>1.9999999999997797E-4</v>
      </c>
      <c r="L165">
        <f t="shared" si="33"/>
        <v>-1.783333333333692E-3</v>
      </c>
      <c r="M165">
        <f t="shared" si="27"/>
        <v>-7.9166666666685703E-4</v>
      </c>
      <c r="N165">
        <f t="shared" si="28"/>
        <v>-2.4240535776443628E-4</v>
      </c>
      <c r="O165" s="3">
        <f t="shared" si="29"/>
        <v>-2.4240535776443628</v>
      </c>
      <c r="P165">
        <v>326</v>
      </c>
    </row>
    <row r="166" spans="1:16" x14ac:dyDescent="0.25">
      <c r="A166">
        <v>164</v>
      </c>
      <c r="B166">
        <v>3.7444999999999999</v>
      </c>
      <c r="C166" s="3">
        <v>3.549495238095238</v>
      </c>
      <c r="D166" s="8">
        <f t="shared" si="34"/>
        <v>-0.1950047619047619</v>
      </c>
      <c r="E166" s="8">
        <f t="shared" si="25"/>
        <v>-0.19605476190476168</v>
      </c>
      <c r="F166" s="3">
        <v>28.620000000000015</v>
      </c>
      <c r="G166" s="9">
        <v>5778.5999999999985</v>
      </c>
      <c r="H166">
        <f t="shared" si="26"/>
        <v>-5.6110872857142819</v>
      </c>
      <c r="I166">
        <f t="shared" si="30"/>
        <v>-5.6110872857142819</v>
      </c>
      <c r="J166">
        <f t="shared" si="31"/>
        <v>-0.97101154011599411</v>
      </c>
      <c r="K166">
        <f t="shared" si="32"/>
        <v>-4.9999999999883471E-5</v>
      </c>
      <c r="L166">
        <f t="shared" si="33"/>
        <v>-1.8500000000001293E-3</v>
      </c>
      <c r="M166">
        <f t="shared" si="27"/>
        <v>-9.5000000000000639E-4</v>
      </c>
      <c r="N166">
        <f t="shared" si="28"/>
        <v>-2.0396659695250797E-4</v>
      </c>
      <c r="O166" s="3">
        <f t="shared" si="29"/>
        <v>-2.0396659695250796</v>
      </c>
      <c r="P166">
        <v>328</v>
      </c>
    </row>
    <row r="167" spans="1:16" x14ac:dyDescent="0.25">
      <c r="A167">
        <v>165</v>
      </c>
      <c r="B167">
        <v>3.7448000000000001</v>
      </c>
      <c r="C167" s="3">
        <v>3.5476952380952387</v>
      </c>
      <c r="D167" s="8">
        <f t="shared" si="34"/>
        <v>-0.19710476190476145</v>
      </c>
      <c r="E167" s="8">
        <f t="shared" si="25"/>
        <v>-0.19824285714285694</v>
      </c>
      <c r="F167" s="3">
        <v>28.600000000000016</v>
      </c>
      <c r="G167" s="9">
        <v>5771.9999999999991</v>
      </c>
      <c r="H167">
        <f t="shared" si="26"/>
        <v>-5.6697457142857113</v>
      </c>
      <c r="I167">
        <f t="shared" si="30"/>
        <v>-5.6697457142857113</v>
      </c>
      <c r="J167">
        <f t="shared" si="31"/>
        <v>-0.982284427284427</v>
      </c>
      <c r="K167">
        <f t="shared" si="32"/>
        <v>6.5000000000003944E-4</v>
      </c>
      <c r="L167">
        <f t="shared" si="33"/>
        <v>-1.5380952380952273E-3</v>
      </c>
      <c r="M167">
        <f t="shared" si="27"/>
        <v>-4.4404761904759393E-4</v>
      </c>
      <c r="N167">
        <f t="shared" si="28"/>
        <v>-4.4143420021669705E-4</v>
      </c>
      <c r="O167" s="3">
        <f t="shared" si="29"/>
        <v>-4.4143420021669701</v>
      </c>
      <c r="P167">
        <v>330</v>
      </c>
    </row>
    <row r="168" spans="1:16" x14ac:dyDescent="0.25">
      <c r="A168">
        <v>166</v>
      </c>
      <c r="B168">
        <v>3.7458</v>
      </c>
      <c r="C168" s="3">
        <v>3.5464190476190476</v>
      </c>
      <c r="D168" s="8">
        <f t="shared" si="34"/>
        <v>-0.19938095238095244</v>
      </c>
      <c r="E168" s="8">
        <f t="shared" si="25"/>
        <v>-0.20042619047619037</v>
      </c>
      <c r="F168" s="3">
        <v>28.58000000000002</v>
      </c>
      <c r="G168" s="9">
        <v>5765.4</v>
      </c>
      <c r="H168">
        <f t="shared" si="26"/>
        <v>-5.7281805238095247</v>
      </c>
      <c r="I168">
        <f t="shared" si="30"/>
        <v>-5.7281805238095247</v>
      </c>
      <c r="J168">
        <f t="shared" si="31"/>
        <v>-0.99354433756712879</v>
      </c>
      <c r="K168">
        <f t="shared" si="32"/>
        <v>5.9999999999993392E-4</v>
      </c>
      <c r="L168">
        <f t="shared" si="33"/>
        <v>-1.583333333333492E-3</v>
      </c>
      <c r="M168">
        <f t="shared" si="27"/>
        <v>-4.9166666666677905E-4</v>
      </c>
      <c r="N168">
        <f t="shared" si="28"/>
        <v>-4.0325034806111667E-4</v>
      </c>
      <c r="O168" s="3">
        <f t="shared" si="29"/>
        <v>-4.032503480611167</v>
      </c>
      <c r="P168">
        <v>332</v>
      </c>
    </row>
    <row r="169" spans="1:16" x14ac:dyDescent="0.25">
      <c r="A169">
        <v>167</v>
      </c>
      <c r="B169">
        <v>3.746</v>
      </c>
      <c r="C169" s="3">
        <v>3.5445285714285717</v>
      </c>
      <c r="D169" s="8">
        <f t="shared" si="34"/>
        <v>-0.2014714285714283</v>
      </c>
      <c r="E169" s="8">
        <f t="shared" si="25"/>
        <v>-0.20070714285714231</v>
      </c>
      <c r="F169" s="3">
        <v>28.560000000000013</v>
      </c>
      <c r="G169" s="9">
        <v>5758.7999999999993</v>
      </c>
      <c r="H169">
        <f t="shared" si="26"/>
        <v>-5.7321959999999867</v>
      </c>
      <c r="I169">
        <f t="shared" si="30"/>
        <v>-5.7321959999999867</v>
      </c>
      <c r="J169">
        <f t="shared" si="31"/>
        <v>-0.99538028755990615</v>
      </c>
      <c r="K169">
        <f t="shared" si="32"/>
        <v>-1.2000000000000899E-3</v>
      </c>
      <c r="L169">
        <f t="shared" si="33"/>
        <v>-1.4809523809520275E-3</v>
      </c>
      <c r="M169">
        <f t="shared" si="27"/>
        <v>-1.3404761904760587E-3</v>
      </c>
      <c r="N169">
        <f t="shared" si="28"/>
        <v>-1.481795239676275E-4</v>
      </c>
      <c r="O169" s="3">
        <f t="shared" si="29"/>
        <v>-1.481795239676275</v>
      </c>
      <c r="P169">
        <v>334</v>
      </c>
    </row>
    <row r="170" spans="1:16" x14ac:dyDescent="0.25">
      <c r="A170">
        <v>168</v>
      </c>
      <c r="B170">
        <v>3.7433999999999998</v>
      </c>
      <c r="C170" s="3">
        <v>3.5434571428571435</v>
      </c>
      <c r="D170" s="8">
        <f t="shared" si="34"/>
        <v>-0.19994285714285631</v>
      </c>
      <c r="E170" s="8">
        <f t="shared" si="25"/>
        <v>-0.19861428571428541</v>
      </c>
      <c r="F170" s="3">
        <v>28.54000000000001</v>
      </c>
      <c r="G170" s="9">
        <v>5752.1999999999989</v>
      </c>
      <c r="H170">
        <f t="shared" si="26"/>
        <v>-5.6684517142857072</v>
      </c>
      <c r="I170">
        <f t="shared" si="30"/>
        <v>-5.6684517142857072</v>
      </c>
      <c r="J170">
        <f t="shared" si="31"/>
        <v>-0.98544065127876435</v>
      </c>
      <c r="K170">
        <f t="shared" si="32"/>
        <v>-3.4000000000000696E-3</v>
      </c>
      <c r="L170">
        <f t="shared" si="33"/>
        <v>-1.3071428571431731E-3</v>
      </c>
      <c r="M170">
        <f t="shared" si="27"/>
        <v>-2.3535714285716214E-3</v>
      </c>
      <c r="N170">
        <f t="shared" si="28"/>
        <v>-8.3552866573725052E-5</v>
      </c>
      <c r="O170" s="3">
        <f t="shared" si="29"/>
        <v>-0.83552866573725049</v>
      </c>
      <c r="P170">
        <v>336</v>
      </c>
    </row>
    <row r="171" spans="1:16" x14ac:dyDescent="0.25">
      <c r="A171">
        <v>169</v>
      </c>
      <c r="B171">
        <v>3.7391999999999999</v>
      </c>
      <c r="C171" s="3">
        <v>3.5419142857142853</v>
      </c>
      <c r="D171" s="8">
        <f t="shared" si="34"/>
        <v>-0.19728571428571451</v>
      </c>
      <c r="E171" s="8">
        <f t="shared" si="25"/>
        <v>-0.19567380952380975</v>
      </c>
      <c r="F171" s="3">
        <v>28.52000000000001</v>
      </c>
      <c r="G171" s="9">
        <v>5745.5999999999995</v>
      </c>
      <c r="H171">
        <f t="shared" si="26"/>
        <v>-5.5806170476190564</v>
      </c>
      <c r="I171">
        <f t="shared" si="30"/>
        <v>-5.5806170476190564</v>
      </c>
      <c r="J171">
        <f t="shared" si="31"/>
        <v>-0.97128533967193276</v>
      </c>
      <c r="K171">
        <f t="shared" si="32"/>
        <v>-4.449999999999843E-3</v>
      </c>
      <c r="L171">
        <f t="shared" si="33"/>
        <v>-1.5095238095241825E-3</v>
      </c>
      <c r="M171">
        <f t="shared" si="27"/>
        <v>-2.9797619047620127E-3</v>
      </c>
      <c r="N171">
        <f t="shared" si="28"/>
        <v>-6.5046440226740207E-5</v>
      </c>
      <c r="O171" s="3">
        <f t="shared" si="29"/>
        <v>-0.6504644022674021</v>
      </c>
      <c r="P171">
        <v>338</v>
      </c>
    </row>
    <row r="172" spans="1:16" x14ac:dyDescent="0.25">
      <c r="A172">
        <v>170</v>
      </c>
      <c r="B172">
        <v>3.7345000000000002</v>
      </c>
      <c r="C172" s="3">
        <v>3.5404380952380952</v>
      </c>
      <c r="D172" s="8">
        <f t="shared" si="34"/>
        <v>-0.19406190476190499</v>
      </c>
      <c r="E172" s="8">
        <f t="shared" si="25"/>
        <v>-0.19464999999999999</v>
      </c>
      <c r="F172" s="3">
        <v>28.500000000000011</v>
      </c>
      <c r="G172" s="9">
        <v>5739</v>
      </c>
      <c r="H172">
        <f t="shared" si="26"/>
        <v>-5.547525000000002</v>
      </c>
      <c r="I172">
        <f t="shared" si="30"/>
        <v>-5.547525000000002</v>
      </c>
      <c r="J172">
        <f t="shared" si="31"/>
        <v>-0.96663617354939924</v>
      </c>
      <c r="K172">
        <f t="shared" si="32"/>
        <v>-2.3999999999999577E-3</v>
      </c>
      <c r="L172">
        <f t="shared" si="33"/>
        <v>-1.3761904761901977E-3</v>
      </c>
      <c r="M172">
        <f t="shared" si="27"/>
        <v>-1.8880952380950777E-3</v>
      </c>
      <c r="N172">
        <f t="shared" si="28"/>
        <v>-1.0216388754279497E-4</v>
      </c>
      <c r="O172" s="3">
        <f t="shared" si="29"/>
        <v>-1.0216388754279497</v>
      </c>
      <c r="P172">
        <v>340</v>
      </c>
    </row>
    <row r="173" spans="1:16" x14ac:dyDescent="0.25">
      <c r="A173">
        <v>171</v>
      </c>
      <c r="B173">
        <v>3.7343999999999999</v>
      </c>
      <c r="C173" s="3">
        <v>3.539161904761905</v>
      </c>
      <c r="D173" s="8">
        <f t="shared" si="34"/>
        <v>-0.19523809523809499</v>
      </c>
      <c r="E173" s="8">
        <f t="shared" si="25"/>
        <v>-0.19465476190476183</v>
      </c>
      <c r="F173" s="3">
        <v>28.480000000000008</v>
      </c>
      <c r="G173" s="9">
        <v>5732.4</v>
      </c>
      <c r="H173">
        <f t="shared" si="26"/>
        <v>-5.5437676190476184</v>
      </c>
      <c r="I173">
        <f t="shared" si="30"/>
        <v>-5.5437676190476184</v>
      </c>
      <c r="J173">
        <f t="shared" si="31"/>
        <v>-0.96709364647401064</v>
      </c>
      <c r="K173">
        <f t="shared" si="32"/>
        <v>-1.4000000000000679E-3</v>
      </c>
      <c r="L173">
        <f t="shared" si="33"/>
        <v>-1.4047619047619087E-3</v>
      </c>
      <c r="M173">
        <f t="shared" si="27"/>
        <v>-1.4023809523809883E-3</v>
      </c>
      <c r="N173">
        <f t="shared" si="28"/>
        <v>-1.3761342047771365E-4</v>
      </c>
      <c r="O173" s="3">
        <f t="shared" si="29"/>
        <v>-1.3761342047771365</v>
      </c>
      <c r="P173">
        <v>342</v>
      </c>
    </row>
    <row r="174" spans="1:16" x14ac:dyDescent="0.25">
      <c r="A174">
        <v>172</v>
      </c>
      <c r="B174">
        <v>3.7317</v>
      </c>
      <c r="C174" s="3">
        <v>3.5376285714285713</v>
      </c>
      <c r="D174" s="8">
        <f t="shared" si="34"/>
        <v>-0.19407142857142867</v>
      </c>
      <c r="E174" s="8">
        <f t="shared" si="25"/>
        <v>-0.19389999999999996</v>
      </c>
      <c r="F174" s="3">
        <v>28.46</v>
      </c>
      <c r="G174" s="9">
        <v>5725.7999999999993</v>
      </c>
      <c r="H174">
        <f t="shared" si="26"/>
        <v>-5.5183939999999989</v>
      </c>
      <c r="I174">
        <f t="shared" si="30"/>
        <v>-5.5183939999999989</v>
      </c>
      <c r="J174">
        <f t="shared" si="31"/>
        <v>-0.96377693946697396</v>
      </c>
      <c r="K174">
        <f t="shared" si="32"/>
        <v>-2.2499999999998632E-3</v>
      </c>
      <c r="L174">
        <f t="shared" si="33"/>
        <v>-1.495238095237994E-3</v>
      </c>
      <c r="M174">
        <f t="shared" si="27"/>
        <v>-1.8726190476189286E-3</v>
      </c>
      <c r="N174">
        <f t="shared" si="28"/>
        <v>-1.0270352695433428E-4</v>
      </c>
      <c r="O174" s="3">
        <f t="shared" si="29"/>
        <v>-1.0270352695433427</v>
      </c>
      <c r="P174">
        <v>344</v>
      </c>
    </row>
    <row r="175" spans="1:16" x14ac:dyDescent="0.25">
      <c r="A175">
        <v>173</v>
      </c>
      <c r="B175">
        <v>3.7299000000000002</v>
      </c>
      <c r="C175" s="3">
        <v>3.536171428571429</v>
      </c>
      <c r="D175" s="8">
        <f t="shared" si="34"/>
        <v>-0.19372857142857125</v>
      </c>
      <c r="E175" s="8">
        <f t="shared" si="25"/>
        <v>-0.19464999999999999</v>
      </c>
      <c r="F175" s="3">
        <v>28.440000000000005</v>
      </c>
      <c r="G175" s="9">
        <v>5719.2</v>
      </c>
      <c r="H175">
        <f t="shared" si="26"/>
        <v>-5.5358460000000003</v>
      </c>
      <c r="I175">
        <f t="shared" si="30"/>
        <v>-5.5358460000000003</v>
      </c>
      <c r="J175">
        <f t="shared" si="31"/>
        <v>-0.96794062106588341</v>
      </c>
      <c r="K175">
        <f t="shared" si="32"/>
        <v>-8.5000000000001741E-4</v>
      </c>
      <c r="L175">
        <f t="shared" si="33"/>
        <v>-1.6000000000000458E-3</v>
      </c>
      <c r="M175">
        <f t="shared" si="27"/>
        <v>-1.2250000000000316E-3</v>
      </c>
      <c r="N175">
        <f t="shared" si="28"/>
        <v>-1.5767792325857157E-4</v>
      </c>
      <c r="O175" s="3">
        <f t="shared" si="29"/>
        <v>-1.5767792325857157</v>
      </c>
      <c r="P175">
        <v>346</v>
      </c>
    </row>
    <row r="176" spans="1:16" x14ac:dyDescent="0.25">
      <c r="A176">
        <v>174</v>
      </c>
      <c r="B176">
        <v>3.73</v>
      </c>
      <c r="C176" s="3">
        <v>3.5344285714285713</v>
      </c>
      <c r="D176" s="8">
        <f t="shared" si="34"/>
        <v>-0.19557142857142873</v>
      </c>
      <c r="E176" s="8">
        <f t="shared" si="25"/>
        <v>-0.1954666666666669</v>
      </c>
      <c r="F176" s="3">
        <v>28.420000000000005</v>
      </c>
      <c r="G176" s="9">
        <v>5712.6</v>
      </c>
      <c r="H176">
        <f t="shared" si="26"/>
        <v>-5.555162666666674</v>
      </c>
      <c r="I176">
        <f t="shared" si="30"/>
        <v>-5.555162666666674</v>
      </c>
      <c r="J176">
        <f t="shared" si="31"/>
        <v>-0.97244033656595485</v>
      </c>
      <c r="K176">
        <f t="shared" si="32"/>
        <v>-7.0000000000014495E-4</v>
      </c>
      <c r="L176">
        <f t="shared" si="33"/>
        <v>-1.5166666666670547E-3</v>
      </c>
      <c r="M176">
        <f t="shared" si="27"/>
        <v>-1.1083333333335998E-3</v>
      </c>
      <c r="N176">
        <f t="shared" si="28"/>
        <v>-1.7508576336057834E-4</v>
      </c>
      <c r="O176" s="3">
        <f t="shared" si="29"/>
        <v>-1.7508576336057835</v>
      </c>
      <c r="P176">
        <v>348</v>
      </c>
    </row>
    <row r="177" spans="1:16" x14ac:dyDescent="0.25">
      <c r="A177">
        <v>175</v>
      </c>
      <c r="B177">
        <v>3.7284999999999999</v>
      </c>
      <c r="C177" s="3">
        <v>3.5331380952380949</v>
      </c>
      <c r="D177" s="8">
        <f t="shared" si="34"/>
        <v>-0.19536190476190507</v>
      </c>
      <c r="E177" s="8">
        <f t="shared" si="25"/>
        <v>-0.19562142857142839</v>
      </c>
      <c r="F177" s="3">
        <v>28.4</v>
      </c>
      <c r="G177">
        <v>5706</v>
      </c>
      <c r="H177">
        <f t="shared" si="26"/>
        <v>-5.5556485714285664</v>
      </c>
      <c r="I177">
        <f t="shared" si="30"/>
        <v>-5.5556485714285664</v>
      </c>
      <c r="J177">
        <f t="shared" si="31"/>
        <v>-0.97365029292473992</v>
      </c>
      <c r="K177">
        <f t="shared" si="32"/>
        <v>-8.9999999999990088E-4</v>
      </c>
      <c r="L177">
        <f t="shared" si="33"/>
        <v>-1.0547619047613921E-3</v>
      </c>
      <c r="M177">
        <f t="shared" si="27"/>
        <v>-9.7738095238064648E-4</v>
      </c>
      <c r="N177">
        <f t="shared" si="28"/>
        <v>-1.9879130821431066E-4</v>
      </c>
      <c r="O177" s="3">
        <f t="shared" si="29"/>
        <v>-1.9879130821431066</v>
      </c>
      <c r="P177">
        <v>350</v>
      </c>
    </row>
    <row r="178" spans="1:16" x14ac:dyDescent="0.25">
      <c r="A178">
        <v>176</v>
      </c>
      <c r="B178">
        <v>3.7282000000000002</v>
      </c>
      <c r="C178" s="3">
        <v>3.5323190476190485</v>
      </c>
      <c r="D178" s="8">
        <f t="shared" si="34"/>
        <v>-0.19588095238095171</v>
      </c>
      <c r="E178" s="8">
        <f t="shared" si="25"/>
        <v>-0.1955428571428568</v>
      </c>
      <c r="F178" s="3">
        <v>28.380000000000003</v>
      </c>
      <c r="G178" s="9">
        <v>5703.2</v>
      </c>
      <c r="H178">
        <f t="shared" si="26"/>
        <v>-5.5495062857142763</v>
      </c>
      <c r="I178">
        <f t="shared" si="30"/>
        <v>-5.5495062857142763</v>
      </c>
      <c r="J178">
        <f t="shared" si="31"/>
        <v>-0.97305131955994462</v>
      </c>
      <c r="K178">
        <f t="shared" si="32"/>
        <v>-8.9999999999990088E-4</v>
      </c>
      <c r="L178">
        <f t="shared" si="33"/>
        <v>-8.214285714283065E-4</v>
      </c>
      <c r="M178">
        <f t="shared" si="27"/>
        <v>-8.6071428571410369E-4</v>
      </c>
      <c r="N178">
        <f t="shared" si="28"/>
        <v>-2.2559787195093123E-4</v>
      </c>
      <c r="O178" s="3">
        <f t="shared" si="29"/>
        <v>-2.2559787195093124</v>
      </c>
      <c r="P178">
        <v>352</v>
      </c>
    </row>
    <row r="179" spans="1:16" x14ac:dyDescent="0.25">
      <c r="A179">
        <v>177</v>
      </c>
      <c r="B179">
        <v>3.7267000000000001</v>
      </c>
      <c r="C179" s="3">
        <v>3.5314952380952382</v>
      </c>
      <c r="D179" s="8">
        <f t="shared" si="34"/>
        <v>-0.19520476190476188</v>
      </c>
      <c r="E179" s="8">
        <f t="shared" si="25"/>
        <v>-0.19462380952380975</v>
      </c>
      <c r="F179" s="3">
        <v>28.360000000000003</v>
      </c>
      <c r="G179" s="9">
        <v>5700.4</v>
      </c>
      <c r="H179">
        <f t="shared" si="26"/>
        <v>-5.5195312380952455</v>
      </c>
      <c r="I179">
        <f t="shared" si="30"/>
        <v>-5.5195312380952455</v>
      </c>
      <c r="J179">
        <f t="shared" si="31"/>
        <v>-0.96827086486829794</v>
      </c>
      <c r="K179">
        <f t="shared" si="32"/>
        <v>-1.9500000000001183E-3</v>
      </c>
      <c r="L179">
        <f t="shared" si="33"/>
        <v>-1.0309523809530763E-3</v>
      </c>
      <c r="M179">
        <f t="shared" si="27"/>
        <v>-1.4904761904765973E-3</v>
      </c>
      <c r="N179">
        <f t="shared" si="28"/>
        <v>-1.2963733226217813E-4</v>
      </c>
      <c r="O179" s="3">
        <f t="shared" si="29"/>
        <v>-1.2963733226217813</v>
      </c>
      <c r="P179">
        <v>354</v>
      </c>
    </row>
    <row r="180" spans="1:16" x14ac:dyDescent="0.25">
      <c r="A180">
        <v>178</v>
      </c>
      <c r="B180">
        <v>3.7242999999999999</v>
      </c>
      <c r="C180" s="3">
        <v>3.5302571428571423</v>
      </c>
      <c r="D180" s="8">
        <f t="shared" si="34"/>
        <v>-0.19404285714285763</v>
      </c>
      <c r="E180" s="8">
        <f t="shared" si="25"/>
        <v>-0.19620000000000015</v>
      </c>
      <c r="F180" s="3">
        <v>28.340000000000003</v>
      </c>
      <c r="G180" s="9">
        <v>5697.5999999999995</v>
      </c>
      <c r="H180">
        <f t="shared" si="26"/>
        <v>-5.5603080000000054</v>
      </c>
      <c r="I180">
        <f t="shared" si="30"/>
        <v>-5.5603080000000054</v>
      </c>
      <c r="J180">
        <f t="shared" si="31"/>
        <v>-0.97590353833193022</v>
      </c>
      <c r="K180">
        <f t="shared" si="32"/>
        <v>-9.9999999999988987E-5</v>
      </c>
      <c r="L180">
        <f t="shared" si="33"/>
        <v>-1.6761904761903867E-3</v>
      </c>
      <c r="M180">
        <f t="shared" si="27"/>
        <v>-8.8809523809518787E-4</v>
      </c>
      <c r="N180">
        <f t="shared" si="28"/>
        <v>-2.1928332872137664E-4</v>
      </c>
      <c r="O180" s="3">
        <f t="shared" si="29"/>
        <v>-2.1928332872137664</v>
      </c>
      <c r="P180">
        <v>356</v>
      </c>
    </row>
    <row r="181" spans="1:16" x14ac:dyDescent="0.25">
      <c r="A181">
        <v>179</v>
      </c>
      <c r="B181">
        <v>3.7265000000000001</v>
      </c>
      <c r="C181" s="3">
        <v>3.5281428571428575</v>
      </c>
      <c r="D181" s="8">
        <f t="shared" si="34"/>
        <v>-0.19835714285714268</v>
      </c>
      <c r="E181" s="8">
        <f t="shared" si="25"/>
        <v>-0.19880476190476215</v>
      </c>
      <c r="F181" s="3">
        <v>28.320000000000004</v>
      </c>
      <c r="G181" s="9">
        <v>5694.7999999999993</v>
      </c>
      <c r="H181">
        <f t="shared" si="26"/>
        <v>-5.6301508571428647</v>
      </c>
      <c r="I181">
        <f t="shared" si="30"/>
        <v>-5.6301508571428647</v>
      </c>
      <c r="J181">
        <f t="shared" si="31"/>
        <v>-0.98864768861818941</v>
      </c>
      <c r="K181">
        <f t="shared" si="32"/>
        <v>9.0000000000012292E-4</v>
      </c>
      <c r="L181">
        <f t="shared" si="33"/>
        <v>-1.7047619047618756E-3</v>
      </c>
      <c r="M181">
        <f t="shared" si="27"/>
        <v>-4.0238095238087634E-4</v>
      </c>
      <c r="N181">
        <f t="shared" si="28"/>
        <v>-4.9030057785320413E-4</v>
      </c>
      <c r="O181" s="3">
        <f t="shared" si="29"/>
        <v>-4.9030057785320418</v>
      </c>
      <c r="P181">
        <v>358</v>
      </c>
    </row>
    <row r="182" spans="1:16" x14ac:dyDescent="0.25">
      <c r="A182">
        <v>180</v>
      </c>
      <c r="B182">
        <v>3.7261000000000002</v>
      </c>
      <c r="C182" s="3">
        <v>3.5268476190476186</v>
      </c>
      <c r="D182" s="8">
        <f t="shared" si="34"/>
        <v>-0.19925238095238162</v>
      </c>
      <c r="E182" s="8">
        <f t="shared" si="25"/>
        <v>-0.1997380952380956</v>
      </c>
      <c r="F182" s="3">
        <v>28.300000000000004</v>
      </c>
      <c r="G182" s="9">
        <v>5691.9999999999991</v>
      </c>
      <c r="H182">
        <f t="shared" si="26"/>
        <v>-5.652588095238106</v>
      </c>
      <c r="I182">
        <f t="shared" si="30"/>
        <v>-5.652588095238106</v>
      </c>
      <c r="J182">
        <f t="shared" si="31"/>
        <v>-0.99307591272630136</v>
      </c>
      <c r="K182">
        <f t="shared" si="32"/>
        <v>-5.0000000000016698E-4</v>
      </c>
      <c r="L182">
        <f t="shared" si="33"/>
        <v>-1.4333333333336196E-3</v>
      </c>
      <c r="M182">
        <f t="shared" si="27"/>
        <v>-9.6666666666689327E-4</v>
      </c>
      <c r="N182">
        <f t="shared" si="28"/>
        <v>-2.0500477125571173E-4</v>
      </c>
      <c r="O182" s="3">
        <f t="shared" si="29"/>
        <v>-2.050047712557117</v>
      </c>
      <c r="P182">
        <v>360</v>
      </c>
    </row>
    <row r="183" spans="1:16" x14ac:dyDescent="0.25">
      <c r="A183">
        <v>181</v>
      </c>
      <c r="B183">
        <v>3.7254999999999998</v>
      </c>
      <c r="C183" s="3">
        <v>3.5252761904761902</v>
      </c>
      <c r="D183" s="8">
        <f t="shared" si="34"/>
        <v>-0.20022380952380958</v>
      </c>
      <c r="E183" s="8">
        <f t="shared" si="25"/>
        <v>-0.20001666666666718</v>
      </c>
      <c r="F183" s="3">
        <v>28.280000000000008</v>
      </c>
      <c r="G183" s="9">
        <v>5689.1999999999989</v>
      </c>
      <c r="H183">
        <f t="shared" si="26"/>
        <v>-5.6564713333333492</v>
      </c>
      <c r="I183">
        <f t="shared" si="30"/>
        <v>-5.6564713333333492</v>
      </c>
      <c r="J183">
        <f t="shared" si="31"/>
        <v>-0.99424722866718518</v>
      </c>
      <c r="K183">
        <f t="shared" si="32"/>
        <v>-1.0000000000001119E-3</v>
      </c>
      <c r="L183">
        <f t="shared" si="33"/>
        <v>-1.2785714285716843E-3</v>
      </c>
      <c r="M183">
        <f t="shared" si="27"/>
        <v>-1.1392857142858981E-3</v>
      </c>
      <c r="N183">
        <f t="shared" si="28"/>
        <v>-1.7414860557290036E-4</v>
      </c>
      <c r="O183" s="3">
        <f t="shared" si="29"/>
        <v>-1.7414860557290037</v>
      </c>
      <c r="P183">
        <v>362</v>
      </c>
    </row>
    <row r="184" spans="1:16" x14ac:dyDescent="0.25">
      <c r="A184">
        <v>182</v>
      </c>
      <c r="B184">
        <v>3.7241</v>
      </c>
      <c r="C184" s="3">
        <v>3.5242904761904752</v>
      </c>
      <c r="D184" s="8">
        <f t="shared" si="34"/>
        <v>-0.19980952380952477</v>
      </c>
      <c r="E184" s="8">
        <f t="shared" si="25"/>
        <v>-0.19850476190476263</v>
      </c>
      <c r="F184" s="3">
        <v>28.260000000000009</v>
      </c>
      <c r="G184" s="9">
        <v>5686.3999999999987</v>
      </c>
      <c r="H184">
        <f t="shared" si="26"/>
        <v>-5.6097445714285934</v>
      </c>
      <c r="I184">
        <f t="shared" si="30"/>
        <v>-5.6097445714285934</v>
      </c>
      <c r="J184">
        <f t="shared" si="31"/>
        <v>-0.98651951523434778</v>
      </c>
      <c r="K184">
        <f t="shared" si="32"/>
        <v>-2.8499999999997971E-3</v>
      </c>
      <c r="L184">
        <f t="shared" si="33"/>
        <v>-1.3380952380952493E-3</v>
      </c>
      <c r="M184">
        <f t="shared" si="27"/>
        <v>-2.0940476190475232E-3</v>
      </c>
      <c r="N184">
        <f t="shared" si="28"/>
        <v>-9.4010722723213689E-5</v>
      </c>
      <c r="O184" s="3">
        <f t="shared" si="29"/>
        <v>-0.94010722723213691</v>
      </c>
      <c r="P184">
        <v>364</v>
      </c>
    </row>
    <row r="185" spans="1:16" x14ac:dyDescent="0.25">
      <c r="A185">
        <v>183</v>
      </c>
      <c r="B185">
        <v>3.7198000000000002</v>
      </c>
      <c r="C185" s="3">
        <v>3.5225999999999997</v>
      </c>
      <c r="D185" s="8">
        <f t="shared" si="34"/>
        <v>-0.19720000000000049</v>
      </c>
      <c r="E185" s="8">
        <f t="shared" si="25"/>
        <v>-0.19773333333333332</v>
      </c>
      <c r="F185" s="3">
        <v>28.240000000000009</v>
      </c>
      <c r="G185" s="9">
        <v>5683.5999999999985</v>
      </c>
      <c r="H185">
        <f t="shared" si="26"/>
        <v>-5.583989333333335</v>
      </c>
      <c r="I185">
        <f t="shared" si="30"/>
        <v>-5.583989333333335</v>
      </c>
      <c r="J185">
        <f t="shared" si="31"/>
        <v>-0.98247401881436702</v>
      </c>
      <c r="K185">
        <f t="shared" si="32"/>
        <v>-2.2999999999999687E-3</v>
      </c>
      <c r="L185">
        <f t="shared" si="33"/>
        <v>-1.5285714285706575E-3</v>
      </c>
      <c r="M185">
        <f t="shared" si="27"/>
        <v>-1.9142857142853131E-3</v>
      </c>
      <c r="N185">
        <f t="shared" si="28"/>
        <v>-1.0241712491931521E-4</v>
      </c>
      <c r="O185" s="3">
        <f t="shared" si="29"/>
        <v>-1.0241712491931521</v>
      </c>
      <c r="P185">
        <v>366</v>
      </c>
    </row>
    <row r="186" spans="1:16" x14ac:dyDescent="0.25">
      <c r="A186">
        <v>184</v>
      </c>
      <c r="B186">
        <v>3.7195</v>
      </c>
      <c r="C186" s="3">
        <v>3.5212333333333339</v>
      </c>
      <c r="D186" s="8">
        <f t="shared" si="34"/>
        <v>-0.19826666666666615</v>
      </c>
      <c r="E186" s="8">
        <f t="shared" si="25"/>
        <v>-0.19803571428571409</v>
      </c>
      <c r="F186" s="3">
        <v>28.22000000000001</v>
      </c>
      <c r="G186" s="9">
        <v>5680.7999999999984</v>
      </c>
      <c r="H186">
        <f t="shared" si="26"/>
        <v>-5.5885678571428539</v>
      </c>
      <c r="I186">
        <f t="shared" si="30"/>
        <v>-5.5885678571428539</v>
      </c>
      <c r="J186">
        <f t="shared" si="31"/>
        <v>-0.98376423340776931</v>
      </c>
      <c r="K186">
        <f t="shared" si="32"/>
        <v>-8.0000000000013394E-4</v>
      </c>
      <c r="L186">
        <f t="shared" si="33"/>
        <v>-1.1023809523809103E-3</v>
      </c>
      <c r="M186">
        <f t="shared" si="27"/>
        <v>-9.5119047619052211E-4</v>
      </c>
      <c r="N186">
        <f t="shared" si="28"/>
        <v>-2.0638674402192314E-4</v>
      </c>
      <c r="O186" s="3">
        <f t="shared" si="29"/>
        <v>-2.0638674402192314</v>
      </c>
      <c r="P186">
        <v>368</v>
      </c>
    </row>
    <row r="187" spans="1:16" x14ac:dyDescent="0.25">
      <c r="A187">
        <v>185</v>
      </c>
      <c r="B187">
        <v>3.7181999999999999</v>
      </c>
      <c r="C187" s="3">
        <v>3.5203952380952379</v>
      </c>
      <c r="D187" s="8">
        <f t="shared" si="34"/>
        <v>-0.19780476190476204</v>
      </c>
      <c r="E187" s="8">
        <f t="shared" si="25"/>
        <v>-0.19763333333333311</v>
      </c>
      <c r="F187" s="3">
        <v>28.20000000000001</v>
      </c>
      <c r="G187" s="9">
        <v>5677.9999999999982</v>
      </c>
      <c r="H187">
        <f t="shared" si="26"/>
        <v>-5.5732599999999959</v>
      </c>
      <c r="I187">
        <f t="shared" si="30"/>
        <v>-5.5732599999999959</v>
      </c>
      <c r="J187">
        <f t="shared" si="31"/>
        <v>-0.98155336386051384</v>
      </c>
      <c r="K187">
        <f t="shared" si="32"/>
        <v>-1.3000000000000789E-3</v>
      </c>
      <c r="L187">
        <f t="shared" si="33"/>
        <v>-8.976190476190915E-4</v>
      </c>
      <c r="M187">
        <f t="shared" si="27"/>
        <v>-1.0988095238095852E-3</v>
      </c>
      <c r="N187">
        <f t="shared" si="28"/>
        <v>-1.782583017600241E-4</v>
      </c>
      <c r="O187" s="3">
        <f t="shared" si="29"/>
        <v>-1.7825830176002411</v>
      </c>
      <c r="P187">
        <v>370</v>
      </c>
    </row>
    <row r="188" spans="1:16" x14ac:dyDescent="0.25">
      <c r="A188">
        <v>186</v>
      </c>
      <c r="B188">
        <v>3.7168999999999999</v>
      </c>
      <c r="C188" s="3">
        <v>3.5194380952380957</v>
      </c>
      <c r="D188" s="8">
        <f t="shared" si="34"/>
        <v>-0.19746190476190417</v>
      </c>
      <c r="E188" s="8">
        <f t="shared" si="25"/>
        <v>-0.19859999999999967</v>
      </c>
      <c r="F188" s="3">
        <v>28.180000000000014</v>
      </c>
      <c r="G188" s="9">
        <v>5675.199999999998</v>
      </c>
      <c r="H188">
        <f t="shared" si="26"/>
        <v>-5.5965479999999932</v>
      </c>
      <c r="I188">
        <f t="shared" si="30"/>
        <v>-5.5965479999999932</v>
      </c>
      <c r="J188">
        <f t="shared" si="31"/>
        <v>-0.98614110515928866</v>
      </c>
      <c r="K188">
        <f t="shared" si="32"/>
        <v>-1.9999999999997797E-4</v>
      </c>
      <c r="L188">
        <f t="shared" si="33"/>
        <v>-1.1666666666665382E-3</v>
      </c>
      <c r="M188">
        <f t="shared" si="27"/>
        <v>-6.8333333333325808E-4</v>
      </c>
      <c r="N188">
        <f t="shared" si="28"/>
        <v>-2.8798158617167709E-4</v>
      </c>
      <c r="O188" s="3">
        <f t="shared" si="29"/>
        <v>-2.8798158617167711</v>
      </c>
      <c r="P188">
        <v>372</v>
      </c>
    </row>
    <row r="189" spans="1:16" x14ac:dyDescent="0.25">
      <c r="A189">
        <v>187</v>
      </c>
      <c r="B189">
        <v>3.7178</v>
      </c>
      <c r="C189" s="3">
        <v>3.5180619047619048</v>
      </c>
      <c r="D189" s="8">
        <f t="shared" si="34"/>
        <v>-0.19973809523809516</v>
      </c>
      <c r="E189" s="8">
        <f t="shared" si="25"/>
        <v>-0.20011190476190466</v>
      </c>
      <c r="F189" s="3">
        <v>28.160000000000014</v>
      </c>
      <c r="G189" s="9">
        <v>5672.3999999999978</v>
      </c>
      <c r="H189">
        <f t="shared" si="26"/>
        <v>-5.6351512380952382</v>
      </c>
      <c r="I189">
        <f t="shared" si="30"/>
        <v>-5.6351512380952382</v>
      </c>
      <c r="J189">
        <f t="shared" si="31"/>
        <v>-0.993433332997539</v>
      </c>
      <c r="K189">
        <f t="shared" si="32"/>
        <v>1.9999999999997797E-4</v>
      </c>
      <c r="L189">
        <f t="shared" si="33"/>
        <v>-1.3119047619050139E-3</v>
      </c>
      <c r="M189">
        <f t="shared" si="27"/>
        <v>-5.5595238095251798E-4</v>
      </c>
      <c r="N189">
        <f t="shared" si="28"/>
        <v>-3.5658198428570412E-4</v>
      </c>
      <c r="O189" s="3">
        <f t="shared" si="29"/>
        <v>-3.5658198428570413</v>
      </c>
      <c r="P189">
        <v>374</v>
      </c>
    </row>
    <row r="190" spans="1:16" x14ac:dyDescent="0.25">
      <c r="A190">
        <v>188</v>
      </c>
      <c r="B190">
        <v>3.7172999999999998</v>
      </c>
      <c r="C190" s="3">
        <v>3.5168142857142857</v>
      </c>
      <c r="D190" s="8">
        <f t="shared" si="34"/>
        <v>-0.20048571428571416</v>
      </c>
      <c r="E190" s="8">
        <f t="shared" si="25"/>
        <v>-0.19965714285714298</v>
      </c>
      <c r="F190" s="3">
        <v>28.140000000000015</v>
      </c>
      <c r="G190" s="9">
        <v>5669.5999999999976</v>
      </c>
      <c r="H190">
        <f t="shared" si="26"/>
        <v>-5.618352000000006</v>
      </c>
      <c r="I190">
        <f t="shared" si="30"/>
        <v>-5.618352000000006</v>
      </c>
      <c r="J190">
        <f t="shared" si="31"/>
        <v>-0.99096091435022027</v>
      </c>
      <c r="K190">
        <f t="shared" si="32"/>
        <v>-1.5499999999999403E-3</v>
      </c>
      <c r="L190">
        <f t="shared" si="33"/>
        <v>-1.0952380952382601E-3</v>
      </c>
      <c r="M190">
        <f t="shared" si="27"/>
        <v>-1.3226190476191002E-3</v>
      </c>
      <c r="N190">
        <f t="shared" si="28"/>
        <v>-1.4951336513934296E-4</v>
      </c>
      <c r="O190" s="3">
        <f t="shared" si="29"/>
        <v>-1.4951336513934297</v>
      </c>
      <c r="P190">
        <v>376</v>
      </c>
    </row>
    <row r="191" spans="1:16" x14ac:dyDescent="0.25">
      <c r="A191">
        <v>189</v>
      </c>
      <c r="B191">
        <v>3.7147000000000001</v>
      </c>
      <c r="C191" s="3">
        <v>3.5158714285714283</v>
      </c>
      <c r="D191" s="8">
        <f t="shared" si="34"/>
        <v>-0.1988285714285718</v>
      </c>
      <c r="E191" s="8">
        <f t="shared" si="25"/>
        <v>-0.19848095238095209</v>
      </c>
      <c r="F191" s="3">
        <v>28.120000000000015</v>
      </c>
      <c r="G191" s="9">
        <v>5666.7999999999975</v>
      </c>
      <c r="H191">
        <f t="shared" si="26"/>
        <v>-5.5812843809523756</v>
      </c>
      <c r="I191">
        <f t="shared" si="30"/>
        <v>-5.5812843809523756</v>
      </c>
      <c r="J191">
        <f t="shared" si="31"/>
        <v>-0.98490936347716129</v>
      </c>
      <c r="K191">
        <f t="shared" si="32"/>
        <v>-2.2499999999998632E-3</v>
      </c>
      <c r="L191">
        <f t="shared" si="33"/>
        <v>-1.0738095238089773E-3</v>
      </c>
      <c r="M191">
        <f t="shared" si="27"/>
        <v>-1.6619047619044203E-3</v>
      </c>
      <c r="N191">
        <f t="shared" si="28"/>
        <v>-1.182628655823828E-4</v>
      </c>
      <c r="O191" s="3">
        <f t="shared" si="29"/>
        <v>-1.1826286558238279</v>
      </c>
      <c r="P191">
        <v>378</v>
      </c>
    </row>
    <row r="192" spans="1:16" x14ac:dyDescent="0.25">
      <c r="A192">
        <v>190</v>
      </c>
      <c r="B192">
        <v>3.7128000000000001</v>
      </c>
      <c r="C192" s="3">
        <v>3.5146666666666677</v>
      </c>
      <c r="D192" s="8">
        <f t="shared" si="34"/>
        <v>-0.19813333333333238</v>
      </c>
      <c r="E192" s="8">
        <f t="shared" si="25"/>
        <v>-0.19670476190476149</v>
      </c>
      <c r="F192" s="3">
        <v>28.100000000000016</v>
      </c>
      <c r="G192" s="9">
        <v>5663.9999999999973</v>
      </c>
      <c r="H192">
        <f t="shared" si="26"/>
        <v>-5.5274038095238014</v>
      </c>
      <c r="I192">
        <f t="shared" si="30"/>
        <v>-5.5274038095238014</v>
      </c>
      <c r="J192">
        <f t="shared" si="31"/>
        <v>-0.9758834409469993</v>
      </c>
      <c r="K192">
        <f t="shared" si="32"/>
        <v>-2.6000000000001577E-3</v>
      </c>
      <c r="L192">
        <f t="shared" si="33"/>
        <v>-8.2380952380955996E-4</v>
      </c>
      <c r="M192">
        <f t="shared" si="27"/>
        <v>-1.7119047619048589E-3</v>
      </c>
      <c r="N192">
        <f t="shared" si="28"/>
        <v>-1.1375660251154702E-4</v>
      </c>
      <c r="O192" s="3">
        <f t="shared" si="29"/>
        <v>-1.1375660251154702</v>
      </c>
      <c r="P192">
        <v>380</v>
      </c>
    </row>
    <row r="193" spans="1:16" x14ac:dyDescent="0.25">
      <c r="A193">
        <v>191</v>
      </c>
      <c r="B193">
        <v>3.7094999999999998</v>
      </c>
      <c r="C193" s="3">
        <v>3.5142238095238092</v>
      </c>
      <c r="D193" s="8">
        <f t="shared" si="34"/>
        <v>-0.1952761904761906</v>
      </c>
      <c r="E193" s="8">
        <f t="shared" si="25"/>
        <v>-0.19590952380952387</v>
      </c>
      <c r="F193" s="3">
        <v>28.08000000000002</v>
      </c>
      <c r="G193" s="9">
        <v>5661.1999999999971</v>
      </c>
      <c r="H193">
        <f t="shared" si="26"/>
        <v>-5.5011394285714337</v>
      </c>
      <c r="I193">
        <f t="shared" si="30"/>
        <v>-5.5011394285714337</v>
      </c>
      <c r="J193">
        <f t="shared" si="31"/>
        <v>-0.9717267414278663</v>
      </c>
      <c r="K193">
        <f t="shared" si="32"/>
        <v>-1.4000000000000679E-3</v>
      </c>
      <c r="L193">
        <f t="shared" si="33"/>
        <v>-6.0476190476244085E-4</v>
      </c>
      <c r="M193">
        <f t="shared" si="27"/>
        <v>-1.0023809523812544E-3</v>
      </c>
      <c r="N193">
        <f t="shared" si="28"/>
        <v>-1.9345039150288194E-4</v>
      </c>
      <c r="O193" s="3">
        <f t="shared" si="29"/>
        <v>-1.9345039150288195</v>
      </c>
      <c r="P193">
        <v>382</v>
      </c>
    </row>
    <row r="194" spans="1:16" x14ac:dyDescent="0.25">
      <c r="A194">
        <v>192</v>
      </c>
      <c r="B194">
        <v>3.71</v>
      </c>
      <c r="C194" s="3">
        <v>3.5134571428571428</v>
      </c>
      <c r="D194" s="8">
        <f t="shared" si="34"/>
        <v>-0.19654285714285713</v>
      </c>
      <c r="E194" s="8">
        <f t="shared" si="25"/>
        <v>-0.19647380952380966</v>
      </c>
      <c r="F194" s="3">
        <v>28.060000000000013</v>
      </c>
      <c r="G194" s="9">
        <v>5658.3999999999978</v>
      </c>
      <c r="H194">
        <f t="shared" si="26"/>
        <v>-5.5130550952381014</v>
      </c>
      <c r="I194">
        <f t="shared" si="30"/>
        <v>-5.5130550952381014</v>
      </c>
      <c r="J194">
        <f t="shared" si="31"/>
        <v>-0.97431342698255763</v>
      </c>
      <c r="K194">
        <f t="shared" si="32"/>
        <v>-3.9999999999995595E-4</v>
      </c>
      <c r="L194">
        <f t="shared" si="33"/>
        <v>-9.6428571428575083E-4</v>
      </c>
      <c r="M194">
        <f t="shared" si="27"/>
        <v>-6.8214285714285339E-4</v>
      </c>
      <c r="N194">
        <f t="shared" si="28"/>
        <v>-2.850241214184077E-4</v>
      </c>
      <c r="O194" s="3">
        <f t="shared" si="29"/>
        <v>-2.8502412141840772</v>
      </c>
      <c r="P194">
        <v>384</v>
      </c>
    </row>
    <row r="195" spans="1:16" x14ac:dyDescent="0.25">
      <c r="A195">
        <v>193</v>
      </c>
      <c r="B195">
        <v>3.7086999999999999</v>
      </c>
      <c r="C195" s="3">
        <v>3.5122952380952377</v>
      </c>
      <c r="D195" s="8">
        <f t="shared" si="34"/>
        <v>-0.19640476190476219</v>
      </c>
      <c r="E195" s="8">
        <f t="shared" si="25"/>
        <v>-0.19665238095238102</v>
      </c>
      <c r="F195" s="3">
        <v>28.04000000000001</v>
      </c>
      <c r="G195" s="9">
        <v>5655.5999999999985</v>
      </c>
      <c r="H195">
        <f t="shared" si="26"/>
        <v>-5.514132761904766</v>
      </c>
      <c r="I195">
        <f t="shared" si="30"/>
        <v>-5.514132761904766</v>
      </c>
      <c r="J195">
        <f t="shared" si="31"/>
        <v>-0.97498634307673238</v>
      </c>
      <c r="K195">
        <f t="shared" si="32"/>
        <v>-1.0999999999998789E-3</v>
      </c>
      <c r="L195">
        <f t="shared" si="33"/>
        <v>-1.2785714285712402E-3</v>
      </c>
      <c r="M195">
        <f t="shared" si="27"/>
        <v>-1.1892857142855595E-3</v>
      </c>
      <c r="N195">
        <f t="shared" si="28"/>
        <v>-1.6359521402480102E-4</v>
      </c>
      <c r="O195" s="3">
        <f t="shared" si="29"/>
        <v>-1.6359521402480102</v>
      </c>
      <c r="P195">
        <v>386</v>
      </c>
    </row>
    <row r="196" spans="1:16" x14ac:dyDescent="0.25">
      <c r="A196">
        <v>194</v>
      </c>
      <c r="B196">
        <v>3.7078000000000002</v>
      </c>
      <c r="C196" s="3">
        <v>3.5109000000000004</v>
      </c>
      <c r="D196" s="8">
        <f t="shared" si="34"/>
        <v>-0.19689999999999985</v>
      </c>
      <c r="E196" s="8">
        <f t="shared" ref="E196:E259" si="35">(D196+D197)/2</f>
        <v>-0.19740238095238061</v>
      </c>
      <c r="F196" s="3">
        <v>28.02000000000001</v>
      </c>
      <c r="G196" s="9">
        <v>5652.7999999999984</v>
      </c>
      <c r="H196">
        <f t="shared" ref="H196:H259" si="36">E196*F196</f>
        <v>-5.5312147142857064</v>
      </c>
      <c r="I196">
        <f t="shared" si="30"/>
        <v>-5.5312147142857064</v>
      </c>
      <c r="J196">
        <f t="shared" si="31"/>
        <v>-0.97849113966277024</v>
      </c>
      <c r="K196">
        <f t="shared" si="32"/>
        <v>-5.5000000000005045E-4</v>
      </c>
      <c r="L196">
        <f t="shared" si="33"/>
        <v>-1.2999999999996348E-3</v>
      </c>
      <c r="M196">
        <f t="shared" si="27"/>
        <v>-9.2499999999984261E-4</v>
      </c>
      <c r="N196">
        <f t="shared" si="28"/>
        <v>-2.1109280393819181E-4</v>
      </c>
      <c r="O196" s="3">
        <f t="shared" si="29"/>
        <v>-2.1109280393819181</v>
      </c>
      <c r="P196">
        <v>388</v>
      </c>
    </row>
    <row r="197" spans="1:16" x14ac:dyDescent="0.25">
      <c r="A197">
        <v>195</v>
      </c>
      <c r="B197">
        <v>3.7075999999999998</v>
      </c>
      <c r="C197" s="3">
        <v>3.5096952380952384</v>
      </c>
      <c r="D197" s="8">
        <f t="shared" si="34"/>
        <v>-0.19790476190476136</v>
      </c>
      <c r="E197" s="8">
        <f t="shared" si="35"/>
        <v>-0.1983404761904759</v>
      </c>
      <c r="F197" s="3">
        <v>28.000000000000011</v>
      </c>
      <c r="G197" s="9">
        <v>5649.9999999999982</v>
      </c>
      <c r="H197">
        <f t="shared" si="36"/>
        <v>-5.553533333333327</v>
      </c>
      <c r="I197">
        <f t="shared" si="30"/>
        <v>-5.553533333333327</v>
      </c>
      <c r="J197">
        <f t="shared" si="31"/>
        <v>-0.9829262536873149</v>
      </c>
      <c r="K197">
        <f t="shared" si="32"/>
        <v>-1.0000000000021103E-4</v>
      </c>
      <c r="L197">
        <f t="shared" si="33"/>
        <v>-1.0380952380955044E-3</v>
      </c>
      <c r="M197">
        <f t="shared" ref="M197:M260" si="37">(K197+L197)/2</f>
        <v>-5.6904761904785772E-4</v>
      </c>
      <c r="N197">
        <f t="shared" ref="N197:N260" si="38">-J197/(M197*86400*58)</f>
        <v>-3.4469151155678987E-4</v>
      </c>
      <c r="O197" s="3">
        <f t="shared" ref="O197:O260" si="39">N197*10000</f>
        <v>-3.4469151155678985</v>
      </c>
      <c r="P197">
        <v>390</v>
      </c>
    </row>
    <row r="198" spans="1:16" x14ac:dyDescent="0.25">
      <c r="A198">
        <v>196</v>
      </c>
      <c r="B198">
        <v>3.7075999999999998</v>
      </c>
      <c r="C198" s="3">
        <v>3.5088238095238093</v>
      </c>
      <c r="D198" s="8">
        <f t="shared" si="34"/>
        <v>-0.19877619047619044</v>
      </c>
      <c r="E198" s="8">
        <f t="shared" si="35"/>
        <v>-0.1990976190476188</v>
      </c>
      <c r="F198" s="3">
        <v>27.980000000000008</v>
      </c>
      <c r="G198" s="9">
        <v>5647.1999999999989</v>
      </c>
      <c r="H198">
        <f t="shared" si="36"/>
        <v>-5.5707513809523759</v>
      </c>
      <c r="I198">
        <f t="shared" si="30"/>
        <v>-5.5707513809523759</v>
      </c>
      <c r="J198">
        <f t="shared" si="31"/>
        <v>-0.98646256214626316</v>
      </c>
      <c r="K198">
        <f t="shared" si="32"/>
        <v>-1.4999999999987246E-4</v>
      </c>
      <c r="L198">
        <f t="shared" si="33"/>
        <v>-9.071428571427731E-4</v>
      </c>
      <c r="M198">
        <f t="shared" si="37"/>
        <v>-5.2857142857132278E-4</v>
      </c>
      <c r="N198">
        <f t="shared" si="38"/>
        <v>-3.7242187958568614E-4</v>
      </c>
      <c r="O198" s="3">
        <f t="shared" si="39"/>
        <v>-3.7242187958568613</v>
      </c>
      <c r="P198">
        <v>392</v>
      </c>
    </row>
    <row r="199" spans="1:16" x14ac:dyDescent="0.25">
      <c r="A199">
        <v>197</v>
      </c>
      <c r="B199">
        <v>3.7073</v>
      </c>
      <c r="C199" s="3">
        <v>3.5078809523809529</v>
      </c>
      <c r="D199" s="8">
        <f t="shared" si="34"/>
        <v>-0.19941904761904716</v>
      </c>
      <c r="E199" s="8">
        <f t="shared" si="35"/>
        <v>-0.19821904761904729</v>
      </c>
      <c r="F199" s="3">
        <v>27.96</v>
      </c>
      <c r="G199" s="9">
        <v>5644.4</v>
      </c>
      <c r="H199">
        <f t="shared" si="36"/>
        <v>-5.5422045714285622</v>
      </c>
      <c r="I199">
        <f t="shared" si="30"/>
        <v>-5.5422045714285622</v>
      </c>
      <c r="J199">
        <f t="shared" si="31"/>
        <v>-0.98189436812213204</v>
      </c>
      <c r="K199">
        <f t="shared" si="32"/>
        <v>-2.0000000000000018E-3</v>
      </c>
      <c r="L199">
        <f t="shared" si="33"/>
        <v>-1.1214285714284955E-3</v>
      </c>
      <c r="M199">
        <f t="shared" si="37"/>
        <v>-1.5607142857142486E-3</v>
      </c>
      <c r="N199">
        <f t="shared" si="38"/>
        <v>-1.2554505964954452E-4</v>
      </c>
      <c r="O199" s="3">
        <f t="shared" si="39"/>
        <v>-1.2554505964954452</v>
      </c>
      <c r="P199">
        <v>394</v>
      </c>
    </row>
    <row r="200" spans="1:16" x14ac:dyDescent="0.25">
      <c r="A200">
        <v>198</v>
      </c>
      <c r="B200">
        <v>3.7035999999999998</v>
      </c>
      <c r="C200" s="3">
        <v>3.5065809523809524</v>
      </c>
      <c r="D200" s="8">
        <f t="shared" si="34"/>
        <v>-0.19701904761904743</v>
      </c>
      <c r="E200" s="8">
        <f t="shared" si="35"/>
        <v>-0.19469999999999987</v>
      </c>
      <c r="F200" s="3">
        <v>27.940000000000005</v>
      </c>
      <c r="G200" s="9">
        <v>5641.5999999999995</v>
      </c>
      <c r="H200">
        <f t="shared" si="36"/>
        <v>-5.4399179999999978</v>
      </c>
      <c r="I200">
        <f t="shared" si="30"/>
        <v>-5.4399179999999978</v>
      </c>
      <c r="J200">
        <f t="shared" si="31"/>
        <v>-0.96425092172433324</v>
      </c>
      <c r="K200">
        <f t="shared" si="32"/>
        <v>-4.850000000000021E-3</v>
      </c>
      <c r="L200">
        <f t="shared" si="33"/>
        <v>-1.3309523809525992E-3</v>
      </c>
      <c r="M200">
        <f t="shared" si="37"/>
        <v>-3.0904761904763101E-3</v>
      </c>
      <c r="N200">
        <f t="shared" si="38"/>
        <v>-6.2261979563959209E-5</v>
      </c>
      <c r="O200" s="3">
        <f t="shared" si="39"/>
        <v>-0.62261979563959213</v>
      </c>
      <c r="P200">
        <v>396</v>
      </c>
    </row>
    <row r="201" spans="1:16" x14ac:dyDescent="0.25">
      <c r="A201">
        <v>199</v>
      </c>
      <c r="B201">
        <v>3.6976</v>
      </c>
      <c r="C201" s="3">
        <v>3.5052190476190477</v>
      </c>
      <c r="D201" s="8">
        <f t="shared" si="34"/>
        <v>-0.19238095238095232</v>
      </c>
      <c r="E201" s="8">
        <f t="shared" si="35"/>
        <v>-0.19203571428571364</v>
      </c>
      <c r="F201" s="3">
        <v>27.920000000000005</v>
      </c>
      <c r="G201" s="9">
        <v>5638.7999999999993</v>
      </c>
      <c r="H201">
        <f t="shared" si="36"/>
        <v>-5.3616371428571261</v>
      </c>
      <c r="I201">
        <f t="shared" si="30"/>
        <v>-5.3616371428571261</v>
      </c>
      <c r="J201">
        <f t="shared" si="31"/>
        <v>-0.95084719139836971</v>
      </c>
      <c r="K201">
        <f t="shared" si="32"/>
        <v>-3.8499999999999091E-3</v>
      </c>
      <c r="L201">
        <f t="shared" si="33"/>
        <v>-1.1857142857136793E-3</v>
      </c>
      <c r="M201">
        <f t="shared" si="37"/>
        <v>-2.5178571428567942E-3</v>
      </c>
      <c r="N201">
        <f t="shared" si="38"/>
        <v>-7.535948230335125E-5</v>
      </c>
      <c r="O201" s="3">
        <f t="shared" si="39"/>
        <v>-0.75359482303351255</v>
      </c>
      <c r="P201">
        <v>398</v>
      </c>
    </row>
    <row r="202" spans="1:16" x14ac:dyDescent="0.25">
      <c r="A202">
        <v>200</v>
      </c>
      <c r="B202">
        <v>3.6959</v>
      </c>
      <c r="C202" s="3">
        <v>3.504209523809525</v>
      </c>
      <c r="D202" s="8">
        <f t="shared" si="34"/>
        <v>-0.19169047619047497</v>
      </c>
      <c r="E202" s="8">
        <f t="shared" si="35"/>
        <v>-0.19353333333333267</v>
      </c>
      <c r="F202" s="3">
        <v>27.9</v>
      </c>
      <c r="G202">
        <v>5636</v>
      </c>
      <c r="H202">
        <f t="shared" si="36"/>
        <v>-5.3995799999999816</v>
      </c>
      <c r="I202">
        <f t="shared" si="30"/>
        <v>-5.3995799999999816</v>
      </c>
      <c r="J202">
        <f t="shared" si="31"/>
        <v>-0.95805180979417703</v>
      </c>
      <c r="K202">
        <f t="shared" si="32"/>
        <v>2.5000000000008349E-4</v>
      </c>
      <c r="L202">
        <f t="shared" si="33"/>
        <v>-1.2476190476189419E-3</v>
      </c>
      <c r="M202">
        <f t="shared" si="37"/>
        <v>-4.9880952380942922E-4</v>
      </c>
      <c r="N202">
        <f t="shared" si="38"/>
        <v>-3.8327679183700649E-4</v>
      </c>
      <c r="O202" s="3">
        <f t="shared" si="39"/>
        <v>-3.8327679183700649</v>
      </c>
      <c r="P202">
        <v>400</v>
      </c>
    </row>
    <row r="203" spans="1:16" x14ac:dyDescent="0.25">
      <c r="A203">
        <v>201</v>
      </c>
      <c r="B203">
        <v>3.6981000000000002</v>
      </c>
      <c r="C203" s="3">
        <v>3.5027238095238098</v>
      </c>
      <c r="D203" s="8">
        <f t="shared" si="34"/>
        <v>-0.19537619047619037</v>
      </c>
      <c r="E203" s="8">
        <f t="shared" si="35"/>
        <v>-0.19643095238095243</v>
      </c>
      <c r="F203" s="3">
        <v>27.868000000000002</v>
      </c>
      <c r="G203" s="9">
        <v>5631.04</v>
      </c>
      <c r="H203">
        <f t="shared" si="36"/>
        <v>-5.4741377809523826</v>
      </c>
      <c r="I203">
        <f t="shared" si="30"/>
        <v>-5.4741377809523826</v>
      </c>
      <c r="J203">
        <f t="shared" si="31"/>
        <v>-0.97213619170746124</v>
      </c>
      <c r="K203">
        <f t="shared" si="32"/>
        <v>1.4000000000000679E-3</v>
      </c>
      <c r="L203">
        <f t="shared" si="33"/>
        <v>-1.4976190476196916E-3</v>
      </c>
      <c r="M203">
        <f t="shared" si="37"/>
        <v>-4.880952380981185E-5</v>
      </c>
      <c r="N203">
        <f t="shared" si="38"/>
        <v>-3.9744844768666888E-3</v>
      </c>
      <c r="O203" s="3">
        <f t="shared" si="39"/>
        <v>-39.744844768666887</v>
      </c>
      <c r="P203">
        <v>402</v>
      </c>
    </row>
    <row r="204" spans="1:16" x14ac:dyDescent="0.25">
      <c r="A204">
        <v>202</v>
      </c>
      <c r="B204">
        <v>3.6987000000000001</v>
      </c>
      <c r="C204" s="3">
        <v>3.5012142857142856</v>
      </c>
      <c r="D204" s="8">
        <f t="shared" si="34"/>
        <v>-0.19748571428571449</v>
      </c>
      <c r="E204" s="8">
        <f t="shared" si="35"/>
        <v>-0.19792142857142858</v>
      </c>
      <c r="F204" s="3">
        <v>27.836000000000002</v>
      </c>
      <c r="G204" s="9">
        <v>5626.08</v>
      </c>
      <c r="H204">
        <f t="shared" si="36"/>
        <v>-5.5093408857142867</v>
      </c>
      <c r="I204">
        <f t="shared" si="30"/>
        <v>-5.5093408857142867</v>
      </c>
      <c r="J204">
        <f t="shared" si="31"/>
        <v>-0.97925036361272622</v>
      </c>
      <c r="K204">
        <f t="shared" si="32"/>
        <v>2.4999999999986144E-4</v>
      </c>
      <c r="L204">
        <f t="shared" si="33"/>
        <v>-1.2404761904762918E-3</v>
      </c>
      <c r="M204">
        <f t="shared" si="37"/>
        <v>-4.9523809523821516E-4</v>
      </c>
      <c r="N204">
        <f t="shared" si="38"/>
        <v>-3.9458262791083106E-4</v>
      </c>
      <c r="O204" s="3">
        <f t="shared" si="39"/>
        <v>-3.9458262791083105</v>
      </c>
      <c r="P204">
        <v>404</v>
      </c>
    </row>
    <row r="205" spans="1:16" x14ac:dyDescent="0.25">
      <c r="A205">
        <v>203</v>
      </c>
      <c r="B205">
        <v>3.6985999999999999</v>
      </c>
      <c r="C205" s="3">
        <v>3.5002428571428572</v>
      </c>
      <c r="D205" s="8">
        <f t="shared" si="34"/>
        <v>-0.19835714285714268</v>
      </c>
      <c r="E205" s="8">
        <f t="shared" si="35"/>
        <v>-0.19728095238095289</v>
      </c>
      <c r="F205" s="3">
        <v>27.804000000000002</v>
      </c>
      <c r="G205" s="9">
        <v>5621.12</v>
      </c>
      <c r="H205">
        <f t="shared" si="36"/>
        <v>-5.4851996000000147</v>
      </c>
      <c r="I205">
        <f t="shared" si="30"/>
        <v>-5.4851996000000147</v>
      </c>
      <c r="J205">
        <f t="shared" si="31"/>
        <v>-0.9758196942958014</v>
      </c>
      <c r="K205">
        <f t="shared" si="32"/>
        <v>-1.6000000000000458E-3</v>
      </c>
      <c r="L205">
        <f t="shared" si="33"/>
        <v>-9.5952380952435412E-4</v>
      </c>
      <c r="M205">
        <f t="shared" si="37"/>
        <v>-1.2797619047622E-3</v>
      </c>
      <c r="N205">
        <f t="shared" si="38"/>
        <v>-1.5215935712530149E-4</v>
      </c>
      <c r="O205" s="3">
        <f t="shared" si="39"/>
        <v>-1.5215935712530149</v>
      </c>
      <c r="P205">
        <v>406</v>
      </c>
    </row>
    <row r="206" spans="1:16" x14ac:dyDescent="0.25">
      <c r="A206">
        <v>204</v>
      </c>
      <c r="B206">
        <v>3.6955</v>
      </c>
      <c r="C206" s="3">
        <v>3.4992952380952369</v>
      </c>
      <c r="D206" s="8">
        <f t="shared" si="34"/>
        <v>-0.1962047619047631</v>
      </c>
      <c r="E206" s="8">
        <f t="shared" si="35"/>
        <v>-0.19662857142857182</v>
      </c>
      <c r="F206" s="3">
        <v>27.772000000000002</v>
      </c>
      <c r="G206" s="9">
        <v>5616.16</v>
      </c>
      <c r="H206">
        <f t="shared" si="36"/>
        <v>-5.4607686857142967</v>
      </c>
      <c r="I206">
        <f t="shared" si="30"/>
        <v>-5.4607686857142967</v>
      </c>
      <c r="J206">
        <f t="shared" si="31"/>
        <v>-0.97233139470996144</v>
      </c>
      <c r="K206">
        <f t="shared" si="32"/>
        <v>-1.7000000000000348E-3</v>
      </c>
      <c r="L206">
        <f t="shared" si="33"/>
        <v>-1.047619047618964E-3</v>
      </c>
      <c r="M206">
        <f t="shared" si="37"/>
        <v>-1.3738095238094994E-3</v>
      </c>
      <c r="N206">
        <f t="shared" si="38"/>
        <v>-1.4123620828622604E-4</v>
      </c>
      <c r="O206" s="3">
        <f t="shared" si="39"/>
        <v>-1.4123620828622603</v>
      </c>
      <c r="P206">
        <v>408</v>
      </c>
    </row>
    <row r="207" spans="1:16" x14ac:dyDescent="0.25">
      <c r="A207">
        <v>205</v>
      </c>
      <c r="B207">
        <v>3.6951999999999998</v>
      </c>
      <c r="C207" s="3">
        <v>3.4981476190476193</v>
      </c>
      <c r="D207" s="8">
        <f t="shared" si="34"/>
        <v>-0.19705238095238053</v>
      </c>
      <c r="E207" s="8">
        <f t="shared" si="35"/>
        <v>-0.19827142857142821</v>
      </c>
      <c r="F207" s="3">
        <v>27.740000000000002</v>
      </c>
      <c r="G207" s="9">
        <v>5611.2</v>
      </c>
      <c r="H207">
        <f t="shared" si="36"/>
        <v>-5.500049428571419</v>
      </c>
      <c r="I207">
        <f t="shared" si="30"/>
        <v>-5.500049428571419</v>
      </c>
      <c r="J207">
        <f t="shared" si="31"/>
        <v>-0.98019130107132502</v>
      </c>
      <c r="K207">
        <f t="shared" si="32"/>
        <v>4.9999999999994493E-4</v>
      </c>
      <c r="L207">
        <f t="shared" si="33"/>
        <v>-1.142857142856446E-3</v>
      </c>
      <c r="M207">
        <f t="shared" si="37"/>
        <v>-3.2142857142825054E-4</v>
      </c>
      <c r="N207">
        <f t="shared" si="38"/>
        <v>-6.0853369408135779E-4</v>
      </c>
      <c r="O207" s="3">
        <f t="shared" si="39"/>
        <v>-6.085336940813578</v>
      </c>
      <c r="P207">
        <v>410</v>
      </c>
    </row>
    <row r="208" spans="1:16" x14ac:dyDescent="0.25">
      <c r="A208">
        <v>206</v>
      </c>
      <c r="B208">
        <v>3.6964999999999999</v>
      </c>
      <c r="C208" s="3">
        <v>3.497009523809524</v>
      </c>
      <c r="D208" s="8">
        <f t="shared" si="34"/>
        <v>-0.19949047619047588</v>
      </c>
      <c r="E208" s="8">
        <f t="shared" si="35"/>
        <v>-0.19913333333333316</v>
      </c>
      <c r="F208" s="3">
        <v>27.708000000000006</v>
      </c>
      <c r="G208" s="9">
        <v>5606.24</v>
      </c>
      <c r="H208">
        <f t="shared" si="36"/>
        <v>-5.5175863999999963</v>
      </c>
      <c r="I208">
        <f t="shared" si="30"/>
        <v>-5.5175863999999963</v>
      </c>
      <c r="J208">
        <f t="shared" si="31"/>
        <v>-0.9841866206227341</v>
      </c>
      <c r="K208">
        <f t="shared" si="32"/>
        <v>-1.4999999999987246E-4</v>
      </c>
      <c r="L208">
        <f t="shared" si="33"/>
        <v>-1.0119047619048249E-3</v>
      </c>
      <c r="M208">
        <f t="shared" si="37"/>
        <v>-5.8095238095234869E-4</v>
      </c>
      <c r="N208">
        <f t="shared" si="38"/>
        <v>-3.3806108796751935E-4</v>
      </c>
      <c r="O208" s="3">
        <f t="shared" si="39"/>
        <v>-3.3806108796751935</v>
      </c>
      <c r="P208">
        <v>412</v>
      </c>
    </row>
    <row r="209" spans="1:16" x14ac:dyDescent="0.25">
      <c r="A209">
        <v>207</v>
      </c>
      <c r="B209">
        <v>3.6949000000000001</v>
      </c>
      <c r="C209" s="3">
        <v>3.4961238095238096</v>
      </c>
      <c r="D209" s="8">
        <f t="shared" si="34"/>
        <v>-0.19877619047619044</v>
      </c>
      <c r="E209" s="8">
        <f t="shared" si="35"/>
        <v>-0.19979523809523814</v>
      </c>
      <c r="F209" s="3">
        <v>27.676000000000005</v>
      </c>
      <c r="G209" s="9">
        <v>5601.28</v>
      </c>
      <c r="H209">
        <f t="shared" si="36"/>
        <v>-5.5295330095238118</v>
      </c>
      <c r="I209">
        <f t="shared" si="30"/>
        <v>-5.5295330095238118</v>
      </c>
      <c r="J209">
        <f t="shared" si="31"/>
        <v>-0.98719096519435068</v>
      </c>
      <c r="K209">
        <f t="shared" si="32"/>
        <v>-2.4999999999986144E-4</v>
      </c>
      <c r="L209">
        <f t="shared" si="33"/>
        <v>-9.1190476190483594E-4</v>
      </c>
      <c r="M209">
        <f t="shared" si="37"/>
        <v>-5.8095238095234869E-4</v>
      </c>
      <c r="N209">
        <f t="shared" si="38"/>
        <v>-3.3909305891004991E-4</v>
      </c>
      <c r="O209" s="3">
        <f t="shared" si="39"/>
        <v>-3.390930589100499</v>
      </c>
      <c r="P209">
        <v>414</v>
      </c>
    </row>
    <row r="210" spans="1:16" x14ac:dyDescent="0.25">
      <c r="A210">
        <v>208</v>
      </c>
      <c r="B210">
        <v>3.6960000000000002</v>
      </c>
      <c r="C210" s="3">
        <v>3.4951857142857143</v>
      </c>
      <c r="D210" s="8">
        <f t="shared" si="34"/>
        <v>-0.20081428571428583</v>
      </c>
      <c r="E210" s="8">
        <f t="shared" si="35"/>
        <v>-0.20236428571428622</v>
      </c>
      <c r="F210" s="3">
        <v>27.644000000000005</v>
      </c>
      <c r="G210" s="9">
        <v>5596.32</v>
      </c>
      <c r="H210">
        <f t="shared" si="36"/>
        <v>-5.5941583142857292</v>
      </c>
      <c r="I210">
        <f t="shared" si="30"/>
        <v>-5.5941583142857292</v>
      </c>
      <c r="J210">
        <f t="shared" si="31"/>
        <v>-0.99961373085987382</v>
      </c>
      <c r="K210">
        <f t="shared" si="32"/>
        <v>1.5499999999999403E-3</v>
      </c>
      <c r="L210">
        <f t="shared" si="33"/>
        <v>-1.0190476190481412E-3</v>
      </c>
      <c r="M210">
        <f t="shared" si="37"/>
        <v>2.6547619047589954E-4</v>
      </c>
      <c r="N210">
        <f t="shared" si="38"/>
        <v>7.5138911611372962E-4</v>
      </c>
      <c r="O210" s="3">
        <f t="shared" si="39"/>
        <v>7.5138911611372965</v>
      </c>
      <c r="P210">
        <v>416</v>
      </c>
    </row>
    <row r="211" spans="1:16" x14ac:dyDescent="0.25">
      <c r="A211">
        <v>209</v>
      </c>
      <c r="B211">
        <v>3.698</v>
      </c>
      <c r="C211" s="3">
        <v>3.4940857142857134</v>
      </c>
      <c r="D211" s="8">
        <f t="shared" si="34"/>
        <v>-0.2039142857142866</v>
      </c>
      <c r="E211" s="8">
        <f t="shared" si="35"/>
        <v>-0.20524523809523787</v>
      </c>
      <c r="F211" s="3">
        <v>27.612000000000005</v>
      </c>
      <c r="G211" s="9">
        <v>5591.36</v>
      </c>
      <c r="H211">
        <f t="shared" si="36"/>
        <v>-5.6672315142857093</v>
      </c>
      <c r="I211">
        <f t="shared" si="30"/>
        <v>-5.6672315142857093</v>
      </c>
      <c r="J211">
        <f t="shared" si="31"/>
        <v>-1.0135694203710206</v>
      </c>
      <c r="K211">
        <f t="shared" si="32"/>
        <v>1.8499999999999073E-3</v>
      </c>
      <c r="L211">
        <f t="shared" si="33"/>
        <v>-1.030952380951744E-3</v>
      </c>
      <c r="M211">
        <f t="shared" si="37"/>
        <v>4.0952380952408163E-4</v>
      </c>
      <c r="N211">
        <f t="shared" si="38"/>
        <v>4.9389269960352269E-4</v>
      </c>
      <c r="O211" s="3">
        <f t="shared" si="39"/>
        <v>4.9389269960352271</v>
      </c>
      <c r="P211">
        <v>418</v>
      </c>
    </row>
    <row r="212" spans="1:16" x14ac:dyDescent="0.25">
      <c r="A212">
        <v>210</v>
      </c>
      <c r="B212">
        <v>3.6997</v>
      </c>
      <c r="C212" s="3">
        <v>3.4931238095238109</v>
      </c>
      <c r="D212" s="8">
        <f t="shared" si="34"/>
        <v>-0.20657619047618914</v>
      </c>
      <c r="E212" s="8">
        <f t="shared" si="35"/>
        <v>-0.20604285714285675</v>
      </c>
      <c r="F212" s="3">
        <v>27.580000000000005</v>
      </c>
      <c r="G212" s="9">
        <v>5586.4</v>
      </c>
      <c r="H212">
        <f t="shared" si="36"/>
        <v>-5.6826619999999899</v>
      </c>
      <c r="I212">
        <f t="shared" si="30"/>
        <v>-5.6826619999999899</v>
      </c>
      <c r="J212">
        <f t="shared" si="31"/>
        <v>-1.0172314907632805</v>
      </c>
      <c r="K212">
        <f t="shared" si="32"/>
        <v>-2.5000000000008349E-4</v>
      </c>
      <c r="L212">
        <f t="shared" si="33"/>
        <v>-1.047619047618964E-3</v>
      </c>
      <c r="M212">
        <f t="shared" si="37"/>
        <v>-6.4880952380952372E-4</v>
      </c>
      <c r="N212">
        <f t="shared" si="38"/>
        <v>-3.1286778249424251E-4</v>
      </c>
      <c r="O212" s="3">
        <f t="shared" si="39"/>
        <v>-3.1286778249424252</v>
      </c>
      <c r="P212">
        <v>420</v>
      </c>
    </row>
    <row r="213" spans="1:16" x14ac:dyDescent="0.25">
      <c r="A213">
        <v>211</v>
      </c>
      <c r="B213">
        <v>3.6974999999999998</v>
      </c>
      <c r="C213" s="3">
        <v>3.4919904761904754</v>
      </c>
      <c r="D213" s="8">
        <f t="shared" si="34"/>
        <v>-0.20550952380952436</v>
      </c>
      <c r="E213" s="8">
        <f t="shared" si="35"/>
        <v>-0.20589285714285754</v>
      </c>
      <c r="F213" s="3">
        <v>27.548000000000009</v>
      </c>
      <c r="G213" s="9">
        <v>5581.44</v>
      </c>
      <c r="H213">
        <f t="shared" si="36"/>
        <v>-5.6719364285714411</v>
      </c>
      <c r="I213">
        <f t="shared" si="30"/>
        <v>-5.6719364285714411</v>
      </c>
      <c r="J213">
        <f t="shared" si="31"/>
        <v>-1.0162138137418733</v>
      </c>
      <c r="K213">
        <f t="shared" si="32"/>
        <v>-1.2000000000000899E-3</v>
      </c>
      <c r="L213">
        <f t="shared" si="33"/>
        <v>-1.0500000000008836E-3</v>
      </c>
      <c r="M213">
        <f t="shared" si="37"/>
        <v>-1.1250000000004867E-3</v>
      </c>
      <c r="N213">
        <f t="shared" si="38"/>
        <v>-1.8025645908568072E-4</v>
      </c>
      <c r="O213" s="3">
        <f t="shared" si="39"/>
        <v>-1.8025645908568071</v>
      </c>
      <c r="P213">
        <v>422</v>
      </c>
    </row>
    <row r="214" spans="1:16" x14ac:dyDescent="0.25">
      <c r="A214">
        <v>212</v>
      </c>
      <c r="B214">
        <v>3.6972999999999998</v>
      </c>
      <c r="C214" s="3">
        <v>3.4910238095238091</v>
      </c>
      <c r="D214" s="8">
        <f t="shared" si="34"/>
        <v>-0.20627619047619072</v>
      </c>
      <c r="E214" s="8">
        <f t="shared" si="35"/>
        <v>-0.20486904761904734</v>
      </c>
      <c r="F214" s="3">
        <v>27.516000000000009</v>
      </c>
      <c r="G214" s="9">
        <v>5576.48</v>
      </c>
      <c r="H214">
        <f t="shared" si="36"/>
        <v>-5.6371767142857081</v>
      </c>
      <c r="I214">
        <f t="shared" si="30"/>
        <v>-5.6371767142857081</v>
      </c>
      <c r="J214">
        <f t="shared" si="31"/>
        <v>-1.0108844135163595</v>
      </c>
      <c r="K214">
        <f t="shared" si="32"/>
        <v>-1.9499999999998963E-3</v>
      </c>
      <c r="L214">
        <f t="shared" si="33"/>
        <v>-9.2619047618969219E-4</v>
      </c>
      <c r="M214">
        <f t="shared" si="37"/>
        <v>-1.4380952380947942E-3</v>
      </c>
      <c r="N214">
        <f t="shared" si="38"/>
        <v>-1.4027236396993979E-4</v>
      </c>
      <c r="O214" s="3">
        <f t="shared" si="39"/>
        <v>-1.4027236396993978</v>
      </c>
      <c r="P214">
        <v>424</v>
      </c>
    </row>
    <row r="215" spans="1:16" x14ac:dyDescent="0.25">
      <c r="A215">
        <v>213</v>
      </c>
      <c r="B215">
        <v>3.6936</v>
      </c>
      <c r="C215" s="3">
        <v>3.490138095238096</v>
      </c>
      <c r="D215" s="8">
        <f t="shared" si="34"/>
        <v>-0.20346190476190396</v>
      </c>
      <c r="E215" s="8">
        <f t="shared" si="35"/>
        <v>-0.1981571428571427</v>
      </c>
      <c r="F215" s="3">
        <v>27.484000000000009</v>
      </c>
      <c r="G215" s="9">
        <v>5571.5199999999995</v>
      </c>
      <c r="H215">
        <f t="shared" si="36"/>
        <v>-5.4461509142857114</v>
      </c>
      <c r="I215">
        <f t="shared" si="30"/>
        <v>-5.4461509142857114</v>
      </c>
      <c r="J215">
        <f t="shared" si="31"/>
        <v>-0.97749822567014233</v>
      </c>
      <c r="K215">
        <f t="shared" si="32"/>
        <v>-7.5999999999998291E-3</v>
      </c>
      <c r="L215">
        <f t="shared" si="33"/>
        <v>-8.8809523809518787E-4</v>
      </c>
      <c r="M215">
        <f t="shared" si="37"/>
        <v>-4.2440476190475085E-3</v>
      </c>
      <c r="N215">
        <f t="shared" si="38"/>
        <v>-4.5961478801534542E-5</v>
      </c>
      <c r="O215" s="3">
        <f t="shared" si="39"/>
        <v>-0.45961478801534544</v>
      </c>
      <c r="P215">
        <v>426</v>
      </c>
    </row>
    <row r="216" spans="1:16" x14ac:dyDescent="0.25">
      <c r="A216">
        <v>214</v>
      </c>
      <c r="B216">
        <v>3.6821000000000002</v>
      </c>
      <c r="C216" s="3">
        <v>3.4892476190476187</v>
      </c>
      <c r="D216" s="8">
        <f t="shared" si="34"/>
        <v>-0.19285238095238144</v>
      </c>
      <c r="E216" s="8">
        <f t="shared" si="35"/>
        <v>-0.19246666666666634</v>
      </c>
      <c r="F216" s="3">
        <v>27.452000000000009</v>
      </c>
      <c r="G216" s="9">
        <v>5566.5599999999995</v>
      </c>
      <c r="H216">
        <f t="shared" si="36"/>
        <v>-5.2835949333333261</v>
      </c>
      <c r="I216">
        <f t="shared" si="30"/>
        <v>-5.2835949333333261</v>
      </c>
      <c r="J216">
        <f t="shared" si="31"/>
        <v>-0.9491669780498776</v>
      </c>
      <c r="K216">
        <f t="shared" si="32"/>
        <v>-6.4500000000000668E-3</v>
      </c>
      <c r="L216">
        <f t="shared" si="33"/>
        <v>-7.5952380952371001E-4</v>
      </c>
      <c r="M216">
        <f t="shared" si="37"/>
        <v>-3.6047619047618884E-3</v>
      </c>
      <c r="N216">
        <f t="shared" si="38"/>
        <v>-5.2544141384981973E-5</v>
      </c>
      <c r="O216" s="3">
        <f t="shared" si="39"/>
        <v>-0.52544141384981968</v>
      </c>
      <c r="P216">
        <v>428</v>
      </c>
    </row>
    <row r="217" spans="1:16" x14ac:dyDescent="0.25">
      <c r="A217">
        <v>215</v>
      </c>
      <c r="B217">
        <v>3.6806999999999999</v>
      </c>
      <c r="C217" s="3">
        <v>3.4886190476190486</v>
      </c>
      <c r="D217" s="8">
        <f t="shared" si="34"/>
        <v>-0.19208095238095124</v>
      </c>
      <c r="E217" s="8">
        <f t="shared" si="35"/>
        <v>-0.19152857142857127</v>
      </c>
      <c r="F217" s="3">
        <v>27.420000000000009</v>
      </c>
      <c r="G217" s="9">
        <v>5561.5999999999995</v>
      </c>
      <c r="H217">
        <f t="shared" si="36"/>
        <v>-5.251713428571426</v>
      </c>
      <c r="I217">
        <f t="shared" ref="I217:I280" si="40">H217</f>
        <v>-5.251713428571426</v>
      </c>
      <c r="J217">
        <f t="shared" ref="J217:J280" si="41">(I217/G217)*1000</f>
        <v>-0.94428103937202001</v>
      </c>
      <c r="K217">
        <f t="shared" ref="K217:K280" si="42">(B218-B216)/(A218-A216)</f>
        <v>-1.6000000000000458E-3</v>
      </c>
      <c r="L217">
        <f t="shared" ref="L217:L280" si="43">(C218-C216)/(A218-A216)</f>
        <v>-6.6190476190497449E-4</v>
      </c>
      <c r="M217">
        <f t="shared" si="37"/>
        <v>-1.1309523809525102E-3</v>
      </c>
      <c r="N217">
        <f t="shared" si="38"/>
        <v>-1.6661542840298914E-4</v>
      </c>
      <c r="O217" s="3">
        <f t="shared" si="39"/>
        <v>-1.6661542840298913</v>
      </c>
      <c r="P217">
        <v>430</v>
      </c>
    </row>
    <row r="218" spans="1:16" x14ac:dyDescent="0.25">
      <c r="A218">
        <v>216</v>
      </c>
      <c r="B218">
        <v>3.6789000000000001</v>
      </c>
      <c r="C218" s="3">
        <v>3.4879238095238088</v>
      </c>
      <c r="D218" s="8">
        <f t="shared" ref="D218:D281" si="44">C218-B218</f>
        <v>-0.1909761904761913</v>
      </c>
      <c r="E218" s="8">
        <f t="shared" si="35"/>
        <v>-0.19047857142857172</v>
      </c>
      <c r="F218" s="3">
        <v>27.388000000000012</v>
      </c>
      <c r="G218" s="9">
        <v>5556.6399999999994</v>
      </c>
      <c r="H218">
        <f t="shared" si="36"/>
        <v>-5.2168271142857243</v>
      </c>
      <c r="I218">
        <f t="shared" si="40"/>
        <v>-5.2168271142857243</v>
      </c>
      <c r="J218">
        <f t="shared" si="41"/>
        <v>-0.93884561790681498</v>
      </c>
      <c r="K218">
        <f t="shared" si="42"/>
        <v>-1.8499999999999073E-3</v>
      </c>
      <c r="L218">
        <f t="shared" si="43"/>
        <v>-8.0000000000035598E-4</v>
      </c>
      <c r="M218">
        <f t="shared" si="37"/>
        <v>-1.3250000000001316E-3</v>
      </c>
      <c r="N218">
        <f t="shared" si="38"/>
        <v>-1.413958194635295E-4</v>
      </c>
      <c r="O218" s="3">
        <f t="shared" si="39"/>
        <v>-1.413958194635295</v>
      </c>
      <c r="P218">
        <v>432</v>
      </c>
    </row>
    <row r="219" spans="1:16" x14ac:dyDescent="0.25">
      <c r="A219">
        <v>217</v>
      </c>
      <c r="B219">
        <v>3.677</v>
      </c>
      <c r="C219" s="3">
        <v>3.4870190476190479</v>
      </c>
      <c r="D219" s="8">
        <f t="shared" si="44"/>
        <v>-0.18998095238095214</v>
      </c>
      <c r="E219" s="8">
        <f t="shared" si="35"/>
        <v>-0.18982619047619043</v>
      </c>
      <c r="F219" s="3">
        <v>27.356000000000012</v>
      </c>
      <c r="G219" s="9">
        <v>5551.6799999999994</v>
      </c>
      <c r="H219">
        <f t="shared" si="36"/>
        <v>-5.1928852666666678</v>
      </c>
      <c r="I219">
        <f t="shared" si="40"/>
        <v>-5.1928852666666678</v>
      </c>
      <c r="J219">
        <f t="shared" si="41"/>
        <v>-0.93537186341191647</v>
      </c>
      <c r="K219">
        <f t="shared" si="42"/>
        <v>-1.5000000000000568E-3</v>
      </c>
      <c r="L219">
        <f t="shared" si="43"/>
        <v>-8.4761904761876394E-4</v>
      </c>
      <c r="M219">
        <f t="shared" si="37"/>
        <v>-1.1738095238094104E-3</v>
      </c>
      <c r="N219">
        <f t="shared" si="38"/>
        <v>-1.59017505709338E-4</v>
      </c>
      <c r="O219" s="3">
        <f t="shared" si="39"/>
        <v>-1.5901750570933799</v>
      </c>
      <c r="P219">
        <v>434</v>
      </c>
    </row>
    <row r="220" spans="1:16" x14ac:dyDescent="0.25">
      <c r="A220">
        <v>218</v>
      </c>
      <c r="B220">
        <v>3.6758999999999999</v>
      </c>
      <c r="C220" s="3">
        <v>3.4862285714285712</v>
      </c>
      <c r="D220" s="8">
        <f t="shared" si="44"/>
        <v>-0.18967142857142871</v>
      </c>
      <c r="E220" s="8">
        <f t="shared" si="35"/>
        <v>-0.19051666666666645</v>
      </c>
      <c r="F220" s="3">
        <v>27.324000000000012</v>
      </c>
      <c r="G220" s="9">
        <v>5546.7199999999993</v>
      </c>
      <c r="H220">
        <f t="shared" si="36"/>
        <v>-5.2056773999999963</v>
      </c>
      <c r="I220">
        <f t="shared" si="40"/>
        <v>-5.2056773999999963</v>
      </c>
      <c r="J220">
        <f t="shared" si="41"/>
        <v>-0.93851454553321545</v>
      </c>
      <c r="K220">
        <f t="shared" si="42"/>
        <v>-1.500000000000945E-4</v>
      </c>
      <c r="L220">
        <f t="shared" si="43"/>
        <v>-8.4047619047611377E-4</v>
      </c>
      <c r="M220">
        <f t="shared" si="37"/>
        <v>-4.9523809523810414E-4</v>
      </c>
      <c r="N220">
        <f t="shared" si="38"/>
        <v>-3.7816839234340409E-4</v>
      </c>
      <c r="O220" s="3">
        <f t="shared" si="39"/>
        <v>-3.7816839234340409</v>
      </c>
      <c r="P220">
        <v>436</v>
      </c>
    </row>
    <row r="221" spans="1:16" x14ac:dyDescent="0.25">
      <c r="A221">
        <v>219</v>
      </c>
      <c r="B221">
        <v>3.6766999999999999</v>
      </c>
      <c r="C221" s="3">
        <v>3.4853380952380957</v>
      </c>
      <c r="D221" s="8">
        <f t="shared" si="44"/>
        <v>-0.19136190476190418</v>
      </c>
      <c r="E221" s="8">
        <f t="shared" si="35"/>
        <v>-0.19174285714285677</v>
      </c>
      <c r="F221" s="3">
        <v>27.292000000000012</v>
      </c>
      <c r="G221" s="9">
        <v>5541.7599999999993</v>
      </c>
      <c r="H221">
        <f t="shared" si="36"/>
        <v>-5.2330460571428494</v>
      </c>
      <c r="I221">
        <f t="shared" si="40"/>
        <v>-5.2330460571428494</v>
      </c>
      <c r="J221">
        <f t="shared" si="41"/>
        <v>-0.94429315905828648</v>
      </c>
      <c r="K221">
        <f t="shared" si="42"/>
        <v>3.5000000000007248E-4</v>
      </c>
      <c r="L221">
        <f t="shared" si="43"/>
        <v>-8.7619047619025281E-4</v>
      </c>
      <c r="M221">
        <f t="shared" si="37"/>
        <v>-2.6309523809509017E-4</v>
      </c>
      <c r="N221">
        <f t="shared" si="38"/>
        <v>-7.1622935990747836E-4</v>
      </c>
      <c r="O221" s="3">
        <f t="shared" si="39"/>
        <v>-7.1622935990747836</v>
      </c>
      <c r="P221">
        <v>438</v>
      </c>
    </row>
    <row r="222" spans="1:16" x14ac:dyDescent="0.25">
      <c r="A222">
        <v>220</v>
      </c>
      <c r="B222">
        <v>3.6766000000000001</v>
      </c>
      <c r="C222" s="3">
        <v>3.4844761904761907</v>
      </c>
      <c r="D222" s="8">
        <f t="shared" si="44"/>
        <v>-0.19212380952380936</v>
      </c>
      <c r="E222" s="8">
        <f t="shared" si="35"/>
        <v>-0.1914190476190476</v>
      </c>
      <c r="F222" s="3">
        <v>27.260000000000012</v>
      </c>
      <c r="G222" s="9">
        <v>5536.7999999999993</v>
      </c>
      <c r="H222">
        <f t="shared" si="36"/>
        <v>-5.2180832380952396</v>
      </c>
      <c r="I222">
        <f t="shared" si="40"/>
        <v>-5.2180832380952396</v>
      </c>
      <c r="J222">
        <f t="shared" si="41"/>
        <v>-0.94243664898411361</v>
      </c>
      <c r="K222">
        <f t="shared" si="42"/>
        <v>-1.1499999999999844E-3</v>
      </c>
      <c r="L222">
        <f t="shared" si="43"/>
        <v>-8.2619047619081343E-4</v>
      </c>
      <c r="M222">
        <f t="shared" si="37"/>
        <v>-9.880952380953989E-4</v>
      </c>
      <c r="N222">
        <f t="shared" si="38"/>
        <v>-1.9033191798480478E-4</v>
      </c>
      <c r="O222" s="3">
        <f t="shared" si="39"/>
        <v>-1.9033191798480478</v>
      </c>
      <c r="P222">
        <v>440</v>
      </c>
    </row>
    <row r="223" spans="1:16" x14ac:dyDescent="0.25">
      <c r="A223">
        <v>221</v>
      </c>
      <c r="B223">
        <v>3.6743999999999999</v>
      </c>
      <c r="C223" s="3">
        <v>3.4836857142857141</v>
      </c>
      <c r="D223" s="8">
        <f t="shared" si="44"/>
        <v>-0.19071428571428584</v>
      </c>
      <c r="E223" s="8">
        <f t="shared" si="35"/>
        <v>-0.19143095238095298</v>
      </c>
      <c r="F223" s="3">
        <v>27.228000000000009</v>
      </c>
      <c r="G223" s="9">
        <v>5531.8399999999992</v>
      </c>
      <c r="H223">
        <f t="shared" si="36"/>
        <v>-5.2122819714285891</v>
      </c>
      <c r="I223">
        <f t="shared" si="40"/>
        <v>-5.2122819714285891</v>
      </c>
      <c r="J223">
        <f t="shared" si="41"/>
        <v>-0.94223295891215031</v>
      </c>
      <c r="K223">
        <f t="shared" si="42"/>
        <v>-7.5000000000002842E-4</v>
      </c>
      <c r="L223">
        <f t="shared" si="43"/>
        <v>-7.6190476190540757E-4</v>
      </c>
      <c r="M223">
        <f t="shared" si="37"/>
        <v>-7.5595238095271799E-4</v>
      </c>
      <c r="N223">
        <f t="shared" si="38"/>
        <v>-2.4872653303398918E-4</v>
      </c>
      <c r="O223" s="3">
        <f t="shared" si="39"/>
        <v>-2.4872653303398917</v>
      </c>
      <c r="P223">
        <v>442</v>
      </c>
    </row>
    <row r="224" spans="1:16" x14ac:dyDescent="0.25">
      <c r="A224">
        <v>222</v>
      </c>
      <c r="B224">
        <v>3.6751</v>
      </c>
      <c r="C224" s="3">
        <v>3.4829523809523799</v>
      </c>
      <c r="D224" s="8">
        <f t="shared" si="44"/>
        <v>-0.19214761904762012</v>
      </c>
      <c r="E224" s="8">
        <f t="shared" si="35"/>
        <v>-0.1948071428571434</v>
      </c>
      <c r="F224" s="3">
        <v>27.196000000000005</v>
      </c>
      <c r="G224" s="9">
        <v>5526.8799999999992</v>
      </c>
      <c r="H224">
        <f t="shared" si="36"/>
        <v>-5.2979750571428728</v>
      </c>
      <c r="I224">
        <f t="shared" si="40"/>
        <v>-5.2979750571428728</v>
      </c>
      <c r="J224">
        <f t="shared" si="41"/>
        <v>-0.95858333402260831</v>
      </c>
      <c r="K224">
        <f t="shared" si="42"/>
        <v>2.7000000000001467E-3</v>
      </c>
      <c r="L224">
        <f t="shared" si="43"/>
        <v>-6.7619047619027484E-4</v>
      </c>
      <c r="M224">
        <f t="shared" si="37"/>
        <v>1.0119047619049359E-3</v>
      </c>
      <c r="N224">
        <f t="shared" si="38"/>
        <v>1.8903773208691412E-4</v>
      </c>
      <c r="O224" s="3">
        <f t="shared" si="39"/>
        <v>1.8903773208691412</v>
      </c>
      <c r="P224">
        <v>444</v>
      </c>
    </row>
    <row r="225" spans="1:16" x14ac:dyDescent="0.25">
      <c r="A225">
        <v>223</v>
      </c>
      <c r="B225">
        <v>3.6798000000000002</v>
      </c>
      <c r="C225" s="3">
        <v>3.4823333333333335</v>
      </c>
      <c r="D225" s="8">
        <f t="shared" si="44"/>
        <v>-0.19746666666666668</v>
      </c>
      <c r="E225" s="8">
        <f t="shared" si="35"/>
        <v>-0.19771904761904779</v>
      </c>
      <c r="F225" s="3">
        <v>27.164000000000005</v>
      </c>
      <c r="G225" s="9">
        <v>5521.9199999999992</v>
      </c>
      <c r="H225">
        <f t="shared" si="36"/>
        <v>-5.3708402095238155</v>
      </c>
      <c r="I225">
        <f t="shared" si="40"/>
        <v>-5.3708402095238155</v>
      </c>
      <c r="J225">
        <f t="shared" si="41"/>
        <v>-0.97263998926529471</v>
      </c>
      <c r="K225">
        <f t="shared" si="42"/>
        <v>2.2500000000000853E-3</v>
      </c>
      <c r="L225">
        <f t="shared" si="43"/>
        <v>-6.6190476190430836E-4</v>
      </c>
      <c r="M225">
        <f t="shared" si="37"/>
        <v>7.9404761904788845E-4</v>
      </c>
      <c r="N225">
        <f t="shared" si="38"/>
        <v>2.4443525093971523E-4</v>
      </c>
      <c r="O225" s="3">
        <f t="shared" si="39"/>
        <v>2.4443525093971523</v>
      </c>
      <c r="P225">
        <v>446</v>
      </c>
    </row>
    <row r="226" spans="1:16" x14ac:dyDescent="0.25">
      <c r="A226">
        <v>224</v>
      </c>
      <c r="B226">
        <v>3.6796000000000002</v>
      </c>
      <c r="C226" s="3">
        <v>3.4816285714285713</v>
      </c>
      <c r="D226" s="8">
        <f t="shared" si="44"/>
        <v>-0.19797142857142891</v>
      </c>
      <c r="E226" s="8">
        <f t="shared" si="35"/>
        <v>-0.19714285714285729</v>
      </c>
      <c r="F226" s="3">
        <v>27.132000000000005</v>
      </c>
      <c r="G226" s="9">
        <v>5516.9599999999991</v>
      </c>
      <c r="H226">
        <f t="shared" si="36"/>
        <v>-5.3488800000000047</v>
      </c>
      <c r="I226">
        <f t="shared" si="40"/>
        <v>-5.3488800000000047</v>
      </c>
      <c r="J226">
        <f t="shared" si="41"/>
        <v>-0.96953394623125877</v>
      </c>
      <c r="K226">
        <f t="shared" si="42"/>
        <v>-1.3000000000000789E-3</v>
      </c>
      <c r="L226">
        <f t="shared" si="43"/>
        <v>-7.2380952380957098E-4</v>
      </c>
      <c r="M226">
        <f t="shared" si="37"/>
        <v>-1.0119047619048249E-3</v>
      </c>
      <c r="N226">
        <f t="shared" si="38"/>
        <v>-1.9119725105979233E-4</v>
      </c>
      <c r="O226" s="3">
        <f t="shared" si="39"/>
        <v>-1.9119725105979233</v>
      </c>
      <c r="P226">
        <v>448</v>
      </c>
    </row>
    <row r="227" spans="1:16" x14ac:dyDescent="0.25">
      <c r="A227">
        <v>225</v>
      </c>
      <c r="B227">
        <v>3.6772</v>
      </c>
      <c r="C227" s="3">
        <v>3.4808857142857144</v>
      </c>
      <c r="D227" s="8">
        <f t="shared" si="44"/>
        <v>-0.19631428571428566</v>
      </c>
      <c r="E227" s="8">
        <f t="shared" si="35"/>
        <v>-0.19476428571428572</v>
      </c>
      <c r="F227" s="3">
        <v>27.1</v>
      </c>
      <c r="G227">
        <v>5512</v>
      </c>
      <c r="H227">
        <f t="shared" si="36"/>
        <v>-5.2781121428571431</v>
      </c>
      <c r="I227">
        <f t="shared" si="40"/>
        <v>-5.2781121428571431</v>
      </c>
      <c r="J227">
        <f t="shared" si="41"/>
        <v>-0.95756751503213766</v>
      </c>
      <c r="K227">
        <f t="shared" si="42"/>
        <v>-3.0499999999999972E-3</v>
      </c>
      <c r="L227">
        <f t="shared" si="43"/>
        <v>-6.7142857142843404E-4</v>
      </c>
      <c r="M227">
        <f t="shared" si="37"/>
        <v>-1.8607142857142156E-3</v>
      </c>
      <c r="N227">
        <f t="shared" si="38"/>
        <v>-1.0269468720546155E-4</v>
      </c>
      <c r="O227" s="3">
        <f t="shared" si="39"/>
        <v>-1.0269468720546155</v>
      </c>
      <c r="P227">
        <v>450</v>
      </c>
    </row>
    <row r="228" spans="1:16" x14ac:dyDescent="0.25">
      <c r="A228">
        <v>226</v>
      </c>
      <c r="B228">
        <v>3.6735000000000002</v>
      </c>
      <c r="C228" s="3">
        <v>3.4802857142857144</v>
      </c>
      <c r="D228" s="8">
        <f t="shared" si="44"/>
        <v>-0.19321428571428578</v>
      </c>
      <c r="E228" s="8">
        <f t="shared" si="35"/>
        <v>-0.19207619047619051</v>
      </c>
      <c r="F228" s="3">
        <v>27.064</v>
      </c>
      <c r="G228" s="9">
        <v>5505.16</v>
      </c>
      <c r="H228">
        <f t="shared" si="36"/>
        <v>-5.19835001904762</v>
      </c>
      <c r="I228">
        <f t="shared" si="40"/>
        <v>-5.19835001904762</v>
      </c>
      <c r="J228">
        <f t="shared" si="41"/>
        <v>-0.94426865323580422</v>
      </c>
      <c r="K228">
        <f t="shared" si="42"/>
        <v>-3.3499999999999641E-3</v>
      </c>
      <c r="L228">
        <f t="shared" si="43"/>
        <v>-6.6190476190475245E-4</v>
      </c>
      <c r="M228">
        <f t="shared" si="37"/>
        <v>-2.0059523809523583E-3</v>
      </c>
      <c r="N228">
        <f t="shared" si="38"/>
        <v>-9.3936249710806194E-5</v>
      </c>
      <c r="O228" s="3">
        <f t="shared" si="39"/>
        <v>-0.93936249710806197</v>
      </c>
      <c r="P228">
        <v>452</v>
      </c>
    </row>
    <row r="229" spans="1:16" x14ac:dyDescent="0.25">
      <c r="A229">
        <v>227</v>
      </c>
      <c r="B229">
        <v>3.6705000000000001</v>
      </c>
      <c r="C229" s="3">
        <v>3.4795619047619049</v>
      </c>
      <c r="D229" s="8">
        <f t="shared" si="44"/>
        <v>-0.19093809523809524</v>
      </c>
      <c r="E229" s="8">
        <f t="shared" si="35"/>
        <v>-0.19048095238095275</v>
      </c>
      <c r="F229" s="3">
        <v>27.027999999999999</v>
      </c>
      <c r="G229" s="9">
        <v>5498.32</v>
      </c>
      <c r="H229">
        <f t="shared" si="36"/>
        <v>-5.1483191809523907</v>
      </c>
      <c r="I229">
        <f t="shared" si="40"/>
        <v>-5.1483191809523907</v>
      </c>
      <c r="J229">
        <f t="shared" si="41"/>
        <v>-0.93634404344461419</v>
      </c>
      <c r="K229">
        <f t="shared" si="42"/>
        <v>-2.4000000000001798E-3</v>
      </c>
      <c r="L229">
        <f t="shared" si="43"/>
        <v>-8.0476190476241882E-4</v>
      </c>
      <c r="M229">
        <f t="shared" si="37"/>
        <v>-1.6023809523812993E-3</v>
      </c>
      <c r="N229">
        <f t="shared" si="38"/>
        <v>-1.1660789141287937E-4</v>
      </c>
      <c r="O229" s="3">
        <f t="shared" si="39"/>
        <v>-1.1660789141287937</v>
      </c>
      <c r="P229">
        <v>454</v>
      </c>
    </row>
    <row r="230" spans="1:16" x14ac:dyDescent="0.25">
      <c r="A230">
        <v>228</v>
      </c>
      <c r="B230">
        <v>3.6686999999999999</v>
      </c>
      <c r="C230" s="3">
        <v>3.4786761904761896</v>
      </c>
      <c r="D230" s="8">
        <f t="shared" si="44"/>
        <v>-0.19002380952381026</v>
      </c>
      <c r="E230" s="8">
        <f t="shared" si="35"/>
        <v>-0.1900642857142858</v>
      </c>
      <c r="F230" s="3">
        <v>26.991999999999997</v>
      </c>
      <c r="G230" s="9">
        <v>5491.48</v>
      </c>
      <c r="H230">
        <f t="shared" si="36"/>
        <v>-5.1302152000000021</v>
      </c>
      <c r="I230">
        <f t="shared" si="40"/>
        <v>-5.1302152000000021</v>
      </c>
      <c r="J230">
        <f t="shared" si="41"/>
        <v>-0.93421358176666447</v>
      </c>
      <c r="K230">
        <f t="shared" si="42"/>
        <v>-1.4000000000000679E-3</v>
      </c>
      <c r="L230">
        <f t="shared" si="43"/>
        <v>-9.8333333333311401E-4</v>
      </c>
      <c r="M230">
        <f t="shared" si="37"/>
        <v>-1.1916666666665909E-3</v>
      </c>
      <c r="N230">
        <f t="shared" si="38"/>
        <v>-1.5644066355978951E-4</v>
      </c>
      <c r="O230" s="3">
        <f t="shared" si="39"/>
        <v>-1.5644066355978952</v>
      </c>
      <c r="P230">
        <v>456</v>
      </c>
    </row>
    <row r="231" spans="1:16" x14ac:dyDescent="0.25">
      <c r="A231">
        <v>229</v>
      </c>
      <c r="B231">
        <v>3.6677</v>
      </c>
      <c r="C231" s="3">
        <v>3.4775952380952386</v>
      </c>
      <c r="D231" s="8">
        <f t="shared" si="44"/>
        <v>-0.19010476190476133</v>
      </c>
      <c r="E231" s="8">
        <f t="shared" si="35"/>
        <v>-0.18936428571428499</v>
      </c>
      <c r="F231" s="3">
        <v>26.955999999999996</v>
      </c>
      <c r="G231" s="9">
        <v>5484.6399999999994</v>
      </c>
      <c r="H231">
        <f t="shared" si="36"/>
        <v>-5.1045036857142652</v>
      </c>
      <c r="I231">
        <f t="shared" si="40"/>
        <v>-5.1045036857142652</v>
      </c>
      <c r="J231">
        <f t="shared" si="41"/>
        <v>-0.9306907446458228</v>
      </c>
      <c r="K231">
        <f t="shared" si="42"/>
        <v>-1.7000000000000348E-3</v>
      </c>
      <c r="L231">
        <f t="shared" si="43"/>
        <v>-9.9999999999922373E-4</v>
      </c>
      <c r="M231">
        <f t="shared" si="37"/>
        <v>-1.3499999999996293E-3</v>
      </c>
      <c r="N231">
        <f t="shared" si="38"/>
        <v>-1.3757194915183744E-4</v>
      </c>
      <c r="O231" s="3">
        <f t="shared" si="39"/>
        <v>-1.3757194915183744</v>
      </c>
      <c r="P231">
        <v>458</v>
      </c>
    </row>
    <row r="232" spans="1:16" x14ac:dyDescent="0.25">
      <c r="A232">
        <v>230</v>
      </c>
      <c r="B232">
        <v>3.6652999999999998</v>
      </c>
      <c r="C232" s="3">
        <v>3.4766761904761911</v>
      </c>
      <c r="D232" s="8">
        <f t="shared" si="44"/>
        <v>-0.18862380952380864</v>
      </c>
      <c r="E232" s="8">
        <f t="shared" si="35"/>
        <v>-0.18681190476190435</v>
      </c>
      <c r="F232" s="3">
        <v>26.919999999999995</v>
      </c>
      <c r="G232" s="9">
        <v>5477.7999999999993</v>
      </c>
      <c r="H232">
        <f t="shared" si="36"/>
        <v>-5.0289764761904641</v>
      </c>
      <c r="I232">
        <f t="shared" si="40"/>
        <v>-5.0289764761904641</v>
      </c>
      <c r="J232">
        <f t="shared" si="41"/>
        <v>-0.91806500350331599</v>
      </c>
      <c r="K232">
        <f t="shared" si="42"/>
        <v>-3.4499999999999531E-3</v>
      </c>
      <c r="L232">
        <f t="shared" si="43"/>
        <v>-8.9761904761931355E-4</v>
      </c>
      <c r="M232">
        <f t="shared" si="37"/>
        <v>-2.1738095238096333E-3</v>
      </c>
      <c r="N232">
        <f t="shared" si="38"/>
        <v>-8.427722153665456E-5</v>
      </c>
      <c r="O232" s="3">
        <f t="shared" si="39"/>
        <v>-0.84277221536654556</v>
      </c>
      <c r="P232">
        <v>460</v>
      </c>
    </row>
    <row r="233" spans="1:16" x14ac:dyDescent="0.25">
      <c r="A233">
        <v>231</v>
      </c>
      <c r="B233">
        <v>3.6608000000000001</v>
      </c>
      <c r="C233" s="3">
        <v>3.4758</v>
      </c>
      <c r="D233" s="8">
        <f t="shared" si="44"/>
        <v>-0.18500000000000005</v>
      </c>
      <c r="E233" s="8">
        <f t="shared" si="35"/>
        <v>-0.18569523809523791</v>
      </c>
      <c r="F233" s="3">
        <v>26.883999999999993</v>
      </c>
      <c r="G233" s="9">
        <v>5470.9599999999991</v>
      </c>
      <c r="H233">
        <f t="shared" si="36"/>
        <v>-4.9922307809523749</v>
      </c>
      <c r="I233">
        <f t="shared" si="40"/>
        <v>-4.9922307809523749</v>
      </c>
      <c r="J233">
        <f t="shared" si="41"/>
        <v>-0.91249630429620687</v>
      </c>
      <c r="K233">
        <f t="shared" si="42"/>
        <v>-2.0999999999999908E-3</v>
      </c>
      <c r="L233">
        <f t="shared" si="43"/>
        <v>-9.833333333335581E-4</v>
      </c>
      <c r="M233">
        <f t="shared" si="37"/>
        <v>-1.5416666666667744E-3</v>
      </c>
      <c r="N233">
        <f t="shared" si="38"/>
        <v>-1.1811332508751982E-4</v>
      </c>
      <c r="O233" s="3">
        <f t="shared" si="39"/>
        <v>-1.1811332508751982</v>
      </c>
      <c r="P233">
        <v>462</v>
      </c>
    </row>
    <row r="234" spans="1:16" x14ac:dyDescent="0.25">
      <c r="A234">
        <v>232</v>
      </c>
      <c r="B234">
        <v>3.6610999999999998</v>
      </c>
      <c r="C234" s="3">
        <v>3.474709523809524</v>
      </c>
      <c r="D234" s="8">
        <f t="shared" si="44"/>
        <v>-0.18639047619047577</v>
      </c>
      <c r="E234" s="8">
        <f t="shared" si="35"/>
        <v>-0.18621190476190463</v>
      </c>
      <c r="F234" s="3">
        <v>26.847999999999992</v>
      </c>
      <c r="G234" s="9">
        <v>5464.119999999999</v>
      </c>
      <c r="H234">
        <f t="shared" si="36"/>
        <v>-4.999417219047614</v>
      </c>
      <c r="I234">
        <f t="shared" si="40"/>
        <v>-4.999417219047614</v>
      </c>
      <c r="J234">
        <f t="shared" si="41"/>
        <v>-0.91495377463299032</v>
      </c>
      <c r="K234">
        <f t="shared" si="42"/>
        <v>-4.9999999999994493E-4</v>
      </c>
      <c r="L234">
        <f t="shared" si="43"/>
        <v>-1.0166666666666657E-3</v>
      </c>
      <c r="M234">
        <f t="shared" si="37"/>
        <v>-7.5833333333330533E-4</v>
      </c>
      <c r="N234">
        <f t="shared" si="38"/>
        <v>-2.4076717154883587E-4</v>
      </c>
      <c r="O234" s="3">
        <f t="shared" si="39"/>
        <v>-2.4076717154883585</v>
      </c>
      <c r="P234">
        <v>464</v>
      </c>
    </row>
    <row r="235" spans="1:16" x14ac:dyDescent="0.25">
      <c r="A235">
        <v>233</v>
      </c>
      <c r="B235">
        <v>3.6598000000000002</v>
      </c>
      <c r="C235" s="3">
        <v>3.4737666666666667</v>
      </c>
      <c r="D235" s="8">
        <f t="shared" si="44"/>
        <v>-0.18603333333333349</v>
      </c>
      <c r="E235" s="8">
        <f t="shared" si="35"/>
        <v>-0.18469523809523802</v>
      </c>
      <c r="F235" s="3">
        <v>26.811999999999991</v>
      </c>
      <c r="G235" s="9">
        <v>5457.2799999999988</v>
      </c>
      <c r="H235">
        <f t="shared" si="36"/>
        <v>-4.9520487238095203</v>
      </c>
      <c r="I235">
        <f t="shared" si="40"/>
        <v>-4.9520487238095203</v>
      </c>
      <c r="J235">
        <f t="shared" si="41"/>
        <v>-0.90742067913127444</v>
      </c>
      <c r="K235">
        <f t="shared" si="42"/>
        <v>-2.3499999999998522E-3</v>
      </c>
      <c r="L235">
        <f t="shared" si="43"/>
        <v>-8.3333333333324155E-4</v>
      </c>
      <c r="M235">
        <f t="shared" si="37"/>
        <v>-1.5916666666665469E-3</v>
      </c>
      <c r="N235">
        <f t="shared" si="38"/>
        <v>-1.1376660938739228E-4</v>
      </c>
      <c r="O235" s="3">
        <f t="shared" si="39"/>
        <v>-1.1376660938739227</v>
      </c>
      <c r="P235">
        <v>466</v>
      </c>
    </row>
    <row r="236" spans="1:16" x14ac:dyDescent="0.25">
      <c r="A236">
        <v>234</v>
      </c>
      <c r="B236">
        <v>3.6564000000000001</v>
      </c>
      <c r="C236" s="3">
        <v>3.4730428571428575</v>
      </c>
      <c r="D236" s="8">
        <f t="shared" si="44"/>
        <v>-0.18335714285714255</v>
      </c>
      <c r="E236" s="8">
        <f t="shared" si="35"/>
        <v>-0.18199761904761869</v>
      </c>
      <c r="F236" s="3">
        <v>26.775999999999989</v>
      </c>
      <c r="G236" s="9">
        <v>5450.4399999999987</v>
      </c>
      <c r="H236">
        <f t="shared" si="36"/>
        <v>-4.8731682476190361</v>
      </c>
      <c r="I236">
        <f t="shared" si="40"/>
        <v>-4.8731682476190361</v>
      </c>
      <c r="J236">
        <f t="shared" si="41"/>
        <v>-0.89408712830873049</v>
      </c>
      <c r="K236">
        <f t="shared" si="42"/>
        <v>-3.5500000000001641E-3</v>
      </c>
      <c r="L236">
        <f t="shared" si="43"/>
        <v>-8.5238095238082678E-4</v>
      </c>
      <c r="M236">
        <f t="shared" si="37"/>
        <v>-2.2011904761904955E-3</v>
      </c>
      <c r="N236">
        <f t="shared" si="38"/>
        <v>-8.1055125300217402E-5</v>
      </c>
      <c r="O236" s="3">
        <f t="shared" si="39"/>
        <v>-0.81055125300217401</v>
      </c>
      <c r="P236">
        <v>468</v>
      </c>
    </row>
    <row r="237" spans="1:16" x14ac:dyDescent="0.25">
      <c r="A237">
        <v>235</v>
      </c>
      <c r="B237">
        <v>3.6526999999999998</v>
      </c>
      <c r="C237" s="3">
        <v>3.472061904761905</v>
      </c>
      <c r="D237" s="8">
        <f t="shared" si="44"/>
        <v>-0.18063809523809482</v>
      </c>
      <c r="E237" s="8">
        <f t="shared" si="35"/>
        <v>-0.18027142857142819</v>
      </c>
      <c r="F237" s="3">
        <v>26.739999999999988</v>
      </c>
      <c r="G237" s="9">
        <v>5443.5999999999985</v>
      </c>
      <c r="H237">
        <f t="shared" si="36"/>
        <v>-4.8204579999999879</v>
      </c>
      <c r="I237">
        <f t="shared" si="40"/>
        <v>-4.8204579999999879</v>
      </c>
      <c r="J237">
        <f t="shared" si="41"/>
        <v>-0.8855275920346809</v>
      </c>
      <c r="K237">
        <f t="shared" si="42"/>
        <v>-2.5500000000000522E-3</v>
      </c>
      <c r="L237">
        <f t="shared" si="43"/>
        <v>-8.2380952380955996E-4</v>
      </c>
      <c r="M237">
        <f t="shared" si="37"/>
        <v>-1.6869047619048061E-3</v>
      </c>
      <c r="N237">
        <f t="shared" si="38"/>
        <v>-1.0475380276044927E-4</v>
      </c>
      <c r="O237" s="3">
        <f t="shared" si="39"/>
        <v>-1.0475380276044925</v>
      </c>
      <c r="P237">
        <v>470</v>
      </c>
    </row>
    <row r="238" spans="1:16" x14ac:dyDescent="0.25">
      <c r="A238">
        <v>236</v>
      </c>
      <c r="B238">
        <v>3.6513</v>
      </c>
      <c r="C238" s="3">
        <v>3.4713952380952384</v>
      </c>
      <c r="D238" s="8">
        <f t="shared" si="44"/>
        <v>-0.17990476190476157</v>
      </c>
      <c r="E238" s="8">
        <f t="shared" si="35"/>
        <v>-0.17953333333333332</v>
      </c>
      <c r="F238" s="3">
        <v>26.703999999999986</v>
      </c>
      <c r="G238" s="9">
        <v>5436.7599999999984</v>
      </c>
      <c r="H238">
        <f t="shared" si="36"/>
        <v>-4.7942581333333303</v>
      </c>
      <c r="I238">
        <f t="shared" si="40"/>
        <v>-4.7942581333333303</v>
      </c>
      <c r="J238">
        <f t="shared" si="41"/>
        <v>-0.88182265417883665</v>
      </c>
      <c r="K238">
        <f t="shared" si="42"/>
        <v>-1.3499999999999623E-3</v>
      </c>
      <c r="L238">
        <f t="shared" si="43"/>
        <v>-6.1190476190509102E-4</v>
      </c>
      <c r="M238">
        <f t="shared" si="37"/>
        <v>-9.8095238095252668E-4</v>
      </c>
      <c r="N238">
        <f t="shared" si="38"/>
        <v>-1.7938725737602932E-4</v>
      </c>
      <c r="O238" s="3">
        <f t="shared" si="39"/>
        <v>-1.7938725737602932</v>
      </c>
      <c r="P238">
        <v>472</v>
      </c>
    </row>
    <row r="239" spans="1:16" x14ac:dyDescent="0.25">
      <c r="A239">
        <v>237</v>
      </c>
      <c r="B239">
        <v>3.65</v>
      </c>
      <c r="C239" s="3">
        <v>3.4708380952380948</v>
      </c>
      <c r="D239" s="8">
        <f t="shared" si="44"/>
        <v>-0.17916190476190508</v>
      </c>
      <c r="E239" s="8">
        <f t="shared" si="35"/>
        <v>-0.17894047619047626</v>
      </c>
      <c r="F239" s="3">
        <v>26.667999999999985</v>
      </c>
      <c r="G239" s="9">
        <v>5429.9199999999983</v>
      </c>
      <c r="H239">
        <f t="shared" si="36"/>
        <v>-4.7719846190476183</v>
      </c>
      <c r="I239">
        <f t="shared" si="40"/>
        <v>-4.7719846190476183</v>
      </c>
      <c r="J239">
        <f t="shared" si="41"/>
        <v>-0.87883147800476247</v>
      </c>
      <c r="K239">
        <f t="shared" si="42"/>
        <v>-1.1499999999999844E-3</v>
      </c>
      <c r="L239">
        <f t="shared" si="43"/>
        <v>-5.5714285714292267E-4</v>
      </c>
      <c r="M239">
        <f t="shared" si="37"/>
        <v>-8.5357142857145352E-4</v>
      </c>
      <c r="N239">
        <f t="shared" si="38"/>
        <v>-2.0545844575208127E-4</v>
      </c>
      <c r="O239" s="3">
        <f t="shared" si="39"/>
        <v>-2.0545844575208125</v>
      </c>
      <c r="P239">
        <v>474</v>
      </c>
    </row>
    <row r="240" spans="1:16" x14ac:dyDescent="0.25">
      <c r="A240">
        <v>238</v>
      </c>
      <c r="B240">
        <v>3.649</v>
      </c>
      <c r="C240" s="3">
        <v>3.4702809523809526</v>
      </c>
      <c r="D240" s="8">
        <f t="shared" si="44"/>
        <v>-0.17871904761904744</v>
      </c>
      <c r="E240" s="8">
        <f t="shared" si="35"/>
        <v>-0.17907380952380958</v>
      </c>
      <c r="F240" s="3">
        <v>26.631999999999984</v>
      </c>
      <c r="G240" s="9">
        <v>5423.0799999999981</v>
      </c>
      <c r="H240">
        <f t="shared" si="36"/>
        <v>-4.7690936952380936</v>
      </c>
      <c r="I240">
        <f t="shared" si="40"/>
        <v>-4.7690936952380936</v>
      </c>
      <c r="J240">
        <f t="shared" si="41"/>
        <v>-0.87940684910384792</v>
      </c>
      <c r="K240">
        <f t="shared" si="42"/>
        <v>-6.5000000000003944E-4</v>
      </c>
      <c r="L240">
        <f t="shared" si="43"/>
        <v>-7.8333333333335808E-4</v>
      </c>
      <c r="M240">
        <f t="shared" si="37"/>
        <v>-7.1666666666669876E-4</v>
      </c>
      <c r="N240">
        <f t="shared" si="38"/>
        <v>-2.4486736197535433E-4</v>
      </c>
      <c r="O240" s="3">
        <f t="shared" si="39"/>
        <v>-2.448673619753543</v>
      </c>
      <c r="P240">
        <v>476</v>
      </c>
    </row>
    <row r="241" spans="1:16" x14ac:dyDescent="0.25">
      <c r="A241">
        <v>239</v>
      </c>
      <c r="B241">
        <v>3.6486999999999998</v>
      </c>
      <c r="C241" s="3">
        <v>3.4692714285714281</v>
      </c>
      <c r="D241" s="8">
        <f t="shared" si="44"/>
        <v>-0.17942857142857171</v>
      </c>
      <c r="E241" s="8">
        <f t="shared" si="35"/>
        <v>-0.17715238095238073</v>
      </c>
      <c r="F241" s="3">
        <v>26.595999999999982</v>
      </c>
      <c r="G241" s="9">
        <v>5416.239999999998</v>
      </c>
      <c r="H241">
        <f t="shared" si="36"/>
        <v>-4.7115447238095145</v>
      </c>
      <c r="I241">
        <f t="shared" si="40"/>
        <v>-4.7115447238095145</v>
      </c>
      <c r="J241">
        <f t="shared" si="41"/>
        <v>-0.8698921620551372</v>
      </c>
      <c r="K241">
        <f t="shared" si="42"/>
        <v>-2.7500000000000302E-3</v>
      </c>
      <c r="L241">
        <f t="shared" si="43"/>
        <v>-8.2857142857117871E-4</v>
      </c>
      <c r="M241">
        <f t="shared" si="37"/>
        <v>-1.7892857142856045E-3</v>
      </c>
      <c r="N241">
        <f t="shared" si="38"/>
        <v>-9.7016139088144506E-5</v>
      </c>
      <c r="O241" s="3">
        <f t="shared" si="39"/>
        <v>-0.97016139088144504</v>
      </c>
      <c r="P241">
        <v>478</v>
      </c>
    </row>
    <row r="242" spans="1:16" x14ac:dyDescent="0.25">
      <c r="A242">
        <v>240</v>
      </c>
      <c r="B242">
        <v>3.6435</v>
      </c>
      <c r="C242" s="3">
        <v>3.4686238095238102</v>
      </c>
      <c r="D242" s="8">
        <f t="shared" si="44"/>
        <v>-0.17487619047618974</v>
      </c>
      <c r="E242" s="8">
        <f t="shared" si="35"/>
        <v>-0.16850238095238068</v>
      </c>
      <c r="F242" s="3">
        <v>26.559999999999985</v>
      </c>
      <c r="G242" s="9">
        <v>5409.3999999999978</v>
      </c>
      <c r="H242">
        <f t="shared" si="36"/>
        <v>-4.4754232380952281</v>
      </c>
      <c r="I242">
        <f t="shared" si="40"/>
        <v>-4.4754232380952281</v>
      </c>
      <c r="J242">
        <f t="shared" si="41"/>
        <v>-0.82734189338840347</v>
      </c>
      <c r="K242">
        <f t="shared" si="42"/>
        <v>-9.3999999999998529E-3</v>
      </c>
      <c r="L242">
        <f t="shared" si="43"/>
        <v>-7.4999999999980638E-4</v>
      </c>
      <c r="M242">
        <f t="shared" si="37"/>
        <v>-5.0749999999998296E-3</v>
      </c>
      <c r="N242">
        <f t="shared" si="38"/>
        <v>-3.2531735548368942E-5</v>
      </c>
      <c r="O242" s="3">
        <f t="shared" si="39"/>
        <v>-0.3253173554836894</v>
      </c>
      <c r="P242">
        <v>480</v>
      </c>
    </row>
    <row r="243" spans="1:16" x14ac:dyDescent="0.25">
      <c r="A243">
        <v>241</v>
      </c>
      <c r="B243">
        <v>3.6299000000000001</v>
      </c>
      <c r="C243" s="3">
        <v>3.4677714285714285</v>
      </c>
      <c r="D243" s="8">
        <f t="shared" si="44"/>
        <v>-0.16212857142857162</v>
      </c>
      <c r="E243" s="8">
        <f t="shared" si="35"/>
        <v>-0.15611190476190484</v>
      </c>
      <c r="F243" s="3">
        <v>26.52399999999999</v>
      </c>
      <c r="G243" s="9">
        <v>5402.5599999999977</v>
      </c>
      <c r="H243">
        <f t="shared" si="36"/>
        <v>-4.1407121619047622</v>
      </c>
      <c r="I243">
        <f t="shared" si="40"/>
        <v>-4.1407121619047622</v>
      </c>
      <c r="J243">
        <f t="shared" si="41"/>
        <v>-0.76643520144242072</v>
      </c>
      <c r="K243">
        <f t="shared" si="42"/>
        <v>-1.309999999999989E-2</v>
      </c>
      <c r="L243">
        <f t="shared" si="43"/>
        <v>-7.0952380952404859E-4</v>
      </c>
      <c r="M243">
        <f t="shared" si="37"/>
        <v>-6.904761904761969E-3</v>
      </c>
      <c r="N243">
        <f t="shared" si="38"/>
        <v>-2.2150574754330554E-5</v>
      </c>
      <c r="O243" s="3">
        <f t="shared" si="39"/>
        <v>-0.22150574754330554</v>
      </c>
      <c r="P243">
        <v>482</v>
      </c>
    </row>
    <row r="244" spans="1:16" x14ac:dyDescent="0.25">
      <c r="A244">
        <v>242</v>
      </c>
      <c r="B244">
        <v>3.6173000000000002</v>
      </c>
      <c r="C244" s="3">
        <v>3.4672047619047621</v>
      </c>
      <c r="D244" s="8">
        <f t="shared" si="44"/>
        <v>-0.15009523809523806</v>
      </c>
      <c r="E244" s="8">
        <f t="shared" si="35"/>
        <v>-0.15125714285714253</v>
      </c>
      <c r="F244" s="3">
        <v>26.487999999999989</v>
      </c>
      <c r="G244" s="9">
        <v>5395.7199999999975</v>
      </c>
      <c r="H244">
        <f t="shared" si="36"/>
        <v>-4.0064991999999897</v>
      </c>
      <c r="I244">
        <f t="shared" si="40"/>
        <v>-4.0064991999999897</v>
      </c>
      <c r="J244">
        <f t="shared" si="41"/>
        <v>-0.74253282231101536</v>
      </c>
      <c r="K244">
        <f t="shared" si="42"/>
        <v>-5.5000000000000604E-3</v>
      </c>
      <c r="L244">
        <f t="shared" si="43"/>
        <v>-6.4523809523775455E-4</v>
      </c>
      <c r="M244">
        <f t="shared" si="37"/>
        <v>-3.0726190476189075E-3</v>
      </c>
      <c r="N244">
        <f t="shared" si="38"/>
        <v>-4.8224218799194831E-5</v>
      </c>
      <c r="O244" s="3">
        <f t="shared" si="39"/>
        <v>-0.48224218799194829</v>
      </c>
      <c r="P244">
        <v>484</v>
      </c>
    </row>
    <row r="245" spans="1:16" x14ac:dyDescent="0.25">
      <c r="A245">
        <v>243</v>
      </c>
      <c r="B245">
        <v>3.6189</v>
      </c>
      <c r="C245" s="3">
        <v>3.466480952380953</v>
      </c>
      <c r="D245" s="8">
        <f t="shared" si="44"/>
        <v>-0.15241904761904701</v>
      </c>
      <c r="E245" s="8">
        <f t="shared" si="35"/>
        <v>-0.15027142857142839</v>
      </c>
      <c r="F245" s="3">
        <v>26.451999999999988</v>
      </c>
      <c r="G245" s="9">
        <v>5388.8799999999974</v>
      </c>
      <c r="H245">
        <f t="shared" si="36"/>
        <v>-3.974979828571422</v>
      </c>
      <c r="I245">
        <f t="shared" si="40"/>
        <v>-3.974979828571422</v>
      </c>
      <c r="J245">
        <f t="shared" si="41"/>
        <v>-0.73762633953092738</v>
      </c>
      <c r="K245">
        <f t="shared" si="42"/>
        <v>-1.9500000000001183E-3</v>
      </c>
      <c r="L245">
        <f t="shared" si="43"/>
        <v>-9.6428571428597287E-4</v>
      </c>
      <c r="M245">
        <f t="shared" si="37"/>
        <v>-1.4571428571430456E-3</v>
      </c>
      <c r="N245">
        <f t="shared" si="38"/>
        <v>-1.0101655383540524E-4</v>
      </c>
      <c r="O245" s="3">
        <f t="shared" si="39"/>
        <v>-1.0101655383540524</v>
      </c>
      <c r="P245">
        <v>486</v>
      </c>
    </row>
    <row r="246" spans="1:16" x14ac:dyDescent="0.25">
      <c r="A246">
        <v>244</v>
      </c>
      <c r="B246">
        <v>3.6133999999999999</v>
      </c>
      <c r="C246" s="3">
        <v>3.4652761904761902</v>
      </c>
      <c r="D246" s="8">
        <f t="shared" si="44"/>
        <v>-0.14812380952380977</v>
      </c>
      <c r="E246" s="8">
        <f t="shared" si="35"/>
        <v>-0.14494285714285726</v>
      </c>
      <c r="F246" s="3">
        <v>26.41599999999999</v>
      </c>
      <c r="G246" s="9">
        <v>5382.0399999999981</v>
      </c>
      <c r="H246">
        <f t="shared" si="36"/>
        <v>-3.8288105142857161</v>
      </c>
      <c r="I246">
        <f t="shared" si="40"/>
        <v>-3.8288105142857161</v>
      </c>
      <c r="J246">
        <f t="shared" si="41"/>
        <v>-0.71140506467542364</v>
      </c>
      <c r="K246">
        <f t="shared" si="42"/>
        <v>-6.2999999999999723E-3</v>
      </c>
      <c r="L246">
        <f t="shared" si="43"/>
        <v>-9.7142857142884509E-4</v>
      </c>
      <c r="M246">
        <f t="shared" si="37"/>
        <v>-3.6357142857144087E-3</v>
      </c>
      <c r="N246">
        <f t="shared" si="38"/>
        <v>-3.9046801982637843E-5</v>
      </c>
      <c r="O246" s="3">
        <f t="shared" si="39"/>
        <v>-0.39046801982637841</v>
      </c>
      <c r="P246">
        <v>488</v>
      </c>
    </row>
    <row r="247" spans="1:16" x14ac:dyDescent="0.25">
      <c r="A247">
        <v>245</v>
      </c>
      <c r="B247">
        <v>3.6063000000000001</v>
      </c>
      <c r="C247" s="3">
        <v>3.4645380952380953</v>
      </c>
      <c r="D247" s="8">
        <f t="shared" si="44"/>
        <v>-0.14176190476190476</v>
      </c>
      <c r="E247" s="8">
        <f t="shared" si="35"/>
        <v>-0.14384761904761922</v>
      </c>
      <c r="F247" s="3">
        <v>26.379999999999995</v>
      </c>
      <c r="G247" s="9">
        <v>5375.1999999999989</v>
      </c>
      <c r="H247">
        <f t="shared" si="36"/>
        <v>-3.7947001904761946</v>
      </c>
      <c r="I247">
        <f t="shared" si="40"/>
        <v>-3.7947001904761946</v>
      </c>
      <c r="J247">
        <f t="shared" si="41"/>
        <v>-0.70596446466665341</v>
      </c>
      <c r="K247">
        <f t="shared" si="42"/>
        <v>-1.9000000000000128E-3</v>
      </c>
      <c r="L247">
        <f t="shared" si="43"/>
        <v>-8.0476190476197473E-4</v>
      </c>
      <c r="M247">
        <f t="shared" si="37"/>
        <v>-1.3523809523809938E-3</v>
      </c>
      <c r="N247">
        <f t="shared" si="38"/>
        <v>-1.0416985500365988E-4</v>
      </c>
      <c r="O247" s="3">
        <f t="shared" si="39"/>
        <v>-1.0416985500365989</v>
      </c>
      <c r="P247">
        <v>490</v>
      </c>
    </row>
    <row r="248" spans="1:16" x14ac:dyDescent="0.25">
      <c r="A248">
        <v>246</v>
      </c>
      <c r="B248">
        <v>3.6095999999999999</v>
      </c>
      <c r="C248" s="3">
        <v>3.4636666666666662</v>
      </c>
      <c r="D248" s="8">
        <f t="shared" si="44"/>
        <v>-0.14593333333333369</v>
      </c>
      <c r="E248" s="8">
        <f t="shared" si="35"/>
        <v>-0.14871428571428602</v>
      </c>
      <c r="F248" s="3">
        <v>26.343999999999994</v>
      </c>
      <c r="G248" s="9">
        <v>5368.3599999999988</v>
      </c>
      <c r="H248">
        <f t="shared" si="36"/>
        <v>-3.9177291428571501</v>
      </c>
      <c r="I248">
        <f t="shared" si="40"/>
        <v>-3.9177291428571501</v>
      </c>
      <c r="J248">
        <f t="shared" si="41"/>
        <v>-0.72978137510471563</v>
      </c>
      <c r="K248">
        <f t="shared" si="42"/>
        <v>3.9000000000000146E-3</v>
      </c>
      <c r="L248">
        <f t="shared" si="43"/>
        <v>-9.6666666666678225E-4</v>
      </c>
      <c r="M248">
        <f t="shared" si="37"/>
        <v>1.4666666666666162E-3</v>
      </c>
      <c r="N248">
        <f t="shared" si="38"/>
        <v>9.9293225235210514E-5</v>
      </c>
      <c r="O248" s="3">
        <f t="shared" si="39"/>
        <v>0.99293225235210514</v>
      </c>
      <c r="P248">
        <v>492</v>
      </c>
    </row>
    <row r="249" spans="1:16" x14ac:dyDescent="0.25">
      <c r="A249">
        <v>247</v>
      </c>
      <c r="B249">
        <v>3.6141000000000001</v>
      </c>
      <c r="C249" s="3">
        <v>3.4626047619047617</v>
      </c>
      <c r="D249" s="8">
        <f t="shared" si="44"/>
        <v>-0.15149523809523835</v>
      </c>
      <c r="E249" s="8">
        <f t="shared" si="35"/>
        <v>-0.15182619047619039</v>
      </c>
      <c r="F249" s="3">
        <v>26.307999999999993</v>
      </c>
      <c r="G249" s="9">
        <v>5361.5199999999986</v>
      </c>
      <c r="H249">
        <f t="shared" si="36"/>
        <v>-3.9942434190476157</v>
      </c>
      <c r="I249">
        <f t="shared" si="40"/>
        <v>-3.9942434190476157</v>
      </c>
      <c r="J249">
        <f t="shared" si="41"/>
        <v>-0.74498340378243799</v>
      </c>
      <c r="K249">
        <f t="shared" si="42"/>
        <v>2.1999999999999797E-3</v>
      </c>
      <c r="L249">
        <f t="shared" si="43"/>
        <v>-9.1190476190439185E-4</v>
      </c>
      <c r="M249">
        <f t="shared" si="37"/>
        <v>6.4404761904779395E-4</v>
      </c>
      <c r="N249">
        <f t="shared" si="38"/>
        <v>2.3082714651789161E-4</v>
      </c>
      <c r="O249" s="3">
        <f t="shared" si="39"/>
        <v>2.3082714651789162</v>
      </c>
      <c r="P249">
        <v>494</v>
      </c>
    </row>
    <row r="250" spans="1:16" x14ac:dyDescent="0.25">
      <c r="A250">
        <v>248</v>
      </c>
      <c r="B250">
        <v>3.6139999999999999</v>
      </c>
      <c r="C250" s="3">
        <v>3.4618428571428574</v>
      </c>
      <c r="D250" s="8">
        <f t="shared" si="44"/>
        <v>-0.15215714285714244</v>
      </c>
      <c r="E250" s="8">
        <f t="shared" si="35"/>
        <v>-0.15224047619047631</v>
      </c>
      <c r="F250" s="3">
        <v>26.271999999999998</v>
      </c>
      <c r="G250" s="9">
        <v>5354.6799999999994</v>
      </c>
      <c r="H250">
        <f t="shared" si="36"/>
        <v>-3.9996617904761935</v>
      </c>
      <c r="I250">
        <f t="shared" si="40"/>
        <v>-3.9996617904761935</v>
      </c>
      <c r="J250">
        <f t="shared" si="41"/>
        <v>-0.74694693062446205</v>
      </c>
      <c r="K250">
        <f t="shared" si="42"/>
        <v>-4.5000000000006146E-4</v>
      </c>
      <c r="L250">
        <f t="shared" si="43"/>
        <v>-8.6428571428598389E-4</v>
      </c>
      <c r="M250">
        <f t="shared" si="37"/>
        <v>-6.5714285714302267E-4</v>
      </c>
      <c r="N250">
        <f t="shared" si="38"/>
        <v>-2.2682358969690141E-4</v>
      </c>
      <c r="O250" s="3">
        <f t="shared" si="39"/>
        <v>-2.268235896969014</v>
      </c>
      <c r="P250">
        <v>496</v>
      </c>
    </row>
    <row r="251" spans="1:16" x14ac:dyDescent="0.25">
      <c r="A251">
        <v>249</v>
      </c>
      <c r="B251">
        <v>3.6132</v>
      </c>
      <c r="C251" s="3">
        <v>3.4608761904761898</v>
      </c>
      <c r="D251" s="8">
        <f t="shared" si="44"/>
        <v>-0.15232380952381019</v>
      </c>
      <c r="E251" s="8">
        <f t="shared" si="35"/>
        <v>-0.15274285714285774</v>
      </c>
      <c r="F251" s="3">
        <v>26.236000000000001</v>
      </c>
      <c r="G251" s="9">
        <v>5347.84</v>
      </c>
      <c r="H251">
        <f t="shared" si="36"/>
        <v>-4.0073616000000154</v>
      </c>
      <c r="I251">
        <f t="shared" si="40"/>
        <v>-4.0073616000000154</v>
      </c>
      <c r="J251">
        <f t="shared" si="41"/>
        <v>-0.74934208951651793</v>
      </c>
      <c r="K251">
        <f t="shared" si="42"/>
        <v>-3.4999999999985043E-4</v>
      </c>
      <c r="L251">
        <f t="shared" si="43"/>
        <v>-8.5238095238127087E-4</v>
      </c>
      <c r="M251">
        <f t="shared" si="37"/>
        <v>-6.0119047619056065E-4</v>
      </c>
      <c r="N251">
        <f t="shared" si="38"/>
        <v>-2.4872892846510415E-4</v>
      </c>
      <c r="O251" s="3">
        <f t="shared" si="39"/>
        <v>-2.4872892846510415</v>
      </c>
      <c r="P251">
        <v>498</v>
      </c>
    </row>
    <row r="252" spans="1:16" x14ac:dyDescent="0.25">
      <c r="A252">
        <v>250</v>
      </c>
      <c r="B252">
        <v>3.6133000000000002</v>
      </c>
      <c r="C252" s="3">
        <v>3.4601380952380949</v>
      </c>
      <c r="D252" s="8">
        <f t="shared" si="44"/>
        <v>-0.15316190476190528</v>
      </c>
      <c r="E252" s="8">
        <f t="shared" si="35"/>
        <v>-0.15249761904761927</v>
      </c>
      <c r="F252" s="3">
        <v>26.2</v>
      </c>
      <c r="G252">
        <v>5341</v>
      </c>
      <c r="H252">
        <f t="shared" si="36"/>
        <v>-3.9954376190476246</v>
      </c>
      <c r="I252">
        <f t="shared" si="40"/>
        <v>-3.9954376190476246</v>
      </c>
      <c r="J252">
        <f t="shared" si="41"/>
        <v>-0.74806920409054944</v>
      </c>
      <c r="K252">
        <f t="shared" si="42"/>
        <v>-9.9999999999988987E-4</v>
      </c>
      <c r="L252">
        <f t="shared" si="43"/>
        <v>-7.5476190476142513E-4</v>
      </c>
      <c r="M252">
        <f t="shared" si="37"/>
        <v>-8.773809523806575E-4</v>
      </c>
      <c r="N252">
        <f t="shared" si="38"/>
        <v>-1.7014211949121962E-4</v>
      </c>
      <c r="O252" s="3">
        <f t="shared" si="39"/>
        <v>-1.7014211949121962</v>
      </c>
      <c r="P252">
        <v>500</v>
      </c>
    </row>
    <row r="253" spans="1:16" x14ac:dyDescent="0.25">
      <c r="A253">
        <v>251</v>
      </c>
      <c r="B253">
        <v>3.6112000000000002</v>
      </c>
      <c r="C253" s="3">
        <v>3.4593666666666669</v>
      </c>
      <c r="D253" s="8">
        <f t="shared" si="44"/>
        <v>-0.15183333333333326</v>
      </c>
      <c r="E253" s="8">
        <f t="shared" si="35"/>
        <v>-0.14956904761904721</v>
      </c>
      <c r="F253" s="3">
        <v>26.155999999999999</v>
      </c>
      <c r="G253" s="9">
        <v>5333.16</v>
      </c>
      <c r="H253">
        <f t="shared" si="36"/>
        <v>-3.9121280095237987</v>
      </c>
      <c r="I253">
        <f t="shared" si="40"/>
        <v>-3.9121280095237987</v>
      </c>
      <c r="J253">
        <f t="shared" si="41"/>
        <v>-0.73354784209058022</v>
      </c>
      <c r="K253">
        <f t="shared" si="42"/>
        <v>-3.5500000000001641E-3</v>
      </c>
      <c r="L253">
        <f t="shared" si="43"/>
        <v>-6.2142857142810648E-4</v>
      </c>
      <c r="M253">
        <f t="shared" si="37"/>
        <v>-2.0857142857141353E-3</v>
      </c>
      <c r="N253">
        <f t="shared" si="38"/>
        <v>-7.0182994129238619E-5</v>
      </c>
      <c r="O253" s="3">
        <f t="shared" si="39"/>
        <v>-0.70182994129238618</v>
      </c>
      <c r="P253">
        <v>502</v>
      </c>
    </row>
    <row r="254" spans="1:16" x14ac:dyDescent="0.25">
      <c r="A254">
        <v>252</v>
      </c>
      <c r="B254">
        <v>3.6061999999999999</v>
      </c>
      <c r="C254" s="3">
        <v>3.4588952380952387</v>
      </c>
      <c r="D254" s="8">
        <f t="shared" si="44"/>
        <v>-0.14730476190476116</v>
      </c>
      <c r="E254" s="8">
        <f t="shared" si="35"/>
        <v>-0.14550952380952387</v>
      </c>
      <c r="F254" s="3">
        <v>26.112000000000002</v>
      </c>
      <c r="G254" s="9">
        <v>5325.32</v>
      </c>
      <c r="H254">
        <f t="shared" si="36"/>
        <v>-3.7995446857142876</v>
      </c>
      <c r="I254">
        <f t="shared" si="40"/>
        <v>-3.7995446857142876</v>
      </c>
      <c r="J254">
        <f t="shared" si="41"/>
        <v>-0.71348664225141167</v>
      </c>
      <c r="K254">
        <f t="shared" si="42"/>
        <v>-4.5000000000001705E-3</v>
      </c>
      <c r="L254">
        <f t="shared" si="43"/>
        <v>-4.4047619047682396E-4</v>
      </c>
      <c r="M254">
        <f t="shared" si="37"/>
        <v>-2.4702380952384972E-3</v>
      </c>
      <c r="N254">
        <f t="shared" si="38"/>
        <v>-5.7637521300824777E-5</v>
      </c>
      <c r="O254" s="3">
        <f t="shared" si="39"/>
        <v>-0.57637521300824779</v>
      </c>
      <c r="P254">
        <v>504</v>
      </c>
    </row>
    <row r="255" spans="1:16" x14ac:dyDescent="0.25">
      <c r="A255">
        <v>253</v>
      </c>
      <c r="B255">
        <v>3.6021999999999998</v>
      </c>
      <c r="C255" s="3">
        <v>3.4584857142857133</v>
      </c>
      <c r="D255" s="8">
        <f t="shared" si="44"/>
        <v>-0.14371428571428657</v>
      </c>
      <c r="E255" s="8">
        <f t="shared" si="35"/>
        <v>-0.14386190476190497</v>
      </c>
      <c r="F255" s="3">
        <v>26.068000000000001</v>
      </c>
      <c r="G255" s="9">
        <v>5317.48</v>
      </c>
      <c r="H255">
        <f t="shared" si="36"/>
        <v>-3.7501921333333388</v>
      </c>
      <c r="I255">
        <f t="shared" si="40"/>
        <v>-3.7501921333333388</v>
      </c>
      <c r="J255">
        <f t="shared" si="41"/>
        <v>-0.7052574026293168</v>
      </c>
      <c r="K255">
        <f t="shared" si="42"/>
        <v>-2.1999999999999797E-3</v>
      </c>
      <c r="L255">
        <f t="shared" si="43"/>
        <v>-5.5238095238108187E-4</v>
      </c>
      <c r="M255">
        <f t="shared" si="37"/>
        <v>-1.3761904761905308E-3</v>
      </c>
      <c r="N255">
        <f t="shared" si="38"/>
        <v>-1.0226508161659105E-4</v>
      </c>
      <c r="O255" s="3">
        <f t="shared" si="39"/>
        <v>-1.0226508161659105</v>
      </c>
      <c r="P255">
        <v>506</v>
      </c>
    </row>
    <row r="256" spans="1:16" x14ac:dyDescent="0.25">
      <c r="A256">
        <v>254</v>
      </c>
      <c r="B256">
        <v>3.6017999999999999</v>
      </c>
      <c r="C256" s="3">
        <v>3.4577904761904765</v>
      </c>
      <c r="D256" s="8">
        <f t="shared" si="44"/>
        <v>-0.14400952380952337</v>
      </c>
      <c r="E256" s="8">
        <f t="shared" si="35"/>
        <v>-0.14153333333333351</v>
      </c>
      <c r="F256" s="3">
        <v>26.024000000000001</v>
      </c>
      <c r="G256" s="9">
        <v>5309.6399999999994</v>
      </c>
      <c r="H256">
        <f t="shared" si="36"/>
        <v>-3.6832634666666713</v>
      </c>
      <c r="I256">
        <f t="shared" si="40"/>
        <v>-3.6832634666666713</v>
      </c>
      <c r="J256">
        <f t="shared" si="41"/>
        <v>-0.69369363396890782</v>
      </c>
      <c r="K256">
        <f t="shared" si="42"/>
        <v>-2.9999999999998916E-3</v>
      </c>
      <c r="L256">
        <f t="shared" si="43"/>
        <v>-6.7142857142843404E-4</v>
      </c>
      <c r="M256">
        <f t="shared" si="37"/>
        <v>-1.8357142857141628E-3</v>
      </c>
      <c r="N256">
        <f t="shared" si="38"/>
        <v>-7.5408601274509762E-5</v>
      </c>
      <c r="O256" s="3">
        <f t="shared" si="39"/>
        <v>-0.75408601274509768</v>
      </c>
      <c r="P256">
        <v>508</v>
      </c>
    </row>
    <row r="257" spans="1:16" x14ac:dyDescent="0.25">
      <c r="A257">
        <v>255</v>
      </c>
      <c r="B257">
        <v>3.5962000000000001</v>
      </c>
      <c r="C257" s="3">
        <v>3.4571428571428564</v>
      </c>
      <c r="D257" s="8">
        <f t="shared" si="44"/>
        <v>-0.13905714285714366</v>
      </c>
      <c r="E257" s="8">
        <f t="shared" si="35"/>
        <v>-0.13748809523809546</v>
      </c>
      <c r="F257" s="3">
        <v>25.98</v>
      </c>
      <c r="G257" s="9">
        <v>5301.7999999999993</v>
      </c>
      <c r="H257">
        <f t="shared" si="36"/>
        <v>-3.57194071428572</v>
      </c>
      <c r="I257">
        <f t="shared" si="40"/>
        <v>-3.57194071428572</v>
      </c>
      <c r="J257">
        <f t="shared" si="41"/>
        <v>-0.67372226683121217</v>
      </c>
      <c r="K257">
        <f t="shared" si="42"/>
        <v>-4.650000000000043E-3</v>
      </c>
      <c r="L257">
        <f t="shared" si="43"/>
        <v>-6.0476190476199676E-4</v>
      </c>
      <c r="M257">
        <f t="shared" si="37"/>
        <v>-2.6273809523810199E-3</v>
      </c>
      <c r="N257">
        <f t="shared" si="38"/>
        <v>-5.1170082607004143E-5</v>
      </c>
      <c r="O257" s="3">
        <f t="shared" si="39"/>
        <v>-0.51170082607004141</v>
      </c>
      <c r="P257">
        <v>510</v>
      </c>
    </row>
    <row r="258" spans="1:16" x14ac:dyDescent="0.25">
      <c r="A258">
        <v>256</v>
      </c>
      <c r="B258">
        <v>3.5924999999999998</v>
      </c>
      <c r="C258" s="3">
        <v>3.4565809523809525</v>
      </c>
      <c r="D258" s="8">
        <f t="shared" si="44"/>
        <v>-0.13591904761904727</v>
      </c>
      <c r="E258" s="8">
        <f t="shared" si="35"/>
        <v>-0.13041666666666596</v>
      </c>
      <c r="F258" s="3">
        <v>25.936</v>
      </c>
      <c r="G258" s="9">
        <v>5293.9599999999991</v>
      </c>
      <c r="H258">
        <f t="shared" si="36"/>
        <v>-3.3824866666666482</v>
      </c>
      <c r="I258">
        <f t="shared" si="40"/>
        <v>-3.3824866666666482</v>
      </c>
      <c r="J258">
        <f t="shared" si="41"/>
        <v>-0.63893317415821971</v>
      </c>
      <c r="K258">
        <f t="shared" si="42"/>
        <v>-7.6499999999999346E-3</v>
      </c>
      <c r="L258">
        <f t="shared" si="43"/>
        <v>-5.7857142857042909E-4</v>
      </c>
      <c r="M258">
        <f t="shared" si="37"/>
        <v>-4.1142857142851819E-3</v>
      </c>
      <c r="N258">
        <f t="shared" si="38"/>
        <v>-3.0989834292768345E-5</v>
      </c>
      <c r="O258" s="3">
        <f t="shared" si="39"/>
        <v>-0.30989834292768342</v>
      </c>
      <c r="P258">
        <v>512</v>
      </c>
    </row>
    <row r="259" spans="1:16" x14ac:dyDescent="0.25">
      <c r="A259">
        <v>257</v>
      </c>
      <c r="B259">
        <v>3.5809000000000002</v>
      </c>
      <c r="C259" s="3">
        <v>3.4559857142857155</v>
      </c>
      <c r="D259" s="8">
        <f t="shared" si="44"/>
        <v>-0.12491428571428465</v>
      </c>
      <c r="E259" s="8">
        <f t="shared" si="35"/>
        <v>-0.12309999999999932</v>
      </c>
      <c r="F259" s="3">
        <v>25.892000000000003</v>
      </c>
      <c r="G259" s="9">
        <v>5286.119999999999</v>
      </c>
      <c r="H259">
        <f t="shared" si="36"/>
        <v>-3.1873051999999826</v>
      </c>
      <c r="I259">
        <f t="shared" si="40"/>
        <v>-3.1873051999999826</v>
      </c>
      <c r="J259">
        <f t="shared" si="41"/>
        <v>-0.60295740543157994</v>
      </c>
      <c r="K259">
        <f t="shared" si="42"/>
        <v>-7.8499999999999126E-3</v>
      </c>
      <c r="L259">
        <f t="shared" si="43"/>
        <v>-5.333333333332746E-4</v>
      </c>
      <c r="M259">
        <f t="shared" si="37"/>
        <v>-4.1916666666665936E-3</v>
      </c>
      <c r="N259">
        <f t="shared" si="38"/>
        <v>-2.8705040134270545E-5</v>
      </c>
      <c r="O259" s="3">
        <f t="shared" si="39"/>
        <v>-0.28705040134270543</v>
      </c>
      <c r="P259">
        <v>514</v>
      </c>
    </row>
    <row r="260" spans="1:16" x14ac:dyDescent="0.25">
      <c r="A260">
        <v>258</v>
      </c>
      <c r="B260">
        <v>3.5768</v>
      </c>
      <c r="C260" s="3">
        <v>3.455514285714286</v>
      </c>
      <c r="D260" s="8">
        <f t="shared" si="44"/>
        <v>-0.121285714285714</v>
      </c>
      <c r="E260" s="8">
        <f t="shared" ref="E260:E323" si="45">(D260+D261)/2</f>
        <v>-0.12017380952380918</v>
      </c>
      <c r="F260" s="3">
        <v>25.848000000000003</v>
      </c>
      <c r="G260" s="9">
        <v>5278.2799999999988</v>
      </c>
      <c r="H260">
        <f t="shared" ref="H260:H323" si="46">E260*F260</f>
        <v>-3.1062526285714203</v>
      </c>
      <c r="I260">
        <f t="shared" si="40"/>
        <v>-3.1062526285714203</v>
      </c>
      <c r="J260">
        <f t="shared" si="41"/>
        <v>-0.58849712947615906</v>
      </c>
      <c r="K260">
        <f t="shared" si="42"/>
        <v>-3.5000000000000586E-3</v>
      </c>
      <c r="L260">
        <f t="shared" si="43"/>
        <v>-5.7380952380992056E-4</v>
      </c>
      <c r="M260">
        <f t="shared" si="37"/>
        <v>-2.0369047619049896E-3</v>
      </c>
      <c r="N260">
        <f t="shared" si="38"/>
        <v>-5.7654324652919871E-5</v>
      </c>
      <c r="O260" s="3">
        <f t="shared" si="39"/>
        <v>-0.57654324652919875</v>
      </c>
      <c r="P260">
        <v>516</v>
      </c>
    </row>
    <row r="261" spans="1:16" x14ac:dyDescent="0.25">
      <c r="A261">
        <v>259</v>
      </c>
      <c r="B261">
        <v>3.5739000000000001</v>
      </c>
      <c r="C261" s="3">
        <v>3.4548380952380957</v>
      </c>
      <c r="D261" s="8">
        <f t="shared" si="44"/>
        <v>-0.11906190476190437</v>
      </c>
      <c r="E261" s="8">
        <f t="shared" si="45"/>
        <v>-0.11907619047619034</v>
      </c>
      <c r="F261" s="3">
        <v>25.804000000000002</v>
      </c>
      <c r="G261" s="9">
        <v>5270.4399999999987</v>
      </c>
      <c r="H261">
        <f t="shared" si="46"/>
        <v>-3.0726420190476156</v>
      </c>
      <c r="I261">
        <f t="shared" si="40"/>
        <v>-3.0726420190476156</v>
      </c>
      <c r="J261">
        <f t="shared" si="41"/>
        <v>-0.58299535125105617</v>
      </c>
      <c r="K261">
        <f t="shared" si="42"/>
        <v>-1.8499999999999073E-3</v>
      </c>
      <c r="L261">
        <f t="shared" si="43"/>
        <v>-7.5238095238105984E-4</v>
      </c>
      <c r="M261">
        <f t="shared" ref="M261:M324" si="47">(K261+L261)/2</f>
        <v>-1.3011904761904836E-3</v>
      </c>
      <c r="N261">
        <f t="shared" ref="N261:N324" si="48">-J261/(M261*86400*58)</f>
        <v>-8.9409255755832362E-5</v>
      </c>
      <c r="O261" s="3">
        <f t="shared" ref="O261:O324" si="49">N261*10000</f>
        <v>-0.89409255755832362</v>
      </c>
      <c r="P261">
        <v>518</v>
      </c>
    </row>
    <row r="262" spans="1:16" x14ac:dyDescent="0.25">
      <c r="A262">
        <v>260</v>
      </c>
      <c r="B262">
        <v>3.5731000000000002</v>
      </c>
      <c r="C262" s="3">
        <v>3.4540095238095239</v>
      </c>
      <c r="D262" s="8">
        <f t="shared" si="44"/>
        <v>-0.1190904761904763</v>
      </c>
      <c r="E262" s="8">
        <f t="shared" si="45"/>
        <v>-0.11915000000000031</v>
      </c>
      <c r="F262" s="3">
        <v>25.76</v>
      </c>
      <c r="G262" s="9">
        <v>5262.5999999999985</v>
      </c>
      <c r="H262">
        <f t="shared" si="46"/>
        <v>-3.0693040000000082</v>
      </c>
      <c r="I262">
        <f t="shared" si="40"/>
        <v>-3.0693040000000082</v>
      </c>
      <c r="J262">
        <f t="shared" si="41"/>
        <v>-0.5832295823357293</v>
      </c>
      <c r="K262">
        <f t="shared" si="42"/>
        <v>-6.5000000000003944E-4</v>
      </c>
      <c r="L262">
        <f t="shared" si="43"/>
        <v>-7.2380952381001507E-4</v>
      </c>
      <c r="M262">
        <f t="shared" si="47"/>
        <v>-6.8690476190502725E-4</v>
      </c>
      <c r="N262">
        <f t="shared" si="48"/>
        <v>-1.6943427974779247E-4</v>
      </c>
      <c r="O262" s="3">
        <f t="shared" si="49"/>
        <v>-1.6943427974779246</v>
      </c>
      <c r="P262">
        <v>520</v>
      </c>
    </row>
    <row r="263" spans="1:16" x14ac:dyDescent="0.25">
      <c r="A263">
        <v>261</v>
      </c>
      <c r="B263">
        <v>3.5726</v>
      </c>
      <c r="C263" s="3">
        <v>3.4533904761904757</v>
      </c>
      <c r="D263" s="8">
        <f t="shared" si="44"/>
        <v>-0.11920952380952432</v>
      </c>
      <c r="E263" s="8">
        <f t="shared" si="45"/>
        <v>-0.11896428571428608</v>
      </c>
      <c r="F263" s="3">
        <v>25.716000000000001</v>
      </c>
      <c r="G263" s="9">
        <v>5254.7599999999984</v>
      </c>
      <c r="H263">
        <f t="shared" si="46"/>
        <v>-3.0592855714285809</v>
      </c>
      <c r="I263">
        <f t="shared" si="40"/>
        <v>-3.0592855714285809</v>
      </c>
      <c r="J263">
        <f t="shared" si="41"/>
        <v>-0.58219320605100555</v>
      </c>
      <c r="K263">
        <f t="shared" si="42"/>
        <v>-8.0000000000013394E-4</v>
      </c>
      <c r="L263">
        <f t="shared" si="43"/>
        <v>-6.142857142859004E-4</v>
      </c>
      <c r="M263">
        <f t="shared" si="47"/>
        <v>-7.0714285714301717E-4</v>
      </c>
      <c r="N263">
        <f t="shared" si="48"/>
        <v>-1.6429268911803688E-4</v>
      </c>
      <c r="O263" s="3">
        <f t="shared" si="49"/>
        <v>-1.6429268911803687</v>
      </c>
      <c r="P263">
        <v>522</v>
      </c>
    </row>
    <row r="264" spans="1:16" x14ac:dyDescent="0.25">
      <c r="A264">
        <v>262</v>
      </c>
      <c r="B264">
        <v>3.5714999999999999</v>
      </c>
      <c r="C264" s="3">
        <v>3.4527809523809521</v>
      </c>
      <c r="D264" s="8">
        <f t="shared" si="44"/>
        <v>-0.11871904761904783</v>
      </c>
      <c r="E264" s="8">
        <f t="shared" si="45"/>
        <v>-0.11921666666666653</v>
      </c>
      <c r="F264" s="3">
        <v>25.672000000000004</v>
      </c>
      <c r="G264" s="9">
        <v>5246.9199999999983</v>
      </c>
      <c r="H264">
        <f t="shared" si="46"/>
        <v>-3.0605302666666634</v>
      </c>
      <c r="I264">
        <f t="shared" si="40"/>
        <v>-3.0605302666666634</v>
      </c>
      <c r="J264">
        <f t="shared" si="41"/>
        <v>-0.58330034890310212</v>
      </c>
      <c r="K264">
        <f t="shared" si="42"/>
        <v>-4.5000000000006146E-4</v>
      </c>
      <c r="L264">
        <f t="shared" si="43"/>
        <v>-7.0238095238051024E-4</v>
      </c>
      <c r="M264">
        <f t="shared" si="47"/>
        <v>-5.7619047619028585E-4</v>
      </c>
      <c r="N264">
        <f t="shared" si="48"/>
        <v>-2.020153752613846E-4</v>
      </c>
      <c r="O264" s="3">
        <f t="shared" si="49"/>
        <v>-2.020153752613846</v>
      </c>
      <c r="P264">
        <v>524</v>
      </c>
    </row>
    <row r="265" spans="1:16" x14ac:dyDescent="0.25">
      <c r="A265">
        <v>263</v>
      </c>
      <c r="B265">
        <v>3.5716999999999999</v>
      </c>
      <c r="C265" s="3">
        <v>3.4519857142857147</v>
      </c>
      <c r="D265" s="8">
        <f t="shared" si="44"/>
        <v>-0.11971428571428522</v>
      </c>
      <c r="E265" s="8">
        <f t="shared" si="45"/>
        <v>-0.11996666666666678</v>
      </c>
      <c r="F265" s="3">
        <v>25.628000000000004</v>
      </c>
      <c r="G265" s="9">
        <v>5239.0799999999981</v>
      </c>
      <c r="H265">
        <f t="shared" si="46"/>
        <v>-3.0745057333333365</v>
      </c>
      <c r="I265">
        <f t="shared" si="40"/>
        <v>-3.0745057333333365</v>
      </c>
      <c r="J265">
        <f t="shared" si="41"/>
        <v>-0.58684076848098088</v>
      </c>
      <c r="K265">
        <f t="shared" si="42"/>
        <v>5.0000000000105516E-5</v>
      </c>
      <c r="L265">
        <f t="shared" si="43"/>
        <v>-7.0000000000014495E-4</v>
      </c>
      <c r="M265">
        <f t="shared" si="47"/>
        <v>-3.2500000000001972E-4</v>
      </c>
      <c r="N265">
        <f t="shared" si="48"/>
        <v>-3.6032565114509362E-4</v>
      </c>
      <c r="O265" s="3">
        <f t="shared" si="49"/>
        <v>-3.6032565114509363</v>
      </c>
      <c r="P265">
        <v>526</v>
      </c>
    </row>
    <row r="266" spans="1:16" x14ac:dyDescent="0.25">
      <c r="A266">
        <v>264</v>
      </c>
      <c r="B266">
        <v>3.5716000000000001</v>
      </c>
      <c r="C266" s="3">
        <v>3.4513809523809518</v>
      </c>
      <c r="D266" s="8">
        <f t="shared" si="44"/>
        <v>-0.12021904761904834</v>
      </c>
      <c r="E266" s="8">
        <f t="shared" si="45"/>
        <v>-0.11994285714285779</v>
      </c>
      <c r="F266" s="3">
        <v>25.584000000000003</v>
      </c>
      <c r="G266" s="9">
        <v>5231.239999999998</v>
      </c>
      <c r="H266">
        <f t="shared" si="46"/>
        <v>-3.0686180571428743</v>
      </c>
      <c r="I266">
        <f t="shared" si="40"/>
        <v>-3.0686180571428743</v>
      </c>
      <c r="J266">
        <f t="shared" si="41"/>
        <v>-0.58659477621804301</v>
      </c>
      <c r="K266">
        <f t="shared" si="42"/>
        <v>-6.9999999999992291E-4</v>
      </c>
      <c r="L266">
        <f t="shared" si="43"/>
        <v>-6.7619047619094097E-4</v>
      </c>
      <c r="M266">
        <f t="shared" si="47"/>
        <v>-6.8809523809543194E-4</v>
      </c>
      <c r="N266">
        <f t="shared" si="48"/>
        <v>-1.7011707340367863E-4</v>
      </c>
      <c r="O266" s="3">
        <f t="shared" si="49"/>
        <v>-1.7011707340367863</v>
      </c>
      <c r="P266">
        <v>528</v>
      </c>
    </row>
    <row r="267" spans="1:16" x14ac:dyDescent="0.25">
      <c r="A267">
        <v>265</v>
      </c>
      <c r="B267">
        <v>3.5703</v>
      </c>
      <c r="C267" s="3">
        <v>3.4506333333333328</v>
      </c>
      <c r="D267" s="8">
        <f t="shared" si="44"/>
        <v>-0.11966666666666725</v>
      </c>
      <c r="E267" s="8">
        <f t="shared" si="45"/>
        <v>-0.11933095238095293</v>
      </c>
      <c r="F267" s="3">
        <v>25.540000000000003</v>
      </c>
      <c r="G267" s="9">
        <v>5223.3999999999978</v>
      </c>
      <c r="H267">
        <f t="shared" si="46"/>
        <v>-3.0477125238095382</v>
      </c>
      <c r="I267">
        <f t="shared" si="40"/>
        <v>-3.0477125238095382</v>
      </c>
      <c r="J267">
        <f t="shared" si="41"/>
        <v>-0.58347293406776035</v>
      </c>
      <c r="K267">
        <f t="shared" si="42"/>
        <v>-1.2499999999999734E-3</v>
      </c>
      <c r="L267">
        <f t="shared" si="43"/>
        <v>-6.3809523809510438E-4</v>
      </c>
      <c r="M267">
        <f t="shared" si="47"/>
        <v>-9.4404761904753887E-4</v>
      </c>
      <c r="N267">
        <f t="shared" si="48"/>
        <v>-1.2333464203285782E-4</v>
      </c>
      <c r="O267" s="3">
        <f t="shared" si="49"/>
        <v>-1.2333464203285782</v>
      </c>
      <c r="P267">
        <v>530</v>
      </c>
    </row>
    <row r="268" spans="1:16" x14ac:dyDescent="0.25">
      <c r="A268">
        <v>266</v>
      </c>
      <c r="B268">
        <v>3.5691000000000002</v>
      </c>
      <c r="C268" s="3">
        <v>3.4501047619047616</v>
      </c>
      <c r="D268" s="8">
        <f t="shared" si="44"/>
        <v>-0.1189952380952386</v>
      </c>
      <c r="E268" s="8">
        <f t="shared" si="45"/>
        <v>-0.11880714285714311</v>
      </c>
      <c r="F268" s="3">
        <v>25.496000000000002</v>
      </c>
      <c r="G268" s="9">
        <v>5215.5599999999977</v>
      </c>
      <c r="H268">
        <f t="shared" si="46"/>
        <v>-3.029106914285721</v>
      </c>
      <c r="I268">
        <f t="shared" si="40"/>
        <v>-3.029106914285721</v>
      </c>
      <c r="J268">
        <f t="shared" si="41"/>
        <v>-0.58078267995876232</v>
      </c>
      <c r="K268">
        <f t="shared" si="42"/>
        <v>-1.1000000000001009E-3</v>
      </c>
      <c r="L268">
        <f t="shared" si="43"/>
        <v>-5.7619047619028585E-4</v>
      </c>
      <c r="M268">
        <f t="shared" si="47"/>
        <v>-8.3809523809519337E-4</v>
      </c>
      <c r="N268">
        <f t="shared" si="48"/>
        <v>-1.382861059310628E-4</v>
      </c>
      <c r="O268" s="3">
        <f t="shared" si="49"/>
        <v>-1.3828610593106281</v>
      </c>
      <c r="P268">
        <v>532</v>
      </c>
    </row>
    <row r="269" spans="1:16" x14ac:dyDescent="0.25">
      <c r="A269">
        <v>267</v>
      </c>
      <c r="B269">
        <v>3.5680999999999998</v>
      </c>
      <c r="C269" s="3">
        <v>3.4494809523809522</v>
      </c>
      <c r="D269" s="8">
        <f t="shared" si="44"/>
        <v>-0.11861904761904762</v>
      </c>
      <c r="E269" s="8">
        <f t="shared" si="45"/>
        <v>-0.11883809523809497</v>
      </c>
      <c r="F269" s="3">
        <v>25.452000000000005</v>
      </c>
      <c r="G269" s="9">
        <v>5207.7199999999975</v>
      </c>
      <c r="H269">
        <f t="shared" si="46"/>
        <v>-3.0246671999999939</v>
      </c>
      <c r="I269">
        <f t="shared" si="40"/>
        <v>-3.0246671999999939</v>
      </c>
      <c r="J269">
        <f t="shared" si="41"/>
        <v>-0.58080449793767619</v>
      </c>
      <c r="K269">
        <f t="shared" si="42"/>
        <v>-6.0000000000015596E-4</v>
      </c>
      <c r="L269">
        <f t="shared" si="43"/>
        <v>-6.3095238095201012E-4</v>
      </c>
      <c r="M269">
        <f t="shared" si="47"/>
        <v>-6.1547619047608304E-4</v>
      </c>
      <c r="N269">
        <f t="shared" si="48"/>
        <v>-1.8831155861459621E-4</v>
      </c>
      <c r="O269" s="3">
        <f t="shared" si="49"/>
        <v>-1.8831155861459621</v>
      </c>
      <c r="P269">
        <v>534</v>
      </c>
    </row>
    <row r="270" spans="1:16" x14ac:dyDescent="0.25">
      <c r="A270">
        <v>268</v>
      </c>
      <c r="B270">
        <v>3.5678999999999998</v>
      </c>
      <c r="C270" s="3">
        <v>3.4488428571428575</v>
      </c>
      <c r="D270" s="8">
        <f t="shared" si="44"/>
        <v>-0.11905714285714231</v>
      </c>
      <c r="E270" s="8">
        <f t="shared" si="45"/>
        <v>-0.11889523809523794</v>
      </c>
      <c r="F270" s="3">
        <v>25.408000000000005</v>
      </c>
      <c r="G270" s="9">
        <v>5199.8799999999974</v>
      </c>
      <c r="H270">
        <f t="shared" si="46"/>
        <v>-3.0208902095238064</v>
      </c>
      <c r="I270">
        <f t="shared" si="40"/>
        <v>-3.0208902095238064</v>
      </c>
      <c r="J270">
        <f t="shared" si="41"/>
        <v>-0.58095383153530611</v>
      </c>
      <c r="K270">
        <f t="shared" si="42"/>
        <v>-5.9999999999993392E-4</v>
      </c>
      <c r="L270">
        <f t="shared" si="43"/>
        <v>-6.5714285714291165E-4</v>
      </c>
      <c r="M270">
        <f t="shared" si="47"/>
        <v>-6.2857142857142279E-4</v>
      </c>
      <c r="N270">
        <f t="shared" si="48"/>
        <v>-1.8443581018278964E-4</v>
      </c>
      <c r="O270" s="3">
        <f t="shared" si="49"/>
        <v>-1.8443581018278963</v>
      </c>
      <c r="P270">
        <v>536</v>
      </c>
    </row>
    <row r="271" spans="1:16" x14ac:dyDescent="0.25">
      <c r="A271">
        <v>269</v>
      </c>
      <c r="B271">
        <v>3.5669</v>
      </c>
      <c r="C271" s="3">
        <v>3.4481666666666664</v>
      </c>
      <c r="D271" s="8">
        <f t="shared" si="44"/>
        <v>-0.11873333333333358</v>
      </c>
      <c r="E271" s="8">
        <f t="shared" si="45"/>
        <v>-0.11873095238095233</v>
      </c>
      <c r="F271" s="3">
        <v>25.364000000000004</v>
      </c>
      <c r="G271" s="9">
        <v>5192.0399999999981</v>
      </c>
      <c r="H271">
        <f t="shared" si="46"/>
        <v>-3.0114918761904752</v>
      </c>
      <c r="I271">
        <f t="shared" si="40"/>
        <v>-3.0114918761904752</v>
      </c>
      <c r="J271">
        <f t="shared" si="41"/>
        <v>-0.58002093130840215</v>
      </c>
      <c r="K271">
        <f t="shared" si="42"/>
        <v>-8.5000000000001741E-4</v>
      </c>
      <c r="L271">
        <f t="shared" si="43"/>
        <v>-6.8571428571440052E-4</v>
      </c>
      <c r="M271">
        <f t="shared" si="47"/>
        <v>-7.6785714285720896E-4</v>
      </c>
      <c r="N271">
        <f t="shared" si="48"/>
        <v>-1.5073756716707005E-4</v>
      </c>
      <c r="O271" s="3">
        <f t="shared" si="49"/>
        <v>-1.5073756716707005</v>
      </c>
      <c r="P271">
        <v>538</v>
      </c>
    </row>
    <row r="272" spans="1:16" x14ac:dyDescent="0.25">
      <c r="A272">
        <v>270</v>
      </c>
      <c r="B272">
        <v>3.5661999999999998</v>
      </c>
      <c r="C272" s="3">
        <v>3.4474714285714287</v>
      </c>
      <c r="D272" s="8">
        <f t="shared" si="44"/>
        <v>-0.11872857142857107</v>
      </c>
      <c r="E272" s="8">
        <f t="shared" si="45"/>
        <v>-0.1188595238095238</v>
      </c>
      <c r="F272" s="3">
        <v>25.320000000000004</v>
      </c>
      <c r="G272" s="9">
        <v>5184.1999999999989</v>
      </c>
      <c r="H272">
        <f t="shared" si="46"/>
        <v>-3.0095231428571432</v>
      </c>
      <c r="I272">
        <f t="shared" si="40"/>
        <v>-3.0095231428571432</v>
      </c>
      <c r="J272">
        <f t="shared" si="41"/>
        <v>-0.58051833317718138</v>
      </c>
      <c r="K272">
        <f t="shared" si="42"/>
        <v>-4.9999999999994493E-4</v>
      </c>
      <c r="L272">
        <f t="shared" si="43"/>
        <v>-6.2857142857142279E-4</v>
      </c>
      <c r="M272">
        <f t="shared" si="47"/>
        <v>-5.6428571428568386E-4</v>
      </c>
      <c r="N272">
        <f t="shared" si="48"/>
        <v>-2.0529347589200134E-4</v>
      </c>
      <c r="O272" s="3">
        <f t="shared" si="49"/>
        <v>-2.0529347589200135</v>
      </c>
      <c r="P272">
        <v>540</v>
      </c>
    </row>
    <row r="273" spans="1:16" x14ac:dyDescent="0.25">
      <c r="A273">
        <v>271</v>
      </c>
      <c r="B273">
        <v>3.5659000000000001</v>
      </c>
      <c r="C273" s="3">
        <v>3.4469095238095235</v>
      </c>
      <c r="D273" s="8">
        <f t="shared" si="44"/>
        <v>-0.11899047619047654</v>
      </c>
      <c r="E273" s="8">
        <f t="shared" si="45"/>
        <v>-0.11936904761904765</v>
      </c>
      <c r="F273" s="3">
        <v>25.276000000000003</v>
      </c>
      <c r="G273" s="9">
        <v>5176.3599999999988</v>
      </c>
      <c r="H273">
        <f t="shared" si="46"/>
        <v>-3.0171720476190487</v>
      </c>
      <c r="I273">
        <f t="shared" si="40"/>
        <v>-3.0171720476190487</v>
      </c>
      <c r="J273">
        <f t="shared" si="41"/>
        <v>-0.58287523426095733</v>
      </c>
      <c r="K273">
        <f t="shared" si="42"/>
        <v>-1.4999999999987246E-4</v>
      </c>
      <c r="L273">
        <f t="shared" si="43"/>
        <v>-6.5952380952372103E-4</v>
      </c>
      <c r="M273">
        <f t="shared" si="47"/>
        <v>-4.0476190476179674E-4</v>
      </c>
      <c r="N273">
        <f t="shared" si="48"/>
        <v>-2.8736524114180405E-4</v>
      </c>
      <c r="O273" s="3">
        <f t="shared" si="49"/>
        <v>-2.8736524114180404</v>
      </c>
      <c r="P273">
        <v>542</v>
      </c>
    </row>
    <row r="274" spans="1:16" x14ac:dyDescent="0.25">
      <c r="A274">
        <v>272</v>
      </c>
      <c r="B274">
        <v>3.5659000000000001</v>
      </c>
      <c r="C274" s="3">
        <v>3.4461523809523813</v>
      </c>
      <c r="D274" s="8">
        <f t="shared" si="44"/>
        <v>-0.11974761904761877</v>
      </c>
      <c r="E274" s="8">
        <f t="shared" si="45"/>
        <v>-0.11864999999999948</v>
      </c>
      <c r="F274" s="3">
        <v>25.232000000000006</v>
      </c>
      <c r="G274" s="9">
        <v>5168.5199999999986</v>
      </c>
      <c r="H274">
        <f t="shared" si="46"/>
        <v>-2.9937767999999876</v>
      </c>
      <c r="I274">
        <f t="shared" si="40"/>
        <v>-2.9937767999999876</v>
      </c>
      <c r="J274">
        <f t="shared" si="41"/>
        <v>-0.57923289452299465</v>
      </c>
      <c r="K274">
        <f t="shared" si="42"/>
        <v>-1.4000000000000679E-3</v>
      </c>
      <c r="L274">
        <f t="shared" si="43"/>
        <v>-6.8095238095189359E-4</v>
      </c>
      <c r="M274">
        <f t="shared" si="47"/>
        <v>-1.0404761904759807E-3</v>
      </c>
      <c r="N274">
        <f t="shared" si="48"/>
        <v>-1.1109111731584263E-4</v>
      </c>
      <c r="O274" s="3">
        <f t="shared" si="49"/>
        <v>-1.1109111731584262</v>
      </c>
      <c r="P274">
        <v>544</v>
      </c>
    </row>
    <row r="275" spans="1:16" x14ac:dyDescent="0.25">
      <c r="A275">
        <v>273</v>
      </c>
      <c r="B275">
        <v>3.5630999999999999</v>
      </c>
      <c r="C275" s="3">
        <v>3.4455476190476197</v>
      </c>
      <c r="D275" s="8">
        <f t="shared" si="44"/>
        <v>-0.11755238095238019</v>
      </c>
      <c r="E275" s="8">
        <f t="shared" si="45"/>
        <v>-0.11658333333333326</v>
      </c>
      <c r="F275" s="3">
        <v>25.188000000000002</v>
      </c>
      <c r="G275" s="9">
        <v>5160.6799999999994</v>
      </c>
      <c r="H275">
        <f t="shared" si="46"/>
        <v>-2.9365009999999985</v>
      </c>
      <c r="I275">
        <f t="shared" si="40"/>
        <v>-2.9365009999999985</v>
      </c>
      <c r="J275">
        <f t="shared" si="41"/>
        <v>-0.56901435469744266</v>
      </c>
      <c r="K275">
        <f t="shared" si="42"/>
        <v>-2.7500000000000302E-3</v>
      </c>
      <c r="L275">
        <f t="shared" si="43"/>
        <v>-6.8333333333381319E-4</v>
      </c>
      <c r="M275">
        <f t="shared" si="47"/>
        <v>-1.7166666666669217E-3</v>
      </c>
      <c r="N275">
        <f t="shared" si="48"/>
        <v>-6.6144770242504335E-5</v>
      </c>
      <c r="O275" s="3">
        <f t="shared" si="49"/>
        <v>-0.66144770242504336</v>
      </c>
      <c r="P275">
        <v>546</v>
      </c>
    </row>
    <row r="276" spans="1:16" x14ac:dyDescent="0.25">
      <c r="A276">
        <v>274</v>
      </c>
      <c r="B276">
        <v>3.5604</v>
      </c>
      <c r="C276" s="3">
        <v>3.4447857142857137</v>
      </c>
      <c r="D276" s="8">
        <f t="shared" si="44"/>
        <v>-0.11561428571428634</v>
      </c>
      <c r="E276" s="8">
        <f t="shared" si="45"/>
        <v>-0.11550714285714325</v>
      </c>
      <c r="F276" s="3">
        <v>25.143999999999998</v>
      </c>
      <c r="G276" s="9">
        <v>5152.84</v>
      </c>
      <c r="H276">
        <f t="shared" si="46"/>
        <v>-2.9043116000000095</v>
      </c>
      <c r="I276">
        <f t="shared" si="40"/>
        <v>-2.9043116000000095</v>
      </c>
      <c r="J276">
        <f t="shared" si="41"/>
        <v>-0.5636331809254721</v>
      </c>
      <c r="K276">
        <f t="shared" si="42"/>
        <v>-1.8499999999999073E-3</v>
      </c>
      <c r="L276">
        <f t="shared" si="43"/>
        <v>-7.7380952380989854E-4</v>
      </c>
      <c r="M276">
        <f t="shared" si="47"/>
        <v>-1.3119047619049029E-3</v>
      </c>
      <c r="N276">
        <f t="shared" si="48"/>
        <v>-8.5733885674554638E-5</v>
      </c>
      <c r="O276" s="3">
        <f t="shared" si="49"/>
        <v>-0.85733885674554633</v>
      </c>
      <c r="P276">
        <v>548</v>
      </c>
    </row>
    <row r="277" spans="1:16" x14ac:dyDescent="0.25">
      <c r="A277">
        <v>275</v>
      </c>
      <c r="B277">
        <v>3.5594000000000001</v>
      </c>
      <c r="C277" s="3">
        <v>3.444</v>
      </c>
      <c r="D277" s="8">
        <f t="shared" si="44"/>
        <v>-0.11540000000000017</v>
      </c>
      <c r="E277" s="8">
        <f t="shared" si="45"/>
        <v>-0.11532380952380961</v>
      </c>
      <c r="F277" s="3">
        <v>25.1</v>
      </c>
      <c r="G277">
        <v>5145</v>
      </c>
      <c r="H277">
        <f t="shared" si="46"/>
        <v>-2.8946276190476214</v>
      </c>
      <c r="I277">
        <f t="shared" si="40"/>
        <v>-2.8946276190476214</v>
      </c>
      <c r="J277">
        <f t="shared" si="41"/>
        <v>-0.56260983849322088</v>
      </c>
      <c r="K277">
        <f t="shared" si="42"/>
        <v>-8.5000000000001741E-4</v>
      </c>
      <c r="L277">
        <f t="shared" si="43"/>
        <v>-6.666666666663712E-4</v>
      </c>
      <c r="M277">
        <f t="shared" si="47"/>
        <v>-7.583333333331943E-4</v>
      </c>
      <c r="N277">
        <f t="shared" si="48"/>
        <v>-1.480489870145794E-4</v>
      </c>
      <c r="O277" s="3">
        <f t="shared" si="49"/>
        <v>-1.480489870145794</v>
      </c>
      <c r="P277">
        <v>550</v>
      </c>
    </row>
    <row r="278" spans="1:16" x14ac:dyDescent="0.25">
      <c r="A278">
        <v>276</v>
      </c>
      <c r="B278">
        <v>3.5587</v>
      </c>
      <c r="C278" s="3">
        <v>3.4434523809523809</v>
      </c>
      <c r="D278" s="8">
        <f t="shared" si="44"/>
        <v>-0.11524761904761904</v>
      </c>
      <c r="E278" s="8">
        <f t="shared" si="45"/>
        <v>-0.11582380952380911</v>
      </c>
      <c r="F278" s="3">
        <v>25.056000000000001</v>
      </c>
      <c r="G278" s="9">
        <v>5135.12</v>
      </c>
      <c r="H278">
        <f t="shared" si="46"/>
        <v>-2.9020813714285612</v>
      </c>
      <c r="I278">
        <f t="shared" si="40"/>
        <v>-2.9020813714285612</v>
      </c>
      <c r="J278">
        <f t="shared" si="41"/>
        <v>-0.56514382749157976</v>
      </c>
      <c r="K278">
        <f t="shared" si="42"/>
        <v>-5.0000000000105516E-5</v>
      </c>
      <c r="L278">
        <f t="shared" si="43"/>
        <v>-5.4999999999960636E-4</v>
      </c>
      <c r="M278">
        <f t="shared" si="47"/>
        <v>-2.9999999999985594E-4</v>
      </c>
      <c r="N278">
        <f t="shared" si="48"/>
        <v>-3.759204897641624E-4</v>
      </c>
      <c r="O278" s="3">
        <f t="shared" si="49"/>
        <v>-3.7592048976416241</v>
      </c>
      <c r="P278">
        <v>552</v>
      </c>
    </row>
    <row r="279" spans="1:16" x14ac:dyDescent="0.25">
      <c r="A279">
        <v>277</v>
      </c>
      <c r="B279">
        <v>3.5592999999999999</v>
      </c>
      <c r="C279" s="3">
        <v>3.4429000000000007</v>
      </c>
      <c r="D279" s="8">
        <f t="shared" si="44"/>
        <v>-0.11639999999999917</v>
      </c>
      <c r="E279" s="8">
        <f t="shared" si="45"/>
        <v>-0.1155904761904758</v>
      </c>
      <c r="F279" s="3">
        <v>25.012</v>
      </c>
      <c r="G279" s="9">
        <v>5125.24</v>
      </c>
      <c r="H279">
        <f t="shared" si="46"/>
        <v>-2.8911489904761809</v>
      </c>
      <c r="I279">
        <f t="shared" si="40"/>
        <v>-2.8911489904761809</v>
      </c>
      <c r="J279">
        <f t="shared" si="41"/>
        <v>-0.56410021588768156</v>
      </c>
      <c r="K279">
        <f t="shared" si="42"/>
        <v>-7.9999999999991189E-4</v>
      </c>
      <c r="L279">
        <f t="shared" si="43"/>
        <v>-5.6666666666660426E-4</v>
      </c>
      <c r="M279">
        <f t="shared" si="47"/>
        <v>-6.8333333333325808E-4</v>
      </c>
      <c r="N279">
        <f t="shared" si="48"/>
        <v>-1.6473349917289965E-4</v>
      </c>
      <c r="O279" s="3">
        <f t="shared" si="49"/>
        <v>-1.6473349917289966</v>
      </c>
      <c r="P279">
        <v>554</v>
      </c>
    </row>
    <row r="280" spans="1:16" x14ac:dyDescent="0.25">
      <c r="A280">
        <v>278</v>
      </c>
      <c r="B280">
        <v>3.5571000000000002</v>
      </c>
      <c r="C280" s="3">
        <v>3.4423190476190477</v>
      </c>
      <c r="D280" s="8">
        <f t="shared" si="44"/>
        <v>-0.11478095238095243</v>
      </c>
      <c r="E280" s="8">
        <f t="shared" si="45"/>
        <v>-0.11371904761904816</v>
      </c>
      <c r="F280" s="3">
        <v>24.968</v>
      </c>
      <c r="G280" s="9">
        <v>5115.3599999999997</v>
      </c>
      <c r="H280">
        <f t="shared" si="46"/>
        <v>-2.8393371809523944</v>
      </c>
      <c r="I280">
        <f t="shared" si="40"/>
        <v>-2.8393371809523944</v>
      </c>
      <c r="J280">
        <f t="shared" si="41"/>
        <v>-0.55506106724695714</v>
      </c>
      <c r="K280">
        <f t="shared" si="42"/>
        <v>-2.5500000000000522E-3</v>
      </c>
      <c r="L280">
        <f t="shared" si="43"/>
        <v>-6.7857142857241648E-4</v>
      </c>
      <c r="M280">
        <f t="shared" si="47"/>
        <v>-1.6142857142862344E-3</v>
      </c>
      <c r="N280">
        <f t="shared" si="48"/>
        <v>-6.8614930356487275E-5</v>
      </c>
      <c r="O280" s="3">
        <f t="shared" si="49"/>
        <v>-0.6861493035648728</v>
      </c>
      <c r="P280">
        <v>556</v>
      </c>
    </row>
    <row r="281" spans="1:16" x14ac:dyDescent="0.25">
      <c r="A281">
        <v>279</v>
      </c>
      <c r="B281">
        <v>3.5541999999999998</v>
      </c>
      <c r="C281" s="3">
        <v>3.4415428571428559</v>
      </c>
      <c r="D281" s="8">
        <f t="shared" si="44"/>
        <v>-0.1126571428571439</v>
      </c>
      <c r="E281" s="8">
        <f t="shared" si="45"/>
        <v>-0.11214285714285754</v>
      </c>
      <c r="F281" s="3">
        <v>24.923999999999999</v>
      </c>
      <c r="G281" s="9">
        <v>5105.4799999999996</v>
      </c>
      <c r="H281">
        <f t="shared" si="46"/>
        <v>-2.7950485714285813</v>
      </c>
      <c r="I281">
        <f t="shared" ref="I281:I344" si="50">H281</f>
        <v>-2.7950485714285813</v>
      </c>
      <c r="J281">
        <f t="shared" ref="J281:J344" si="51">(I281/G281)*1000</f>
        <v>-0.54746048783436263</v>
      </c>
      <c r="K281">
        <f t="shared" ref="K281:K344" si="52">(B282-B280)/(A282-A280)</f>
        <v>-2.2999999999999687E-3</v>
      </c>
      <c r="L281">
        <f t="shared" ref="L281:L344" si="53">(C282-C280)/(A282-A280)</f>
        <v>-7.2380952380934893E-4</v>
      </c>
      <c r="M281">
        <f t="shared" si="47"/>
        <v>-1.5119047619046588E-3</v>
      </c>
      <c r="N281">
        <f t="shared" si="48"/>
        <v>-7.2258111873638647E-5</v>
      </c>
      <c r="O281" s="3">
        <f t="shared" si="49"/>
        <v>-0.72258111873638642</v>
      </c>
      <c r="P281">
        <v>558</v>
      </c>
    </row>
    <row r="282" spans="1:16" x14ac:dyDescent="0.25">
      <c r="A282">
        <v>280</v>
      </c>
      <c r="B282">
        <v>3.5525000000000002</v>
      </c>
      <c r="C282" s="3">
        <v>3.440871428571429</v>
      </c>
      <c r="D282" s="8">
        <f t="shared" ref="D282:D345" si="54">C282-B282</f>
        <v>-0.11162857142857119</v>
      </c>
      <c r="E282" s="8">
        <f t="shared" si="45"/>
        <v>-0.11154047619047591</v>
      </c>
      <c r="F282" s="3">
        <v>24.880000000000003</v>
      </c>
      <c r="G282" s="9">
        <v>5095.5999999999995</v>
      </c>
      <c r="H282">
        <f t="shared" si="46"/>
        <v>-2.7751270476190411</v>
      </c>
      <c r="I282">
        <f t="shared" si="50"/>
        <v>-2.7751270476190411</v>
      </c>
      <c r="J282">
        <f t="shared" si="51"/>
        <v>-0.54461242005240629</v>
      </c>
      <c r="K282">
        <f t="shared" si="52"/>
        <v>-1.1999999999998678E-3</v>
      </c>
      <c r="L282">
        <f t="shared" si="53"/>
        <v>-5.9761904761823637E-4</v>
      </c>
      <c r="M282">
        <f t="shared" si="47"/>
        <v>-8.988095238090521E-4</v>
      </c>
      <c r="N282">
        <f t="shared" si="48"/>
        <v>-1.2091443189619791E-4</v>
      </c>
      <c r="O282" s="3">
        <f t="shared" si="49"/>
        <v>-1.209144318961979</v>
      </c>
      <c r="P282">
        <v>560</v>
      </c>
    </row>
    <row r="283" spans="1:16" x14ac:dyDescent="0.25">
      <c r="A283">
        <v>281</v>
      </c>
      <c r="B283">
        <v>3.5518000000000001</v>
      </c>
      <c r="C283" s="3">
        <v>3.4403476190476194</v>
      </c>
      <c r="D283" s="8">
        <f t="shared" si="54"/>
        <v>-0.11145238095238064</v>
      </c>
      <c r="E283" s="8">
        <f t="shared" si="45"/>
        <v>-0.11035000000000017</v>
      </c>
      <c r="F283" s="3">
        <v>24.836000000000002</v>
      </c>
      <c r="G283" s="9">
        <v>5085.7199999999993</v>
      </c>
      <c r="H283">
        <f t="shared" si="46"/>
        <v>-2.7406526000000047</v>
      </c>
      <c r="I283">
        <f t="shared" si="50"/>
        <v>-2.7406526000000047</v>
      </c>
      <c r="J283">
        <f t="shared" si="51"/>
        <v>-0.53889175967218117</v>
      </c>
      <c r="K283">
        <f t="shared" si="52"/>
        <v>-1.7000000000000348E-3</v>
      </c>
      <c r="L283">
        <f t="shared" si="53"/>
        <v>-5.0952380952429266E-4</v>
      </c>
      <c r="M283">
        <f t="shared" si="47"/>
        <v>-1.1047619047621637E-3</v>
      </c>
      <c r="N283">
        <f t="shared" si="48"/>
        <v>-9.7339949488259674E-5</v>
      </c>
      <c r="O283" s="3">
        <f t="shared" si="49"/>
        <v>-0.97339949488259669</v>
      </c>
      <c r="P283">
        <v>562</v>
      </c>
    </row>
    <row r="284" spans="1:16" x14ac:dyDescent="0.25">
      <c r="A284">
        <v>282</v>
      </c>
      <c r="B284">
        <v>3.5491000000000001</v>
      </c>
      <c r="C284" s="3">
        <v>3.4398523809523804</v>
      </c>
      <c r="D284" s="8">
        <f t="shared" si="54"/>
        <v>-0.1092476190476197</v>
      </c>
      <c r="E284" s="8">
        <f t="shared" si="45"/>
        <v>-0.10867142857142897</v>
      </c>
      <c r="F284" s="3">
        <v>24.792000000000002</v>
      </c>
      <c r="G284" s="9">
        <v>5075.8399999999992</v>
      </c>
      <c r="H284">
        <f t="shared" si="46"/>
        <v>-2.6941820571428674</v>
      </c>
      <c r="I284">
        <f t="shared" si="50"/>
        <v>-2.6941820571428674</v>
      </c>
      <c r="J284">
        <f t="shared" si="51"/>
        <v>-0.53078545760758178</v>
      </c>
      <c r="K284">
        <f t="shared" si="52"/>
        <v>-2.1500000000000963E-3</v>
      </c>
      <c r="L284">
        <f t="shared" si="53"/>
        <v>-4.7142857142890016E-4</v>
      </c>
      <c r="M284">
        <f t="shared" si="47"/>
        <v>-1.3107142857144982E-3</v>
      </c>
      <c r="N284">
        <f t="shared" si="48"/>
        <v>-8.0810770321400384E-5</v>
      </c>
      <c r="O284" s="3">
        <f t="shared" si="49"/>
        <v>-0.80810770321400383</v>
      </c>
      <c r="P284">
        <v>564</v>
      </c>
    </row>
    <row r="285" spans="1:16" x14ac:dyDescent="0.25">
      <c r="A285">
        <v>283</v>
      </c>
      <c r="B285">
        <v>3.5474999999999999</v>
      </c>
      <c r="C285" s="3">
        <v>3.4394047619047616</v>
      </c>
      <c r="D285" s="8">
        <f t="shared" si="54"/>
        <v>-0.10809523809523824</v>
      </c>
      <c r="E285" s="8">
        <f t="shared" si="45"/>
        <v>-0.10735714285714293</v>
      </c>
      <c r="F285" s="3">
        <v>24.748000000000001</v>
      </c>
      <c r="G285" s="9">
        <v>5065.9599999999991</v>
      </c>
      <c r="H285">
        <f t="shared" si="46"/>
        <v>-2.6568745714285735</v>
      </c>
      <c r="I285">
        <f t="shared" si="50"/>
        <v>-2.6568745714285735</v>
      </c>
      <c r="J285">
        <f t="shared" si="51"/>
        <v>-0.52445628694829294</v>
      </c>
      <c r="K285">
        <f t="shared" si="52"/>
        <v>-1.8500000000001293E-3</v>
      </c>
      <c r="L285">
        <f t="shared" si="53"/>
        <v>-5.3571428571408397E-4</v>
      </c>
      <c r="M285">
        <f t="shared" si="47"/>
        <v>-1.1928571428571066E-3</v>
      </c>
      <c r="N285">
        <f t="shared" si="48"/>
        <v>-8.7736261400526592E-5</v>
      </c>
      <c r="O285" s="3">
        <f t="shared" si="49"/>
        <v>-0.87736261400526594</v>
      </c>
      <c r="P285">
        <v>566</v>
      </c>
    </row>
    <row r="286" spans="1:16" x14ac:dyDescent="0.25">
      <c r="A286">
        <v>284</v>
      </c>
      <c r="B286">
        <v>3.5453999999999999</v>
      </c>
      <c r="C286" s="3">
        <v>3.4387809523809523</v>
      </c>
      <c r="D286" s="8">
        <f t="shared" si="54"/>
        <v>-0.10661904761904761</v>
      </c>
      <c r="E286" s="8">
        <f t="shared" si="45"/>
        <v>-0.10589523809523826</v>
      </c>
      <c r="F286" s="3">
        <v>24.704000000000001</v>
      </c>
      <c r="G286" s="9">
        <v>5056.079999999999</v>
      </c>
      <c r="H286">
        <f t="shared" si="46"/>
        <v>-2.6160359619047662</v>
      </c>
      <c r="I286">
        <f t="shared" si="50"/>
        <v>-2.6160359619047662</v>
      </c>
      <c r="J286">
        <f t="shared" si="51"/>
        <v>-0.51740398923766373</v>
      </c>
      <c r="K286">
        <f t="shared" si="52"/>
        <v>-1.9499999999998963E-3</v>
      </c>
      <c r="L286">
        <f t="shared" si="53"/>
        <v>-4.8809523809523192E-4</v>
      </c>
      <c r="M286">
        <f t="shared" si="47"/>
        <v>-1.2190476190475641E-3</v>
      </c>
      <c r="N286">
        <f t="shared" si="48"/>
        <v>-8.4696870993283076E-5</v>
      </c>
      <c r="O286" s="3">
        <f t="shared" si="49"/>
        <v>-0.8469687099328308</v>
      </c>
      <c r="P286">
        <v>568</v>
      </c>
    </row>
    <row r="287" spans="1:16" x14ac:dyDescent="0.25">
      <c r="A287">
        <v>285</v>
      </c>
      <c r="B287">
        <v>3.5436000000000001</v>
      </c>
      <c r="C287" s="3">
        <v>3.4384285714285712</v>
      </c>
      <c r="D287" s="8">
        <f t="shared" si="54"/>
        <v>-0.10517142857142892</v>
      </c>
      <c r="E287" s="8">
        <f t="shared" si="45"/>
        <v>-0.1052857142857142</v>
      </c>
      <c r="F287" s="3">
        <v>24.660000000000004</v>
      </c>
      <c r="G287" s="9">
        <v>5046.1999999999989</v>
      </c>
      <c r="H287">
        <f t="shared" si="46"/>
        <v>-2.5963457142857127</v>
      </c>
      <c r="I287">
        <f t="shared" si="50"/>
        <v>-2.5963457142857127</v>
      </c>
      <c r="J287">
        <f t="shared" si="51"/>
        <v>-0.51451502403505867</v>
      </c>
      <c r="K287">
        <f t="shared" si="52"/>
        <v>-1.0999999999998789E-3</v>
      </c>
      <c r="L287">
        <f t="shared" si="53"/>
        <v>-4.9047619047581925E-4</v>
      </c>
      <c r="M287">
        <f t="shared" si="47"/>
        <v>-7.9523809523784905E-4</v>
      </c>
      <c r="N287">
        <f t="shared" si="48"/>
        <v>-1.2910978216865572E-4</v>
      </c>
      <c r="O287" s="3">
        <f t="shared" si="49"/>
        <v>-1.2910978216865572</v>
      </c>
      <c r="P287">
        <v>570</v>
      </c>
    </row>
    <row r="288" spans="1:16" x14ac:dyDescent="0.25">
      <c r="A288">
        <v>286</v>
      </c>
      <c r="B288">
        <v>3.5432000000000001</v>
      </c>
      <c r="C288" s="3">
        <v>3.4378000000000006</v>
      </c>
      <c r="D288" s="8">
        <f t="shared" si="54"/>
        <v>-0.10539999999999949</v>
      </c>
      <c r="E288" s="8">
        <f t="shared" si="45"/>
        <v>-0.10538095238095213</v>
      </c>
      <c r="F288" s="3">
        <v>24.616000000000003</v>
      </c>
      <c r="G288" s="9">
        <v>5036.3199999999988</v>
      </c>
      <c r="H288">
        <f t="shared" si="46"/>
        <v>-2.5940575238095178</v>
      </c>
      <c r="I288">
        <f t="shared" si="50"/>
        <v>-2.5940575238095178</v>
      </c>
      <c r="J288">
        <f t="shared" si="51"/>
        <v>-0.51507003602025259</v>
      </c>
      <c r="K288">
        <f t="shared" si="52"/>
        <v>-4.9999999999994493E-4</v>
      </c>
      <c r="L288">
        <f t="shared" si="53"/>
        <v>-5.9523809523787108E-4</v>
      </c>
      <c r="M288">
        <f t="shared" si="47"/>
        <v>-5.4761904761890801E-4</v>
      </c>
      <c r="N288">
        <f t="shared" si="48"/>
        <v>-1.8769210458014155E-4</v>
      </c>
      <c r="O288" s="3">
        <f t="shared" si="49"/>
        <v>-1.8769210458014154</v>
      </c>
      <c r="P288">
        <v>572</v>
      </c>
    </row>
    <row r="289" spans="1:16" x14ac:dyDescent="0.25">
      <c r="A289">
        <v>287</v>
      </c>
      <c r="B289">
        <v>3.5426000000000002</v>
      </c>
      <c r="C289" s="3">
        <v>3.4372380952380954</v>
      </c>
      <c r="D289" s="8">
        <f t="shared" si="54"/>
        <v>-0.10536190476190477</v>
      </c>
      <c r="E289" s="8">
        <f t="shared" si="45"/>
        <v>-0.10499285714285733</v>
      </c>
      <c r="F289" s="3">
        <v>24.572000000000003</v>
      </c>
      <c r="G289" s="9">
        <v>5026.4399999999987</v>
      </c>
      <c r="H289">
        <f t="shared" si="46"/>
        <v>-2.5798844857142909</v>
      </c>
      <c r="I289">
        <f t="shared" si="50"/>
        <v>-2.5798844857142909</v>
      </c>
      <c r="J289">
        <f t="shared" si="51"/>
        <v>-0.51326276364868406</v>
      </c>
      <c r="K289">
        <f t="shared" si="52"/>
        <v>-9.0000000000012292E-4</v>
      </c>
      <c r="L289">
        <f t="shared" si="53"/>
        <v>-5.1190476190532408E-4</v>
      </c>
      <c r="M289">
        <f t="shared" si="47"/>
        <v>-7.059523809527235E-4</v>
      </c>
      <c r="N289">
        <f t="shared" si="48"/>
        <v>-1.4508503362743521E-4</v>
      </c>
      <c r="O289" s="3">
        <f t="shared" si="49"/>
        <v>-1.4508503362743521</v>
      </c>
      <c r="P289">
        <v>574</v>
      </c>
    </row>
    <row r="290" spans="1:16" x14ac:dyDescent="0.25">
      <c r="A290">
        <v>288</v>
      </c>
      <c r="B290">
        <v>3.5413999999999999</v>
      </c>
      <c r="C290" s="3">
        <v>3.43677619047619</v>
      </c>
      <c r="D290" s="8">
        <f t="shared" si="54"/>
        <v>-0.1046238095238099</v>
      </c>
      <c r="E290" s="8">
        <f t="shared" si="45"/>
        <v>-0.10415000000000041</v>
      </c>
      <c r="F290" s="3">
        <v>24.528000000000002</v>
      </c>
      <c r="G290" s="9">
        <v>5016.5599999999986</v>
      </c>
      <c r="H290">
        <f t="shared" si="46"/>
        <v>-2.5545912000000102</v>
      </c>
      <c r="I290">
        <f t="shared" si="50"/>
        <v>-2.5545912000000102</v>
      </c>
      <c r="J290">
        <f t="shared" si="51"/>
        <v>-0.50923166472642822</v>
      </c>
      <c r="K290">
        <f t="shared" si="52"/>
        <v>-1.3000000000000789E-3</v>
      </c>
      <c r="L290">
        <f t="shared" si="53"/>
        <v>-4.5714285714315572E-4</v>
      </c>
      <c r="M290">
        <f t="shared" si="47"/>
        <v>-8.785714285716173E-4</v>
      </c>
      <c r="N290">
        <f t="shared" si="48"/>
        <v>-1.1566356899031478E-4</v>
      </c>
      <c r="O290" s="3">
        <f t="shared" si="49"/>
        <v>-1.1566356899031478</v>
      </c>
      <c r="P290">
        <v>576</v>
      </c>
    </row>
    <row r="291" spans="1:16" x14ac:dyDescent="0.25">
      <c r="A291">
        <v>289</v>
      </c>
      <c r="B291">
        <v>3.54</v>
      </c>
      <c r="C291" s="3">
        <v>3.4363238095238091</v>
      </c>
      <c r="D291" s="8">
        <f t="shared" si="54"/>
        <v>-0.10367619047619092</v>
      </c>
      <c r="E291" s="8">
        <f t="shared" si="45"/>
        <v>-0.10382142857142851</v>
      </c>
      <c r="F291" s="3">
        <v>24.484000000000002</v>
      </c>
      <c r="G291" s="9">
        <v>5006.6799999999985</v>
      </c>
      <c r="H291">
        <f t="shared" si="46"/>
        <v>-2.5419638571428558</v>
      </c>
      <c r="I291">
        <f t="shared" si="50"/>
        <v>-2.5419638571428558</v>
      </c>
      <c r="J291">
        <f t="shared" si="51"/>
        <v>-0.50771446490346028</v>
      </c>
      <c r="K291">
        <f t="shared" si="52"/>
        <v>-7.9999999999991189E-4</v>
      </c>
      <c r="L291">
        <f t="shared" si="53"/>
        <v>-4.7142857142801198E-4</v>
      </c>
      <c r="M291">
        <f t="shared" si="47"/>
        <v>-6.3571428571396194E-4</v>
      </c>
      <c r="N291">
        <f t="shared" si="48"/>
        <v>-1.5937339704347796E-4</v>
      </c>
      <c r="O291" s="3">
        <f t="shared" si="49"/>
        <v>-1.5937339704347797</v>
      </c>
      <c r="P291">
        <v>578</v>
      </c>
    </row>
    <row r="292" spans="1:16" x14ac:dyDescent="0.25">
      <c r="A292">
        <v>290</v>
      </c>
      <c r="B292">
        <v>3.5398000000000001</v>
      </c>
      <c r="C292" s="3">
        <v>3.435833333333334</v>
      </c>
      <c r="D292" s="8">
        <f t="shared" si="54"/>
        <v>-0.1039666666666661</v>
      </c>
      <c r="E292" s="8">
        <f t="shared" si="45"/>
        <v>-0.10352857142857097</v>
      </c>
      <c r="F292" s="3">
        <v>24.440000000000005</v>
      </c>
      <c r="G292" s="9">
        <v>4996.7999999999984</v>
      </c>
      <c r="H292">
        <f t="shared" si="46"/>
        <v>-2.5302382857142751</v>
      </c>
      <c r="I292">
        <f t="shared" si="50"/>
        <v>-2.5302382857142751</v>
      </c>
      <c r="J292">
        <f t="shared" si="51"/>
        <v>-0.50637173505328936</v>
      </c>
      <c r="K292">
        <f t="shared" si="52"/>
        <v>-8.5000000000001741E-4</v>
      </c>
      <c r="L292">
        <f t="shared" si="53"/>
        <v>-5.5714285714247858E-4</v>
      </c>
      <c r="M292">
        <f t="shared" si="47"/>
        <v>-7.0357142857124799E-4</v>
      </c>
      <c r="N292">
        <f t="shared" si="48"/>
        <v>-1.4362152212035642E-4</v>
      </c>
      <c r="O292" s="3">
        <f t="shared" si="49"/>
        <v>-1.4362152212035642</v>
      </c>
      <c r="P292">
        <v>580</v>
      </c>
    </row>
    <row r="293" spans="1:16" x14ac:dyDescent="0.25">
      <c r="A293">
        <v>291</v>
      </c>
      <c r="B293">
        <v>3.5383</v>
      </c>
      <c r="C293" s="3">
        <v>3.4352095238095242</v>
      </c>
      <c r="D293" s="8">
        <f t="shared" si="54"/>
        <v>-0.10309047619047584</v>
      </c>
      <c r="E293" s="8">
        <f t="shared" si="45"/>
        <v>-0.10283095238095274</v>
      </c>
      <c r="F293" s="3">
        <v>24.396000000000004</v>
      </c>
      <c r="G293" s="9">
        <v>4986.9199999999983</v>
      </c>
      <c r="H293">
        <f t="shared" si="46"/>
        <v>-2.5086639142857234</v>
      </c>
      <c r="I293">
        <f t="shared" si="50"/>
        <v>-2.5086639142857234</v>
      </c>
      <c r="J293">
        <f t="shared" si="51"/>
        <v>-0.5030487584091432</v>
      </c>
      <c r="K293">
        <f t="shared" si="52"/>
        <v>-1.1499999999999844E-3</v>
      </c>
      <c r="L293">
        <f t="shared" si="53"/>
        <v>-4.5238095238175902E-4</v>
      </c>
      <c r="M293">
        <f t="shared" si="47"/>
        <v>-8.0119047619087169E-4</v>
      </c>
      <c r="N293">
        <f t="shared" si="48"/>
        <v>-1.2529466152237165E-4</v>
      </c>
      <c r="O293" s="3">
        <f t="shared" si="49"/>
        <v>-1.2529466152237165</v>
      </c>
      <c r="P293">
        <v>582</v>
      </c>
    </row>
    <row r="294" spans="1:16" x14ac:dyDescent="0.25">
      <c r="A294">
        <v>292</v>
      </c>
      <c r="B294">
        <v>3.5375000000000001</v>
      </c>
      <c r="C294" s="3">
        <v>3.4349285714285704</v>
      </c>
      <c r="D294" s="8">
        <f t="shared" si="54"/>
        <v>-0.10257142857142965</v>
      </c>
      <c r="E294" s="8">
        <f t="shared" si="45"/>
        <v>-0.10264523809523873</v>
      </c>
      <c r="F294" s="3">
        <v>24.352000000000004</v>
      </c>
      <c r="G294" s="9">
        <v>4977.0399999999981</v>
      </c>
      <c r="H294">
        <f t="shared" si="46"/>
        <v>-2.4996168380952541</v>
      </c>
      <c r="I294">
        <f t="shared" si="50"/>
        <v>-2.4996168380952541</v>
      </c>
      <c r="J294">
        <f t="shared" si="51"/>
        <v>-0.50222960596966371</v>
      </c>
      <c r="K294">
        <f t="shared" si="52"/>
        <v>-4.9999999999994493E-4</v>
      </c>
      <c r="L294">
        <f t="shared" si="53"/>
        <v>-3.1428571428593344E-4</v>
      </c>
      <c r="M294">
        <f t="shared" si="47"/>
        <v>-4.0714285714293919E-4</v>
      </c>
      <c r="N294">
        <f t="shared" si="48"/>
        <v>-2.4615788645972935E-4</v>
      </c>
      <c r="O294" s="3">
        <f t="shared" si="49"/>
        <v>-2.4615788645972936</v>
      </c>
      <c r="P294">
        <v>584</v>
      </c>
    </row>
    <row r="295" spans="1:16" x14ac:dyDescent="0.25">
      <c r="A295">
        <v>293</v>
      </c>
      <c r="B295">
        <v>3.5373000000000001</v>
      </c>
      <c r="C295" s="3">
        <v>3.4345809523809523</v>
      </c>
      <c r="D295" s="8">
        <f t="shared" si="54"/>
        <v>-0.10271904761904782</v>
      </c>
      <c r="E295" s="8">
        <f t="shared" si="45"/>
        <v>-0.10400238095238112</v>
      </c>
      <c r="F295" s="3">
        <v>24.308000000000003</v>
      </c>
      <c r="G295" s="9">
        <v>4967.159999999998</v>
      </c>
      <c r="H295">
        <f t="shared" si="46"/>
        <v>-2.5280898761904806</v>
      </c>
      <c r="I295">
        <f t="shared" si="50"/>
        <v>-2.5280898761904806</v>
      </c>
      <c r="J295">
        <f t="shared" si="51"/>
        <v>-0.50896082996933489</v>
      </c>
      <c r="K295">
        <f t="shared" si="52"/>
        <v>9.9999999999988987E-4</v>
      </c>
      <c r="L295">
        <f t="shared" si="53"/>
        <v>-3.571428571425006E-4</v>
      </c>
      <c r="M295">
        <f t="shared" si="47"/>
        <v>3.2142857142869463E-4</v>
      </c>
      <c r="N295">
        <f t="shared" si="48"/>
        <v>3.1597894580885291E-4</v>
      </c>
      <c r="O295" s="3">
        <f t="shared" si="49"/>
        <v>3.1597894580885293</v>
      </c>
      <c r="P295">
        <v>586</v>
      </c>
    </row>
    <row r="296" spans="1:16" x14ac:dyDescent="0.25">
      <c r="A296">
        <v>294</v>
      </c>
      <c r="B296">
        <v>3.5394999999999999</v>
      </c>
      <c r="C296" s="3">
        <v>3.4342142857142854</v>
      </c>
      <c r="D296" s="8">
        <f t="shared" si="54"/>
        <v>-0.10528571428571443</v>
      </c>
      <c r="E296" s="8">
        <f t="shared" si="45"/>
        <v>-0.10520714285714328</v>
      </c>
      <c r="F296" s="3">
        <v>24.264000000000003</v>
      </c>
      <c r="G296" s="9">
        <v>4957.2799999999979</v>
      </c>
      <c r="H296">
        <f t="shared" si="46"/>
        <v>-2.5527461142857248</v>
      </c>
      <c r="I296">
        <f t="shared" si="50"/>
        <v>-2.5527461142857248</v>
      </c>
      <c r="J296">
        <f t="shared" si="51"/>
        <v>-0.51494894665738589</v>
      </c>
      <c r="K296">
        <f t="shared" si="52"/>
        <v>8.5000000000001741E-4</v>
      </c>
      <c r="L296">
        <f t="shared" si="53"/>
        <v>-3.5476190476213532E-4</v>
      </c>
      <c r="M296">
        <f t="shared" si="47"/>
        <v>2.4761904761894105E-4</v>
      </c>
      <c r="N296">
        <f t="shared" si="48"/>
        <v>4.1499072384818615E-4</v>
      </c>
      <c r="O296" s="3">
        <f t="shared" si="49"/>
        <v>4.1499072384818616</v>
      </c>
      <c r="P296">
        <v>588</v>
      </c>
    </row>
    <row r="297" spans="1:16" x14ac:dyDescent="0.25">
      <c r="A297">
        <v>295</v>
      </c>
      <c r="B297">
        <v>3.5390000000000001</v>
      </c>
      <c r="C297" s="3">
        <v>3.433871428571428</v>
      </c>
      <c r="D297" s="8">
        <f t="shared" si="54"/>
        <v>-0.10512857142857213</v>
      </c>
      <c r="E297" s="8">
        <f t="shared" si="45"/>
        <v>-0.10445238095238096</v>
      </c>
      <c r="F297" s="3">
        <v>24.220000000000006</v>
      </c>
      <c r="G297" s="9">
        <v>4947.3999999999978</v>
      </c>
      <c r="H297">
        <f t="shared" si="46"/>
        <v>-2.5298366666666676</v>
      </c>
      <c r="I297">
        <f t="shared" si="50"/>
        <v>-2.5298366666666676</v>
      </c>
      <c r="J297">
        <f t="shared" si="51"/>
        <v>-0.51134670062389709</v>
      </c>
      <c r="K297">
        <f t="shared" si="52"/>
        <v>-1.0499999999999954E-3</v>
      </c>
      <c r="L297">
        <f t="shared" si="53"/>
        <v>-2.9523809523768207E-4</v>
      </c>
      <c r="M297">
        <f t="shared" si="47"/>
        <v>-6.7261904761883873E-4</v>
      </c>
      <c r="N297">
        <f t="shared" si="48"/>
        <v>-1.5170662972435796E-4</v>
      </c>
      <c r="O297" s="3">
        <f t="shared" si="49"/>
        <v>-1.5170662972435796</v>
      </c>
      <c r="P297">
        <v>590</v>
      </c>
    </row>
    <row r="298" spans="1:16" x14ac:dyDescent="0.25">
      <c r="A298">
        <v>296</v>
      </c>
      <c r="B298">
        <v>3.5373999999999999</v>
      </c>
      <c r="C298" s="3">
        <v>3.4336238095238101</v>
      </c>
      <c r="D298" s="8">
        <f t="shared" si="54"/>
        <v>-0.1037761904761898</v>
      </c>
      <c r="E298" s="8">
        <f t="shared" si="45"/>
        <v>-0.10320952380952386</v>
      </c>
      <c r="F298" s="3">
        <v>24.176000000000005</v>
      </c>
      <c r="G298" s="9">
        <v>4937.5199999999986</v>
      </c>
      <c r="H298">
        <f t="shared" si="46"/>
        <v>-2.4951934476190494</v>
      </c>
      <c r="I298">
        <f t="shared" si="50"/>
        <v>-2.4951934476190494</v>
      </c>
      <c r="J298">
        <f t="shared" si="51"/>
        <v>-0.50535358795894503</v>
      </c>
      <c r="K298">
        <f t="shared" si="52"/>
        <v>-1.5000000000000568E-3</v>
      </c>
      <c r="L298">
        <f t="shared" si="53"/>
        <v>-2.5714285714295571E-4</v>
      </c>
      <c r="M298">
        <f t="shared" si="47"/>
        <v>-8.7857142857150627E-4</v>
      </c>
      <c r="N298">
        <f t="shared" si="48"/>
        <v>-1.1478272785098947E-4</v>
      </c>
      <c r="O298" s="3">
        <f t="shared" si="49"/>
        <v>-1.1478272785098946</v>
      </c>
      <c r="P298">
        <v>592</v>
      </c>
    </row>
    <row r="299" spans="1:16" x14ac:dyDescent="0.25">
      <c r="A299">
        <v>297</v>
      </c>
      <c r="B299">
        <v>3.536</v>
      </c>
      <c r="C299" s="3">
        <v>3.4333571428571421</v>
      </c>
      <c r="D299" s="8">
        <f t="shared" si="54"/>
        <v>-0.10264285714285792</v>
      </c>
      <c r="E299" s="8">
        <f t="shared" si="45"/>
        <v>-0.10114285714285765</v>
      </c>
      <c r="F299" s="3">
        <v>24.132000000000005</v>
      </c>
      <c r="G299" s="9">
        <v>4927.6399999999994</v>
      </c>
      <c r="H299">
        <f t="shared" si="46"/>
        <v>-2.440779428571441</v>
      </c>
      <c r="I299">
        <f t="shared" si="50"/>
        <v>-2.440779428571441</v>
      </c>
      <c r="J299">
        <f t="shared" si="51"/>
        <v>-0.49532421779420605</v>
      </c>
      <c r="K299">
        <f t="shared" si="52"/>
        <v>-2.4999999999999467E-3</v>
      </c>
      <c r="L299">
        <f t="shared" si="53"/>
        <v>-4.333333333337297E-4</v>
      </c>
      <c r="M299">
        <f t="shared" si="47"/>
        <v>-1.4666666666668382E-3</v>
      </c>
      <c r="N299">
        <f t="shared" si="48"/>
        <v>-6.739325063595929E-5</v>
      </c>
      <c r="O299" s="3">
        <f t="shared" si="49"/>
        <v>-0.6739325063595929</v>
      </c>
      <c r="P299">
        <v>594</v>
      </c>
    </row>
    <row r="300" spans="1:16" x14ac:dyDescent="0.25">
      <c r="A300">
        <v>298</v>
      </c>
      <c r="B300">
        <v>3.5324</v>
      </c>
      <c r="C300" s="3">
        <v>3.4327571428571426</v>
      </c>
      <c r="D300" s="8">
        <f t="shared" si="54"/>
        <v>-9.9642857142857366E-2</v>
      </c>
      <c r="E300" s="8">
        <f t="shared" si="45"/>
        <v>-9.8866666666666436E-2</v>
      </c>
      <c r="F300" s="3">
        <v>24.088000000000001</v>
      </c>
      <c r="G300" s="9">
        <v>4917.7599999999993</v>
      </c>
      <c r="H300">
        <f t="shared" si="46"/>
        <v>-2.3815002666666611</v>
      </c>
      <c r="I300">
        <f t="shared" si="50"/>
        <v>-2.3815002666666611</v>
      </c>
      <c r="J300">
        <f t="shared" si="51"/>
        <v>-0.48426524813465105</v>
      </c>
      <c r="K300">
        <f t="shared" si="52"/>
        <v>-2.9000000000001247E-3</v>
      </c>
      <c r="L300">
        <f t="shared" si="53"/>
        <v>-6.2380952380891586E-4</v>
      </c>
      <c r="M300">
        <f t="shared" si="47"/>
        <v>-1.7619047619045203E-3</v>
      </c>
      <c r="N300">
        <f t="shared" si="48"/>
        <v>-5.4847790737014317E-5</v>
      </c>
      <c r="O300" s="3">
        <f t="shared" si="49"/>
        <v>-0.54847790737014313</v>
      </c>
      <c r="P300">
        <v>596</v>
      </c>
    </row>
    <row r="301" spans="1:16" x14ac:dyDescent="0.25">
      <c r="A301">
        <v>299</v>
      </c>
      <c r="B301">
        <v>3.5301999999999998</v>
      </c>
      <c r="C301" s="3">
        <v>3.4321095238095243</v>
      </c>
      <c r="D301" s="8">
        <f t="shared" si="54"/>
        <v>-9.8090476190475506E-2</v>
      </c>
      <c r="E301" s="8">
        <f t="shared" si="45"/>
        <v>-9.6947619047618838E-2</v>
      </c>
      <c r="F301" s="3">
        <v>24.044</v>
      </c>
      <c r="G301" s="9">
        <v>4907.8799999999992</v>
      </c>
      <c r="H301">
        <f t="shared" si="46"/>
        <v>-2.3310085523809474</v>
      </c>
      <c r="I301">
        <f t="shared" si="50"/>
        <v>-2.3310085523809474</v>
      </c>
      <c r="J301">
        <f t="shared" si="51"/>
        <v>-0.47495223036849882</v>
      </c>
      <c r="K301">
        <f t="shared" si="52"/>
        <v>-2.4500000000000632E-3</v>
      </c>
      <c r="L301">
        <f t="shared" si="53"/>
        <v>-5.3095238095246522E-4</v>
      </c>
      <c r="M301">
        <f t="shared" si="47"/>
        <v>-1.4904761904762642E-3</v>
      </c>
      <c r="N301">
        <f t="shared" si="48"/>
        <v>-6.358916944726231E-5</v>
      </c>
      <c r="O301" s="3">
        <f t="shared" si="49"/>
        <v>-0.63589169447262306</v>
      </c>
      <c r="P301">
        <v>598</v>
      </c>
    </row>
    <row r="302" spans="1:16" x14ac:dyDescent="0.25">
      <c r="A302">
        <v>300</v>
      </c>
      <c r="B302">
        <v>3.5274999999999999</v>
      </c>
      <c r="C302" s="3">
        <v>3.4316952380952377</v>
      </c>
      <c r="D302" s="8">
        <f t="shared" si="54"/>
        <v>-9.580476190476217E-2</v>
      </c>
      <c r="E302" s="8">
        <f t="shared" si="45"/>
        <v>-9.4897619047618953E-2</v>
      </c>
      <c r="F302" s="3">
        <v>24</v>
      </c>
      <c r="G302">
        <v>4898</v>
      </c>
      <c r="H302">
        <f t="shared" si="46"/>
        <v>-2.2775428571428549</v>
      </c>
      <c r="I302">
        <f t="shared" si="50"/>
        <v>-2.2775428571428549</v>
      </c>
      <c r="J302">
        <f t="shared" si="51"/>
        <v>-0.46499445837951303</v>
      </c>
      <c r="K302">
        <f t="shared" si="52"/>
        <v>-2.4999999999999467E-3</v>
      </c>
      <c r="L302">
        <f t="shared" si="53"/>
        <v>-4.5000000000006146E-4</v>
      </c>
      <c r="M302">
        <f t="shared" si="47"/>
        <v>-1.4750000000000041E-3</v>
      </c>
      <c r="N302">
        <f t="shared" si="48"/>
        <v>-6.2909179489402958E-5</v>
      </c>
      <c r="O302" s="3">
        <f t="shared" si="49"/>
        <v>-0.62909179489402955</v>
      </c>
      <c r="P302">
        <v>600</v>
      </c>
    </row>
    <row r="303" spans="1:16" x14ac:dyDescent="0.25">
      <c r="A303">
        <v>301</v>
      </c>
      <c r="B303">
        <v>3.5251999999999999</v>
      </c>
      <c r="C303" s="3">
        <v>3.4312095238095242</v>
      </c>
      <c r="D303" s="8">
        <f t="shared" si="54"/>
        <v>-9.3990476190475736E-2</v>
      </c>
      <c r="E303" s="8">
        <f t="shared" si="45"/>
        <v>-9.36214285714283E-2</v>
      </c>
      <c r="F303" s="3">
        <v>23.956</v>
      </c>
      <c r="G303" s="9">
        <v>4889.8</v>
      </c>
      <c r="H303">
        <f t="shared" si="46"/>
        <v>-2.2427949428571363</v>
      </c>
      <c r="I303">
        <f t="shared" si="50"/>
        <v>-2.2427949428571363</v>
      </c>
      <c r="J303">
        <f t="shared" si="51"/>
        <v>-0.45866803199663309</v>
      </c>
      <c r="K303">
        <f t="shared" si="52"/>
        <v>-1.8000000000000238E-3</v>
      </c>
      <c r="L303">
        <f t="shared" si="53"/>
        <v>-5.2380952380937096E-4</v>
      </c>
      <c r="M303">
        <f t="shared" si="47"/>
        <v>-1.1619047619046974E-3</v>
      </c>
      <c r="N303">
        <f t="shared" si="48"/>
        <v>-7.8774599584879293E-5</v>
      </c>
      <c r="O303" s="3">
        <f t="shared" si="49"/>
        <v>-0.7877459958487929</v>
      </c>
      <c r="P303">
        <v>602</v>
      </c>
    </row>
    <row r="304" spans="1:16" x14ac:dyDescent="0.25">
      <c r="A304">
        <v>302</v>
      </c>
      <c r="B304">
        <v>3.5238999999999998</v>
      </c>
      <c r="C304" s="3">
        <v>3.4306476190476189</v>
      </c>
      <c r="D304" s="8">
        <f t="shared" si="54"/>
        <v>-9.3252380952380864E-2</v>
      </c>
      <c r="E304" s="8">
        <f t="shared" si="45"/>
        <v>-9.3811904761904596E-2</v>
      </c>
      <c r="F304" s="3">
        <v>23.911999999999999</v>
      </c>
      <c r="G304" s="9">
        <v>4881.6000000000004</v>
      </c>
      <c r="H304">
        <f t="shared" si="46"/>
        <v>-2.2432302666666626</v>
      </c>
      <c r="I304">
        <f t="shared" si="50"/>
        <v>-2.2432302666666626</v>
      </c>
      <c r="J304">
        <f t="shared" si="51"/>
        <v>-0.45952766852398036</v>
      </c>
      <c r="K304">
        <f t="shared" si="52"/>
        <v>-4.4999999999983942E-4</v>
      </c>
      <c r="L304">
        <f t="shared" si="53"/>
        <v>-6.404761904761358E-4</v>
      </c>
      <c r="M304">
        <f t="shared" si="47"/>
        <v>-5.4523809523798761E-4</v>
      </c>
      <c r="N304">
        <f t="shared" si="48"/>
        <v>-1.6818363614857292E-4</v>
      </c>
      <c r="O304" s="3">
        <f t="shared" si="49"/>
        <v>-1.6818363614857292</v>
      </c>
      <c r="P304">
        <v>604</v>
      </c>
    </row>
    <row r="305" spans="1:16" x14ac:dyDescent="0.25">
      <c r="A305">
        <v>303</v>
      </c>
      <c r="B305">
        <v>3.5243000000000002</v>
      </c>
      <c r="C305" s="3">
        <v>3.4299285714285719</v>
      </c>
      <c r="D305" s="8">
        <f t="shared" si="54"/>
        <v>-9.4371428571428329E-2</v>
      </c>
      <c r="E305" s="8">
        <f t="shared" si="45"/>
        <v>-9.4628571428571062E-2</v>
      </c>
      <c r="F305" s="3">
        <v>23.868000000000002</v>
      </c>
      <c r="G305" s="9">
        <v>4873.4000000000005</v>
      </c>
      <c r="H305">
        <f t="shared" si="46"/>
        <v>-2.2585947428571345</v>
      </c>
      <c r="I305">
        <f t="shared" si="50"/>
        <v>-2.2585947428571345</v>
      </c>
      <c r="J305">
        <f t="shared" si="51"/>
        <v>-0.46345359356037558</v>
      </c>
      <c r="K305">
        <f t="shared" si="52"/>
        <v>1.500000000000945E-4</v>
      </c>
      <c r="L305">
        <f t="shared" si="53"/>
        <v>-6.666666666663712E-4</v>
      </c>
      <c r="M305">
        <f t="shared" si="47"/>
        <v>-2.5833333333313835E-4</v>
      </c>
      <c r="N305">
        <f t="shared" si="48"/>
        <v>-3.5800086018471553E-4</v>
      </c>
      <c r="O305" s="3">
        <f t="shared" si="49"/>
        <v>-3.5800086018471555</v>
      </c>
      <c r="P305">
        <v>606</v>
      </c>
    </row>
    <row r="306" spans="1:16" x14ac:dyDescent="0.25">
      <c r="A306">
        <v>304</v>
      </c>
      <c r="B306">
        <v>3.5242</v>
      </c>
      <c r="C306" s="3">
        <v>3.4293142857142862</v>
      </c>
      <c r="D306" s="8">
        <f t="shared" si="54"/>
        <v>-9.4885714285713796E-2</v>
      </c>
      <c r="E306" s="8">
        <f t="shared" si="45"/>
        <v>-9.4838095238094944E-2</v>
      </c>
      <c r="F306" s="3">
        <v>23.824000000000002</v>
      </c>
      <c r="G306" s="9">
        <v>4865.2000000000007</v>
      </c>
      <c r="H306">
        <f t="shared" si="46"/>
        <v>-2.2594227809523741</v>
      </c>
      <c r="I306">
        <f t="shared" si="50"/>
        <v>-2.2594227809523741</v>
      </c>
      <c r="J306">
        <f t="shared" si="51"/>
        <v>-0.46440491263511752</v>
      </c>
      <c r="K306">
        <f t="shared" si="52"/>
        <v>-4.0000000000017799E-4</v>
      </c>
      <c r="L306">
        <f t="shared" si="53"/>
        <v>-6.095238095240596E-4</v>
      </c>
      <c r="M306">
        <f t="shared" si="47"/>
        <v>-5.047619047621188E-4</v>
      </c>
      <c r="N306">
        <f t="shared" si="48"/>
        <v>-1.8359823364217609E-4</v>
      </c>
      <c r="O306" s="3">
        <f t="shared" si="49"/>
        <v>-1.8359823364217609</v>
      </c>
      <c r="P306">
        <v>608</v>
      </c>
    </row>
    <row r="307" spans="1:16" x14ac:dyDescent="0.25">
      <c r="A307">
        <v>305</v>
      </c>
      <c r="B307">
        <v>3.5234999999999999</v>
      </c>
      <c r="C307" s="3">
        <v>3.4287095238095238</v>
      </c>
      <c r="D307" s="8">
        <f t="shared" si="54"/>
        <v>-9.4790476190476092E-2</v>
      </c>
      <c r="E307" s="8">
        <f t="shared" si="45"/>
        <v>-9.4040476190476063E-2</v>
      </c>
      <c r="F307" s="3">
        <v>23.78</v>
      </c>
      <c r="G307" s="9">
        <v>4857.0000000000009</v>
      </c>
      <c r="H307">
        <f t="shared" si="46"/>
        <v>-2.2362825238095208</v>
      </c>
      <c r="I307">
        <f t="shared" si="50"/>
        <v>-2.2362825238095208</v>
      </c>
      <c r="J307">
        <f t="shared" si="51"/>
        <v>-0.46042464974459962</v>
      </c>
      <c r="K307">
        <f t="shared" si="52"/>
        <v>-1.3000000000000789E-3</v>
      </c>
      <c r="L307">
        <f t="shared" si="53"/>
        <v>-5.023809523811984E-4</v>
      </c>
      <c r="M307">
        <f t="shared" si="47"/>
        <v>-9.0119047619063863E-4</v>
      </c>
      <c r="N307">
        <f t="shared" si="48"/>
        <v>-1.019530533732297E-4</v>
      </c>
      <c r="O307" s="3">
        <f t="shared" si="49"/>
        <v>-1.0195305337322969</v>
      </c>
      <c r="P307">
        <v>610</v>
      </c>
    </row>
    <row r="308" spans="1:16" x14ac:dyDescent="0.25">
      <c r="A308">
        <v>306</v>
      </c>
      <c r="B308">
        <v>3.5215999999999998</v>
      </c>
      <c r="C308" s="3">
        <v>3.4283095238095238</v>
      </c>
      <c r="D308" s="8">
        <f t="shared" si="54"/>
        <v>-9.3290476190476035E-2</v>
      </c>
      <c r="E308" s="8">
        <f t="shared" si="45"/>
        <v>-9.2754761904761729E-2</v>
      </c>
      <c r="F308" s="3">
        <v>23.736000000000001</v>
      </c>
      <c r="G308" s="9">
        <v>4848.8000000000011</v>
      </c>
      <c r="H308">
        <f t="shared" si="46"/>
        <v>-2.2016270285714246</v>
      </c>
      <c r="I308">
        <f t="shared" si="50"/>
        <v>-2.2016270285714246</v>
      </c>
      <c r="J308">
        <f t="shared" si="51"/>
        <v>-0.45405606099889129</v>
      </c>
      <c r="K308">
        <f t="shared" si="52"/>
        <v>-1.7000000000000348E-3</v>
      </c>
      <c r="L308">
        <f t="shared" si="53"/>
        <v>-4.1428571428570038E-4</v>
      </c>
      <c r="M308">
        <f t="shared" si="47"/>
        <v>-1.0571428571428676E-3</v>
      </c>
      <c r="N308">
        <f t="shared" si="48"/>
        <v>-8.5710506492273731E-5</v>
      </c>
      <c r="O308" s="3">
        <f t="shared" si="49"/>
        <v>-0.8571050649227373</v>
      </c>
      <c r="P308">
        <v>612</v>
      </c>
    </row>
    <row r="309" spans="1:16" x14ac:dyDescent="0.25">
      <c r="A309">
        <v>307</v>
      </c>
      <c r="B309">
        <v>3.5200999999999998</v>
      </c>
      <c r="C309" s="3">
        <v>3.4278809523809524</v>
      </c>
      <c r="D309" s="8">
        <f t="shared" si="54"/>
        <v>-9.2219047619047423E-2</v>
      </c>
      <c r="E309" s="8">
        <f t="shared" si="45"/>
        <v>-9.1264285714285576E-2</v>
      </c>
      <c r="F309" s="3">
        <v>23.692</v>
      </c>
      <c r="G309" s="9">
        <v>4840.6000000000013</v>
      </c>
      <c r="H309">
        <f t="shared" si="46"/>
        <v>-2.1622334571428539</v>
      </c>
      <c r="I309">
        <f t="shared" si="50"/>
        <v>-2.1622334571428539</v>
      </c>
      <c r="J309">
        <f t="shared" si="51"/>
        <v>-0.44668707539206987</v>
      </c>
      <c r="K309">
        <f t="shared" si="52"/>
        <v>-1.9000000000000128E-3</v>
      </c>
      <c r="L309">
        <f t="shared" si="53"/>
        <v>-4.0952380952385958E-4</v>
      </c>
      <c r="M309">
        <f t="shared" si="47"/>
        <v>-1.1547619047619362E-3</v>
      </c>
      <c r="N309">
        <f t="shared" si="48"/>
        <v>-7.7191450600002067E-5</v>
      </c>
      <c r="O309" s="3">
        <f t="shared" si="49"/>
        <v>-0.77191450600002065</v>
      </c>
      <c r="P309">
        <v>614</v>
      </c>
    </row>
    <row r="310" spans="1:16" x14ac:dyDescent="0.25">
      <c r="A310">
        <v>308</v>
      </c>
      <c r="B310">
        <v>3.5177999999999998</v>
      </c>
      <c r="C310" s="3">
        <v>3.4274904761904761</v>
      </c>
      <c r="D310" s="8">
        <f t="shared" si="54"/>
        <v>-9.0309523809523728E-2</v>
      </c>
      <c r="E310" s="8">
        <f t="shared" si="45"/>
        <v>-9.0083333333333293E-2</v>
      </c>
      <c r="F310" s="3">
        <v>23.648000000000003</v>
      </c>
      <c r="G310" s="9">
        <v>4832.4000000000015</v>
      </c>
      <c r="H310">
        <f t="shared" si="46"/>
        <v>-2.1302906666666659</v>
      </c>
      <c r="I310">
        <f t="shared" si="50"/>
        <v>-2.1302906666666659</v>
      </c>
      <c r="J310">
        <f t="shared" si="51"/>
        <v>-0.44083491984659079</v>
      </c>
      <c r="K310">
        <f t="shared" si="52"/>
        <v>-1.5999999999998238E-3</v>
      </c>
      <c r="L310">
        <f t="shared" si="53"/>
        <v>-4.1904761904754118E-4</v>
      </c>
      <c r="M310">
        <f t="shared" si="47"/>
        <v>-1.0095238095236825E-3</v>
      </c>
      <c r="N310">
        <f t="shared" si="48"/>
        <v>-8.7140026310682673E-5</v>
      </c>
      <c r="O310" s="3">
        <f t="shared" si="49"/>
        <v>-0.87140026310682672</v>
      </c>
      <c r="P310">
        <v>616</v>
      </c>
    </row>
    <row r="311" spans="1:16" x14ac:dyDescent="0.25">
      <c r="A311">
        <v>309</v>
      </c>
      <c r="B311">
        <v>3.5169000000000001</v>
      </c>
      <c r="C311" s="3">
        <v>3.4270428571428573</v>
      </c>
      <c r="D311" s="8">
        <f t="shared" si="54"/>
        <v>-8.9857142857142858E-2</v>
      </c>
      <c r="E311" s="8">
        <f t="shared" si="45"/>
        <v>-8.976666666666655E-2</v>
      </c>
      <c r="F311" s="3">
        <v>23.604000000000003</v>
      </c>
      <c r="G311" s="9">
        <v>4824.2000000000016</v>
      </c>
      <c r="H311">
        <f t="shared" si="46"/>
        <v>-2.1188523999999975</v>
      </c>
      <c r="I311">
        <f t="shared" si="50"/>
        <v>-2.1188523999999975</v>
      </c>
      <c r="J311">
        <f t="shared" si="51"/>
        <v>-0.43921321669914115</v>
      </c>
      <c r="K311">
        <f t="shared" si="52"/>
        <v>-7.4999999999980638E-4</v>
      </c>
      <c r="L311">
        <f t="shared" si="53"/>
        <v>-4.3333333333306356E-4</v>
      </c>
      <c r="M311">
        <f t="shared" si="47"/>
        <v>-5.9166666666643497E-4</v>
      </c>
      <c r="N311">
        <f t="shared" si="48"/>
        <v>-1.4813461790355118E-4</v>
      </c>
      <c r="O311" s="3">
        <f t="shared" si="49"/>
        <v>-1.4813461790355118</v>
      </c>
      <c r="P311">
        <v>618</v>
      </c>
    </row>
    <row r="312" spans="1:16" x14ac:dyDescent="0.25">
      <c r="A312">
        <v>310</v>
      </c>
      <c r="B312">
        <v>3.5163000000000002</v>
      </c>
      <c r="C312" s="3">
        <v>3.42662380952381</v>
      </c>
      <c r="D312" s="8">
        <f t="shared" si="54"/>
        <v>-8.9676190476190243E-2</v>
      </c>
      <c r="E312" s="8">
        <f t="shared" si="45"/>
        <v>-8.9130952380952033E-2</v>
      </c>
      <c r="F312" s="3">
        <v>23.560000000000002</v>
      </c>
      <c r="G312" s="9">
        <v>4816.0000000000018</v>
      </c>
      <c r="H312">
        <f t="shared" si="46"/>
        <v>-2.09992523809523</v>
      </c>
      <c r="I312">
        <f t="shared" si="50"/>
        <v>-2.09992523809523</v>
      </c>
      <c r="J312">
        <f t="shared" si="51"/>
        <v>-0.43603098797658413</v>
      </c>
      <c r="K312">
        <f t="shared" si="52"/>
        <v>-1.0000000000001119E-3</v>
      </c>
      <c r="L312">
        <f t="shared" si="53"/>
        <v>-3.6428571428559486E-4</v>
      </c>
      <c r="M312">
        <f t="shared" si="47"/>
        <v>-6.8214285714285339E-4</v>
      </c>
      <c r="N312">
        <f t="shared" si="48"/>
        <v>-1.2755582117360173E-4</v>
      </c>
      <c r="O312" s="3">
        <f t="shared" si="49"/>
        <v>-1.2755582117360174</v>
      </c>
      <c r="P312">
        <v>620</v>
      </c>
    </row>
    <row r="313" spans="1:16" x14ac:dyDescent="0.25">
      <c r="A313">
        <v>311</v>
      </c>
      <c r="B313">
        <v>3.5148999999999999</v>
      </c>
      <c r="C313" s="3">
        <v>3.4263142857142861</v>
      </c>
      <c r="D313" s="8">
        <f t="shared" si="54"/>
        <v>-8.8585714285713824E-2</v>
      </c>
      <c r="E313" s="8">
        <f t="shared" si="45"/>
        <v>-8.7119047619047318E-2</v>
      </c>
      <c r="F313" s="3">
        <v>23.516000000000002</v>
      </c>
      <c r="G313" s="9">
        <v>4807.800000000002</v>
      </c>
      <c r="H313">
        <f t="shared" si="46"/>
        <v>-2.0486915238095169</v>
      </c>
      <c r="I313">
        <f t="shared" si="50"/>
        <v>-2.0486915238095169</v>
      </c>
      <c r="J313">
        <f t="shared" si="51"/>
        <v>-0.42611829190264072</v>
      </c>
      <c r="K313">
        <f t="shared" si="52"/>
        <v>-2.3000000000001908E-3</v>
      </c>
      <c r="L313">
        <f t="shared" si="53"/>
        <v>-2.8809523809547599E-4</v>
      </c>
      <c r="M313">
        <f t="shared" si="47"/>
        <v>-1.2940476190478334E-3</v>
      </c>
      <c r="N313">
        <f t="shared" si="48"/>
        <v>-6.5711016191836807E-5</v>
      </c>
      <c r="O313" s="3">
        <f t="shared" si="49"/>
        <v>-0.65711016191836802</v>
      </c>
      <c r="P313">
        <v>622</v>
      </c>
    </row>
    <row r="314" spans="1:16" x14ac:dyDescent="0.25">
      <c r="A314">
        <v>312</v>
      </c>
      <c r="B314">
        <v>3.5116999999999998</v>
      </c>
      <c r="C314" s="3">
        <v>3.426047619047619</v>
      </c>
      <c r="D314" s="8">
        <f t="shared" si="54"/>
        <v>-8.5652380952380813E-2</v>
      </c>
      <c r="E314" s="8">
        <f t="shared" si="45"/>
        <v>-8.5673809523809208E-2</v>
      </c>
      <c r="F314" s="3">
        <v>23.472000000000001</v>
      </c>
      <c r="G314" s="9">
        <v>4799.6000000000022</v>
      </c>
      <c r="H314">
        <f t="shared" si="46"/>
        <v>-2.0109356571428498</v>
      </c>
      <c r="I314">
        <f t="shared" si="50"/>
        <v>-2.0109356571428498</v>
      </c>
      <c r="J314">
        <f t="shared" si="51"/>
        <v>-0.41897984355839007</v>
      </c>
      <c r="K314">
        <f t="shared" si="52"/>
        <v>-1.8000000000000238E-3</v>
      </c>
      <c r="L314">
        <f t="shared" si="53"/>
        <v>-3.5476190476191327E-4</v>
      </c>
      <c r="M314">
        <f t="shared" si="47"/>
        <v>-1.0773809523809685E-3</v>
      </c>
      <c r="N314">
        <f t="shared" si="48"/>
        <v>-7.7603641564231451E-5</v>
      </c>
      <c r="O314" s="3">
        <f t="shared" si="49"/>
        <v>-0.77603641564231451</v>
      </c>
      <c r="P314">
        <v>624</v>
      </c>
    </row>
    <row r="315" spans="1:16" x14ac:dyDescent="0.25">
      <c r="A315">
        <v>313</v>
      </c>
      <c r="B315">
        <v>3.5112999999999999</v>
      </c>
      <c r="C315" s="3">
        <v>3.4256047619047623</v>
      </c>
      <c r="D315" s="8">
        <f t="shared" si="54"/>
        <v>-8.5695238095237602E-2</v>
      </c>
      <c r="E315" s="8">
        <f t="shared" si="45"/>
        <v>-8.5488095238095196E-2</v>
      </c>
      <c r="F315" s="3">
        <v>23.428000000000004</v>
      </c>
      <c r="G315" s="9">
        <v>4791.4000000000024</v>
      </c>
      <c r="H315">
        <f t="shared" si="46"/>
        <v>-2.0028150952380948</v>
      </c>
      <c r="I315">
        <f t="shared" si="50"/>
        <v>-2.0028150952380948</v>
      </c>
      <c r="J315">
        <f t="shared" si="51"/>
        <v>-0.41800206520810068</v>
      </c>
      <c r="K315">
        <f t="shared" si="52"/>
        <v>-5.9999999999993392E-4</v>
      </c>
      <c r="L315">
        <f t="shared" si="53"/>
        <v>-4.1428571428592242E-4</v>
      </c>
      <c r="M315">
        <f t="shared" si="47"/>
        <v>-5.0714285714292817E-4</v>
      </c>
      <c r="N315">
        <f t="shared" si="48"/>
        <v>-1.644774553707467E-4</v>
      </c>
      <c r="O315" s="3">
        <f t="shared" si="49"/>
        <v>-1.6447745537074669</v>
      </c>
      <c r="P315">
        <v>626</v>
      </c>
    </row>
    <row r="316" spans="1:16" x14ac:dyDescent="0.25">
      <c r="A316">
        <v>314</v>
      </c>
      <c r="B316">
        <v>3.5105</v>
      </c>
      <c r="C316" s="3">
        <v>3.4252190476190472</v>
      </c>
      <c r="D316" s="8">
        <f t="shared" si="54"/>
        <v>-8.528095238095279E-2</v>
      </c>
      <c r="E316" s="8">
        <f t="shared" si="45"/>
        <v>-8.533095238095223E-2</v>
      </c>
      <c r="F316" s="3">
        <v>23.384000000000004</v>
      </c>
      <c r="G316" s="9">
        <v>4783.2000000000025</v>
      </c>
      <c r="H316">
        <f t="shared" si="46"/>
        <v>-1.9953789904761872</v>
      </c>
      <c r="I316">
        <f t="shared" si="50"/>
        <v>-1.9953789904761872</v>
      </c>
      <c r="J316">
        <f t="shared" si="51"/>
        <v>-0.41716403045580075</v>
      </c>
      <c r="K316">
        <f t="shared" si="52"/>
        <v>-5.9999999999993392E-4</v>
      </c>
      <c r="L316">
        <f t="shared" si="53"/>
        <v>-4.428571428569672E-4</v>
      </c>
      <c r="M316">
        <f t="shared" si="47"/>
        <v>-5.2142857142845056E-4</v>
      </c>
      <c r="N316">
        <f t="shared" si="48"/>
        <v>-1.5965050414147827E-4</v>
      </c>
      <c r="O316" s="3">
        <f t="shared" si="49"/>
        <v>-1.5965050414147828</v>
      </c>
      <c r="P316">
        <v>628</v>
      </c>
    </row>
    <row r="317" spans="1:16" x14ac:dyDescent="0.25">
      <c r="A317">
        <v>315</v>
      </c>
      <c r="B317">
        <v>3.5101</v>
      </c>
      <c r="C317" s="3">
        <v>3.4247190476190483</v>
      </c>
      <c r="D317" s="8">
        <f t="shared" si="54"/>
        <v>-8.5380952380951669E-2</v>
      </c>
      <c r="E317" s="8">
        <f t="shared" si="45"/>
        <v>-8.5595238095237614E-2</v>
      </c>
      <c r="F317" s="3">
        <v>23.340000000000003</v>
      </c>
      <c r="G317" s="9">
        <v>4775.0000000000027</v>
      </c>
      <c r="H317">
        <f t="shared" si="46"/>
        <v>-1.9977928571428463</v>
      </c>
      <c r="I317">
        <f t="shared" si="50"/>
        <v>-1.9977928571428463</v>
      </c>
      <c r="J317">
        <f t="shared" si="51"/>
        <v>-0.41838593866865864</v>
      </c>
      <c r="K317">
        <f t="shared" si="52"/>
        <v>-2.9999999999996696E-4</v>
      </c>
      <c r="L317">
        <f t="shared" si="53"/>
        <v>-5.6428571428535079E-4</v>
      </c>
      <c r="M317">
        <f t="shared" si="47"/>
        <v>-4.3214285714265888E-4</v>
      </c>
      <c r="N317">
        <f t="shared" si="48"/>
        <v>-1.9320039281806796E-4</v>
      </c>
      <c r="O317" s="3">
        <f t="shared" si="49"/>
        <v>-1.9320039281806796</v>
      </c>
      <c r="P317">
        <v>630</v>
      </c>
    </row>
    <row r="318" spans="1:16" x14ac:dyDescent="0.25">
      <c r="A318">
        <v>316</v>
      </c>
      <c r="B318">
        <v>3.5099</v>
      </c>
      <c r="C318" s="3">
        <v>3.4240904761904765</v>
      </c>
      <c r="D318" s="8">
        <f t="shared" si="54"/>
        <v>-8.5809523809523558E-2</v>
      </c>
      <c r="E318" s="8">
        <f t="shared" si="45"/>
        <v>-8.6430952380952553E-2</v>
      </c>
      <c r="F318" s="3">
        <v>23.296000000000003</v>
      </c>
      <c r="G318" s="9">
        <v>4766.8000000000029</v>
      </c>
      <c r="H318">
        <f t="shared" si="46"/>
        <v>-2.0134954666666709</v>
      </c>
      <c r="I318">
        <f t="shared" si="50"/>
        <v>-2.0134954666666709</v>
      </c>
      <c r="J318">
        <f t="shared" si="51"/>
        <v>-0.42239982098402901</v>
      </c>
      <c r="K318">
        <f t="shared" si="52"/>
        <v>2.5000000000008349E-4</v>
      </c>
      <c r="L318">
        <f t="shared" si="53"/>
        <v>-5.8571428571485562E-4</v>
      </c>
      <c r="M318">
        <f t="shared" si="47"/>
        <v>-1.6785714285738607E-4</v>
      </c>
      <c r="N318">
        <f t="shared" si="48"/>
        <v>-5.0216005456440028E-4</v>
      </c>
      <c r="O318" s="3">
        <f t="shared" si="49"/>
        <v>-5.0216005456440032</v>
      </c>
      <c r="P318">
        <v>632</v>
      </c>
    </row>
    <row r="319" spans="1:16" x14ac:dyDescent="0.25">
      <c r="A319">
        <v>317</v>
      </c>
      <c r="B319">
        <v>3.5106000000000002</v>
      </c>
      <c r="C319" s="3">
        <v>3.4235476190476186</v>
      </c>
      <c r="D319" s="8">
        <f t="shared" si="54"/>
        <v>-8.7052380952381547E-2</v>
      </c>
      <c r="E319" s="8">
        <f t="shared" si="45"/>
        <v>-8.604761904761915E-2</v>
      </c>
      <c r="F319" s="3">
        <v>23.252000000000002</v>
      </c>
      <c r="G319" s="9">
        <v>4758.6000000000022</v>
      </c>
      <c r="H319">
        <f t="shared" si="46"/>
        <v>-2.0007792380952405</v>
      </c>
      <c r="I319">
        <f t="shared" si="50"/>
        <v>-2.0007792380952405</v>
      </c>
      <c r="J319">
        <f t="shared" si="51"/>
        <v>-0.42045543607263475</v>
      </c>
      <c r="K319">
        <f t="shared" si="52"/>
        <v>-9.5000000000000639E-4</v>
      </c>
      <c r="L319">
        <f t="shared" si="53"/>
        <v>-5.6666666666660426E-4</v>
      </c>
      <c r="M319">
        <f t="shared" si="47"/>
        <v>-7.5833333333330533E-4</v>
      </c>
      <c r="N319">
        <f t="shared" si="48"/>
        <v>-1.1064150879769542E-4</v>
      </c>
      <c r="O319" s="3">
        <f t="shared" si="49"/>
        <v>-1.1064150879769543</v>
      </c>
      <c r="P319">
        <v>634</v>
      </c>
    </row>
    <row r="320" spans="1:16" x14ac:dyDescent="0.25">
      <c r="A320">
        <v>318</v>
      </c>
      <c r="B320">
        <v>3.508</v>
      </c>
      <c r="C320" s="3">
        <v>3.4229571428571433</v>
      </c>
      <c r="D320" s="8">
        <f t="shared" si="54"/>
        <v>-8.5042857142856754E-2</v>
      </c>
      <c r="E320" s="8">
        <f t="shared" si="45"/>
        <v>-8.4000000000000297E-2</v>
      </c>
      <c r="F320" s="3">
        <v>23.208000000000006</v>
      </c>
      <c r="G320" s="9">
        <v>4750.4000000000015</v>
      </c>
      <c r="H320">
        <f t="shared" si="46"/>
        <v>-1.9494720000000074</v>
      </c>
      <c r="I320">
        <f t="shared" si="50"/>
        <v>-1.9494720000000074</v>
      </c>
      <c r="J320">
        <f t="shared" si="51"/>
        <v>-0.41038059952846223</v>
      </c>
      <c r="K320">
        <f t="shared" si="52"/>
        <v>-2.6000000000001577E-3</v>
      </c>
      <c r="L320">
        <f t="shared" si="53"/>
        <v>-5.5238095238130391E-4</v>
      </c>
      <c r="M320">
        <f t="shared" si="47"/>
        <v>-1.5761904761907308E-3</v>
      </c>
      <c r="N320">
        <f t="shared" si="48"/>
        <v>-5.1956081158243695E-5</v>
      </c>
      <c r="O320" s="3">
        <f t="shared" si="49"/>
        <v>-0.51956081158243694</v>
      </c>
      <c r="P320">
        <v>636</v>
      </c>
    </row>
    <row r="321" spans="1:16" x14ac:dyDescent="0.25">
      <c r="A321">
        <v>319</v>
      </c>
      <c r="B321">
        <v>3.5053999999999998</v>
      </c>
      <c r="C321" s="3">
        <v>3.422442857142856</v>
      </c>
      <c r="D321" s="8">
        <f t="shared" si="54"/>
        <v>-8.295714285714384E-2</v>
      </c>
      <c r="E321" s="8">
        <f t="shared" si="45"/>
        <v>-8.2161904761905546E-2</v>
      </c>
      <c r="F321" s="3">
        <v>23.164000000000005</v>
      </c>
      <c r="G321" s="9">
        <v>4742.2000000000016</v>
      </c>
      <c r="H321">
        <f t="shared" si="46"/>
        <v>-1.9031983619047805</v>
      </c>
      <c r="I321">
        <f t="shared" si="50"/>
        <v>-1.9031983619047805</v>
      </c>
      <c r="J321">
        <f t="shared" si="51"/>
        <v>-0.40133236934435068</v>
      </c>
      <c r="K321">
        <f t="shared" si="52"/>
        <v>-2.2999999999999687E-3</v>
      </c>
      <c r="L321">
        <f t="shared" si="53"/>
        <v>-4.6190476190521856E-4</v>
      </c>
      <c r="M321">
        <f t="shared" si="47"/>
        <v>-1.3809523809525936E-3</v>
      </c>
      <c r="N321">
        <f t="shared" si="48"/>
        <v>-5.7994091553747643E-5</v>
      </c>
      <c r="O321" s="3">
        <f t="shared" si="49"/>
        <v>-0.5799409155374764</v>
      </c>
      <c r="P321">
        <v>638</v>
      </c>
    </row>
    <row r="322" spans="1:16" x14ac:dyDescent="0.25">
      <c r="A322">
        <v>320</v>
      </c>
      <c r="B322">
        <v>3.5034000000000001</v>
      </c>
      <c r="C322" s="3">
        <v>3.4220333333333328</v>
      </c>
      <c r="D322" s="8">
        <f t="shared" si="54"/>
        <v>-8.1366666666667253E-2</v>
      </c>
      <c r="E322" s="8">
        <f t="shared" si="45"/>
        <v>-8.0145238095238547E-2</v>
      </c>
      <c r="F322" s="3">
        <v>23.120000000000005</v>
      </c>
      <c r="G322" s="9">
        <v>4734.0000000000018</v>
      </c>
      <c r="H322">
        <f t="shared" si="46"/>
        <v>-1.8529579047619156</v>
      </c>
      <c r="I322">
        <f t="shared" si="50"/>
        <v>-1.8529579047619156</v>
      </c>
      <c r="J322">
        <f t="shared" si="51"/>
        <v>-0.39141485102702051</v>
      </c>
      <c r="K322">
        <f t="shared" si="52"/>
        <v>-2.3999999999999577E-3</v>
      </c>
      <c r="L322">
        <f t="shared" si="53"/>
        <v>-3.8333333333295805E-4</v>
      </c>
      <c r="M322">
        <f t="shared" si="47"/>
        <v>-1.3916666666664579E-3</v>
      </c>
      <c r="N322">
        <f t="shared" si="48"/>
        <v>-5.6125514922321906E-5</v>
      </c>
      <c r="O322" s="3">
        <f t="shared" si="49"/>
        <v>-0.56125514922321906</v>
      </c>
      <c r="P322">
        <v>640</v>
      </c>
    </row>
    <row r="323" spans="1:16" x14ac:dyDescent="0.25">
      <c r="A323">
        <v>321</v>
      </c>
      <c r="B323">
        <v>3.5005999999999999</v>
      </c>
      <c r="C323" s="3">
        <v>3.4216761904761901</v>
      </c>
      <c r="D323" s="8">
        <f t="shared" si="54"/>
        <v>-7.892380952380984E-2</v>
      </c>
      <c r="E323" s="8">
        <f t="shared" si="45"/>
        <v>-7.865952380952379E-2</v>
      </c>
      <c r="F323" s="3">
        <v>23.076000000000004</v>
      </c>
      <c r="G323" s="9">
        <v>4725.8000000000011</v>
      </c>
      <c r="H323">
        <f t="shared" si="46"/>
        <v>-1.8151471714285714</v>
      </c>
      <c r="I323">
        <f t="shared" si="50"/>
        <v>-1.8151471714285714</v>
      </c>
      <c r="J323">
        <f t="shared" si="51"/>
        <v>-0.38409309988331525</v>
      </c>
      <c r="K323">
        <f t="shared" si="52"/>
        <v>-1.8500000000001293E-3</v>
      </c>
      <c r="L323">
        <f t="shared" si="53"/>
        <v>-3.6428571428537282E-4</v>
      </c>
      <c r="M323">
        <f t="shared" si="47"/>
        <v>-1.1071428571427511E-3</v>
      </c>
      <c r="N323">
        <f t="shared" si="48"/>
        <v>-6.9229485930443925E-5</v>
      </c>
      <c r="O323" s="3">
        <f t="shared" si="49"/>
        <v>-0.69229485930443924</v>
      </c>
      <c r="P323">
        <v>642</v>
      </c>
    </row>
    <row r="324" spans="1:16" x14ac:dyDescent="0.25">
      <c r="A324">
        <v>322</v>
      </c>
      <c r="B324">
        <v>3.4996999999999998</v>
      </c>
      <c r="C324" s="3">
        <v>3.4213047619047621</v>
      </c>
      <c r="D324" s="8">
        <f t="shared" si="54"/>
        <v>-7.839523809523774E-2</v>
      </c>
      <c r="E324" s="8">
        <f t="shared" ref="E324:E387" si="55">(D324+D325)/2</f>
        <v>-7.7940476190475838E-2</v>
      </c>
      <c r="F324" s="3">
        <v>23.032000000000004</v>
      </c>
      <c r="G324" s="9">
        <v>4717.6000000000004</v>
      </c>
      <c r="H324">
        <f t="shared" ref="H324:H387" si="56">E324*F324</f>
        <v>-1.7951250476190397</v>
      </c>
      <c r="I324">
        <f t="shared" si="50"/>
        <v>-1.7951250476190397</v>
      </c>
      <c r="J324">
        <f t="shared" si="51"/>
        <v>-0.38051658631911134</v>
      </c>
      <c r="K324">
        <f t="shared" si="52"/>
        <v>-1.0499999999999954E-3</v>
      </c>
      <c r="L324">
        <f t="shared" si="53"/>
        <v>-3.3095238095204316E-4</v>
      </c>
      <c r="M324">
        <f t="shared" si="47"/>
        <v>-6.9047619047601927E-4</v>
      </c>
      <c r="N324">
        <f t="shared" si="48"/>
        <v>-1.0997225955519388E-4</v>
      </c>
      <c r="O324" s="3">
        <f t="shared" si="49"/>
        <v>-1.0997225955519387</v>
      </c>
      <c r="P324">
        <v>644</v>
      </c>
    </row>
    <row r="325" spans="1:16" x14ac:dyDescent="0.25">
      <c r="A325">
        <v>323</v>
      </c>
      <c r="B325">
        <v>3.4984999999999999</v>
      </c>
      <c r="C325" s="3">
        <v>3.421014285714286</v>
      </c>
      <c r="D325" s="8">
        <f t="shared" si="54"/>
        <v>-7.7485714285713936E-2</v>
      </c>
      <c r="E325" s="8">
        <f t="shared" si="55"/>
        <v>-7.6840476190475959E-2</v>
      </c>
      <c r="F325" s="3">
        <v>22.988000000000003</v>
      </c>
      <c r="G325" s="9">
        <v>4709.4000000000005</v>
      </c>
      <c r="H325">
        <f t="shared" si="56"/>
        <v>-1.7664088666666615</v>
      </c>
      <c r="I325">
        <f t="shared" si="50"/>
        <v>-1.7664088666666615</v>
      </c>
      <c r="J325">
        <f t="shared" si="51"/>
        <v>-0.37508151073738932</v>
      </c>
      <c r="K325">
        <f t="shared" si="52"/>
        <v>-1.3999999999998458E-3</v>
      </c>
      <c r="L325">
        <f t="shared" si="53"/>
        <v>-2.9999999999996696E-4</v>
      </c>
      <c r="M325">
        <f t="shared" ref="M325:M388" si="57">(K325+L325)/2</f>
        <v>-8.4999999999990639E-4</v>
      </c>
      <c r="N325">
        <f t="shared" ref="N325:N388" si="58">-J325/(M325*86400*58)</f>
        <v>-8.8057224930844459E-5</v>
      </c>
      <c r="O325" s="3">
        <f t="shared" ref="O325:O388" si="59">N325*10000</f>
        <v>-0.88057224930844458</v>
      </c>
      <c r="P325">
        <v>646</v>
      </c>
    </row>
    <row r="326" spans="1:16" x14ac:dyDescent="0.25">
      <c r="A326">
        <v>324</v>
      </c>
      <c r="B326">
        <v>3.4969000000000001</v>
      </c>
      <c r="C326" s="3">
        <v>3.4207047619047621</v>
      </c>
      <c r="D326" s="8">
        <f t="shared" si="54"/>
        <v>-7.6195238095237983E-2</v>
      </c>
      <c r="E326" s="8">
        <f t="shared" si="55"/>
        <v>-7.6528571428571279E-2</v>
      </c>
      <c r="F326" s="3">
        <v>22.943999999999999</v>
      </c>
      <c r="G326" s="9">
        <v>4701.2000000000007</v>
      </c>
      <c r="H326">
        <f t="shared" si="56"/>
        <v>-1.7558715428571394</v>
      </c>
      <c r="I326">
        <f t="shared" si="50"/>
        <v>-1.7558715428571394</v>
      </c>
      <c r="J326">
        <f t="shared" si="51"/>
        <v>-0.37349432971520868</v>
      </c>
      <c r="K326">
        <f t="shared" si="52"/>
        <v>-6.5000000000003944E-4</v>
      </c>
      <c r="L326">
        <f t="shared" si="53"/>
        <v>-3.3809523809535946E-4</v>
      </c>
      <c r="M326">
        <f t="shared" si="57"/>
        <v>-4.9404761904769945E-4</v>
      </c>
      <c r="N326">
        <f t="shared" si="58"/>
        <v>-1.5085977865519752E-4</v>
      </c>
      <c r="O326" s="3">
        <f t="shared" si="59"/>
        <v>-1.5085977865519751</v>
      </c>
      <c r="P326">
        <v>648</v>
      </c>
    </row>
    <row r="327" spans="1:16" x14ac:dyDescent="0.25">
      <c r="A327">
        <v>325</v>
      </c>
      <c r="B327">
        <v>3.4971999999999999</v>
      </c>
      <c r="C327" s="3">
        <v>3.4203380952380953</v>
      </c>
      <c r="D327" s="8">
        <f t="shared" si="54"/>
        <v>-7.6861904761904576E-2</v>
      </c>
      <c r="E327" s="8">
        <f t="shared" si="55"/>
        <v>-7.6788095238094822E-2</v>
      </c>
      <c r="F327" s="3">
        <v>22.9</v>
      </c>
      <c r="G327">
        <v>4693</v>
      </c>
      <c r="H327">
        <f t="shared" si="56"/>
        <v>-1.7584473809523713</v>
      </c>
      <c r="I327">
        <f t="shared" si="50"/>
        <v>-1.7584473809523713</v>
      </c>
      <c r="J327">
        <f t="shared" si="51"/>
        <v>-0.37469579819995125</v>
      </c>
      <c r="K327">
        <f t="shared" si="52"/>
        <v>-1.9999999999997797E-4</v>
      </c>
      <c r="L327">
        <f t="shared" si="53"/>
        <v>-4.5952380952352101E-4</v>
      </c>
      <c r="M327">
        <f t="shared" si="57"/>
        <v>-3.2976190476174949E-4</v>
      </c>
      <c r="N327">
        <f t="shared" si="58"/>
        <v>-2.2674441776637463E-4</v>
      </c>
      <c r="O327" s="3">
        <f t="shared" si="59"/>
        <v>-2.2674441776637462</v>
      </c>
      <c r="P327">
        <v>650</v>
      </c>
    </row>
    <row r="328" spans="1:16" x14ac:dyDescent="0.25">
      <c r="A328">
        <v>326</v>
      </c>
      <c r="B328">
        <v>3.4965000000000002</v>
      </c>
      <c r="C328" s="3">
        <v>3.4197857142857151</v>
      </c>
      <c r="D328" s="8">
        <f t="shared" si="54"/>
        <v>-7.6714285714285069E-2</v>
      </c>
      <c r="E328" s="8">
        <f t="shared" si="55"/>
        <v>-7.6511904761904503E-2</v>
      </c>
      <c r="F328" s="3">
        <v>22.847999999999999</v>
      </c>
      <c r="G328" s="9">
        <v>4684.6400000000003</v>
      </c>
      <c r="H328">
        <f t="shared" si="56"/>
        <v>-1.7481439999999939</v>
      </c>
      <c r="I328">
        <f t="shared" si="50"/>
        <v>-1.7481439999999939</v>
      </c>
      <c r="J328">
        <f t="shared" si="51"/>
        <v>-0.3731650671129465</v>
      </c>
      <c r="K328">
        <f t="shared" si="52"/>
        <v>-7.5000000000002842E-4</v>
      </c>
      <c r="L328">
        <f t="shared" si="53"/>
        <v>-4.7380952380970953E-4</v>
      </c>
      <c r="M328">
        <f t="shared" si="57"/>
        <v>-6.1190476190486898E-4</v>
      </c>
      <c r="N328">
        <f t="shared" si="58"/>
        <v>-1.2169575030329736E-4</v>
      </c>
      <c r="O328" s="3">
        <f t="shared" si="59"/>
        <v>-1.2169575030329736</v>
      </c>
      <c r="P328">
        <v>652</v>
      </c>
    </row>
    <row r="329" spans="1:16" x14ac:dyDescent="0.25">
      <c r="A329">
        <v>327</v>
      </c>
      <c r="B329">
        <v>3.4956999999999998</v>
      </c>
      <c r="C329" s="3">
        <v>3.4193904761904759</v>
      </c>
      <c r="D329" s="8">
        <f t="shared" si="54"/>
        <v>-7.6309523809523938E-2</v>
      </c>
      <c r="E329" s="8">
        <f t="shared" si="55"/>
        <v>-7.6373809523809566E-2</v>
      </c>
      <c r="F329" s="3">
        <v>22.795999999999999</v>
      </c>
      <c r="G329" s="9">
        <v>4676.2800000000007</v>
      </c>
      <c r="H329">
        <f t="shared" si="56"/>
        <v>-1.7410173619047629</v>
      </c>
      <c r="I329">
        <f t="shared" si="50"/>
        <v>-1.7410173619047629</v>
      </c>
      <c r="J329">
        <f t="shared" si="51"/>
        <v>-0.37230819409974647</v>
      </c>
      <c r="K329">
        <f t="shared" si="52"/>
        <v>-5.0000000000016698E-4</v>
      </c>
      <c r="L329">
        <f t="shared" si="53"/>
        <v>-3.6190476190522958E-4</v>
      </c>
      <c r="M329">
        <f t="shared" si="57"/>
        <v>-4.3095238095269828E-4</v>
      </c>
      <c r="N329">
        <f t="shared" si="58"/>
        <v>-1.7239774234088941E-4</v>
      </c>
      <c r="O329" s="3">
        <f t="shared" si="59"/>
        <v>-1.723977423408894</v>
      </c>
      <c r="P329">
        <v>654</v>
      </c>
    </row>
    <row r="330" spans="1:16" x14ac:dyDescent="0.25">
      <c r="A330">
        <v>328</v>
      </c>
      <c r="B330">
        <v>3.4954999999999998</v>
      </c>
      <c r="C330" s="3">
        <v>3.4190619047619046</v>
      </c>
      <c r="D330" s="8">
        <f t="shared" si="54"/>
        <v>-7.6438095238095194E-2</v>
      </c>
      <c r="E330" s="8">
        <f t="shared" si="55"/>
        <v>-7.6433333333333131E-2</v>
      </c>
      <c r="F330" s="3">
        <v>22.743999999999996</v>
      </c>
      <c r="G330" s="9">
        <v>4667.920000000001</v>
      </c>
      <c r="H330">
        <f t="shared" si="56"/>
        <v>-1.7383997333333285</v>
      </c>
      <c r="I330">
        <f t="shared" si="50"/>
        <v>-1.7383997333333285</v>
      </c>
      <c r="J330">
        <f t="shared" si="51"/>
        <v>-0.37241420875536174</v>
      </c>
      <c r="K330">
        <f t="shared" si="52"/>
        <v>-3.9999999999995595E-4</v>
      </c>
      <c r="L330">
        <f t="shared" si="53"/>
        <v>-4.5952380952352101E-4</v>
      </c>
      <c r="M330">
        <f t="shared" si="57"/>
        <v>-4.2976190476173848E-4</v>
      </c>
      <c r="N330">
        <f t="shared" si="58"/>
        <v>-1.7292452460760744E-4</v>
      </c>
      <c r="O330" s="3">
        <f t="shared" si="59"/>
        <v>-1.7292452460760743</v>
      </c>
      <c r="P330">
        <v>656</v>
      </c>
    </row>
    <row r="331" spans="1:16" x14ac:dyDescent="0.25">
      <c r="A331">
        <v>329</v>
      </c>
      <c r="B331">
        <v>3.4948999999999999</v>
      </c>
      <c r="C331" s="3">
        <v>3.4184714285714288</v>
      </c>
      <c r="D331" s="8">
        <f t="shared" si="54"/>
        <v>-7.6428571428571068E-2</v>
      </c>
      <c r="E331" s="8">
        <f t="shared" si="55"/>
        <v>-7.7095238095237884E-2</v>
      </c>
      <c r="F331" s="3">
        <v>22.691999999999997</v>
      </c>
      <c r="G331" s="9">
        <v>4659.5600000000013</v>
      </c>
      <c r="H331">
        <f t="shared" si="56"/>
        <v>-1.7494451428571378</v>
      </c>
      <c r="I331">
        <f t="shared" si="50"/>
        <v>-1.7494451428571378</v>
      </c>
      <c r="J331">
        <f t="shared" si="51"/>
        <v>-0.37545286311521631</v>
      </c>
      <c r="K331">
        <f t="shared" si="52"/>
        <v>1.500000000000945E-4</v>
      </c>
      <c r="L331">
        <f t="shared" si="53"/>
        <v>-5.1190476190465795E-4</v>
      </c>
      <c r="M331">
        <f t="shared" si="57"/>
        <v>-1.8095238095228172E-4</v>
      </c>
      <c r="N331">
        <f t="shared" si="58"/>
        <v>-4.1404675240219101E-4</v>
      </c>
      <c r="O331" s="3">
        <f t="shared" si="59"/>
        <v>-4.1404675240219104</v>
      </c>
      <c r="P331">
        <v>658</v>
      </c>
    </row>
    <row r="332" spans="1:16" x14ac:dyDescent="0.25">
      <c r="A332">
        <v>330</v>
      </c>
      <c r="B332">
        <v>3.4958</v>
      </c>
      <c r="C332" s="3">
        <v>3.4180380952380953</v>
      </c>
      <c r="D332" s="8">
        <f t="shared" si="54"/>
        <v>-7.7761904761904699E-2</v>
      </c>
      <c r="E332" s="8">
        <f t="shared" si="55"/>
        <v>-7.7602380952380701E-2</v>
      </c>
      <c r="F332" s="3">
        <v>22.639999999999993</v>
      </c>
      <c r="G332" s="9">
        <v>4651.2000000000016</v>
      </c>
      <c r="H332">
        <f t="shared" si="56"/>
        <v>-1.7569179047618986</v>
      </c>
      <c r="I332">
        <f t="shared" si="50"/>
        <v>-1.7569179047618986</v>
      </c>
      <c r="J332">
        <f t="shared" si="51"/>
        <v>-0.37773432764918685</v>
      </c>
      <c r="K332">
        <f t="shared" si="52"/>
        <v>5.0000000000105516E-5</v>
      </c>
      <c r="L332">
        <f t="shared" si="53"/>
        <v>-4.5714285714271163E-4</v>
      </c>
      <c r="M332">
        <f t="shared" si="57"/>
        <v>-2.0357142857130306E-4</v>
      </c>
      <c r="N332">
        <f t="shared" si="58"/>
        <v>-3.7027798692975989E-4</v>
      </c>
      <c r="O332" s="3">
        <f t="shared" si="59"/>
        <v>-3.7027798692975988</v>
      </c>
      <c r="P332">
        <v>660</v>
      </c>
    </row>
    <row r="333" spans="1:16" x14ac:dyDescent="0.25">
      <c r="A333">
        <v>331</v>
      </c>
      <c r="B333">
        <v>3.4950000000000001</v>
      </c>
      <c r="C333" s="3">
        <v>3.4175571428571434</v>
      </c>
      <c r="D333" s="8">
        <f t="shared" si="54"/>
        <v>-7.7442857142856703E-2</v>
      </c>
      <c r="E333" s="8">
        <f t="shared" si="55"/>
        <v>-7.7273809523809689E-2</v>
      </c>
      <c r="F333" s="3">
        <v>22.587999999999994</v>
      </c>
      <c r="G333" s="9">
        <v>4642.840000000002</v>
      </c>
      <c r="H333">
        <f t="shared" si="56"/>
        <v>-1.7454608095238129</v>
      </c>
      <c r="I333">
        <f t="shared" si="50"/>
        <v>-1.7454608095238129</v>
      </c>
      <c r="J333">
        <f t="shared" si="51"/>
        <v>-0.3759467932394423</v>
      </c>
      <c r="K333">
        <f t="shared" si="52"/>
        <v>-7.5000000000002842E-4</v>
      </c>
      <c r="L333">
        <f t="shared" si="53"/>
        <v>-4.2142857142901669E-4</v>
      </c>
      <c r="M333">
        <f t="shared" si="57"/>
        <v>-5.8571428571452255E-4</v>
      </c>
      <c r="N333">
        <f t="shared" si="58"/>
        <v>-1.2808516497071109E-4</v>
      </c>
      <c r="O333" s="3">
        <f t="shared" si="59"/>
        <v>-1.280851649707111</v>
      </c>
      <c r="P333">
        <v>662</v>
      </c>
    </row>
    <row r="334" spans="1:16" x14ac:dyDescent="0.25">
      <c r="A334">
        <v>332</v>
      </c>
      <c r="B334">
        <v>3.4943</v>
      </c>
      <c r="C334" s="3">
        <v>3.4171952380952373</v>
      </c>
      <c r="D334" s="8">
        <f t="shared" si="54"/>
        <v>-7.7104761904762675E-2</v>
      </c>
      <c r="E334" s="8">
        <f t="shared" si="55"/>
        <v>-7.7345238095238855E-2</v>
      </c>
      <c r="F334" s="3">
        <v>22.535999999999994</v>
      </c>
      <c r="G334" s="9">
        <v>4634.4800000000023</v>
      </c>
      <c r="H334">
        <f t="shared" si="56"/>
        <v>-1.7430522857143025</v>
      </c>
      <c r="I334">
        <f t="shared" si="50"/>
        <v>-1.7430522857143025</v>
      </c>
      <c r="J334">
        <f t="shared" si="51"/>
        <v>-0.37610525575993453</v>
      </c>
      <c r="K334">
        <f t="shared" si="52"/>
        <v>-2.9999999999996696E-4</v>
      </c>
      <c r="L334">
        <f t="shared" si="53"/>
        <v>-3.7142857142913321E-4</v>
      </c>
      <c r="M334">
        <f t="shared" si="57"/>
        <v>-3.3571428571455009E-4</v>
      </c>
      <c r="N334">
        <f t="shared" si="58"/>
        <v>-2.235619268428056E-4</v>
      </c>
      <c r="O334" s="3">
        <f t="shared" si="59"/>
        <v>-2.235619268428056</v>
      </c>
      <c r="P334">
        <v>664</v>
      </c>
    </row>
    <row r="335" spans="1:16" x14ac:dyDescent="0.25">
      <c r="A335">
        <v>333</v>
      </c>
      <c r="B335">
        <v>3.4944000000000002</v>
      </c>
      <c r="C335" s="3">
        <v>3.4168142857142851</v>
      </c>
      <c r="D335" s="8">
        <f t="shared" si="54"/>
        <v>-7.7585714285715035E-2</v>
      </c>
      <c r="E335" s="8">
        <f t="shared" si="55"/>
        <v>-7.762857142857138E-2</v>
      </c>
      <c r="F335" s="3">
        <v>22.483999999999991</v>
      </c>
      <c r="G335" s="9">
        <v>4626.1200000000026</v>
      </c>
      <c r="H335">
        <f t="shared" si="56"/>
        <v>-1.7454007999999983</v>
      </c>
      <c r="I335">
        <f t="shared" si="50"/>
        <v>-1.7454007999999983</v>
      </c>
      <c r="J335">
        <f t="shared" si="51"/>
        <v>-0.37729259076720822</v>
      </c>
      <c r="K335">
        <f t="shared" si="52"/>
        <v>-9.9999999999988987E-5</v>
      </c>
      <c r="L335">
        <f t="shared" si="53"/>
        <v>-3.8333333333251396E-4</v>
      </c>
      <c r="M335">
        <f t="shared" si="57"/>
        <v>-2.4166666666625147E-4</v>
      </c>
      <c r="N335">
        <f t="shared" si="58"/>
        <v>-3.1154428488559946E-4</v>
      </c>
      <c r="O335" s="3">
        <f t="shared" si="59"/>
        <v>-3.1154428488559947</v>
      </c>
      <c r="P335">
        <v>666</v>
      </c>
    </row>
    <row r="336" spans="1:16" x14ac:dyDescent="0.25">
      <c r="A336">
        <v>334</v>
      </c>
      <c r="B336">
        <v>3.4941</v>
      </c>
      <c r="C336" s="3">
        <v>3.4164285714285723</v>
      </c>
      <c r="D336" s="8">
        <f t="shared" si="54"/>
        <v>-7.7671428571427725E-2</v>
      </c>
      <c r="E336" s="8">
        <f t="shared" si="55"/>
        <v>-7.7466666666666129E-2</v>
      </c>
      <c r="F336" s="3">
        <v>22.431999999999995</v>
      </c>
      <c r="G336" s="9">
        <v>4617.760000000002</v>
      </c>
      <c r="H336">
        <f t="shared" si="56"/>
        <v>-1.7377322666666541</v>
      </c>
      <c r="I336">
        <f t="shared" si="50"/>
        <v>-1.7377322666666541</v>
      </c>
      <c r="J336">
        <f t="shared" si="51"/>
        <v>-0.37631498100088639</v>
      </c>
      <c r="K336">
        <f t="shared" si="52"/>
        <v>-5.5000000000005045E-4</v>
      </c>
      <c r="L336">
        <f t="shared" si="53"/>
        <v>-3.8809523809479884E-4</v>
      </c>
      <c r="M336">
        <f t="shared" si="57"/>
        <v>-4.6904761904742465E-4</v>
      </c>
      <c r="N336">
        <f t="shared" si="58"/>
        <v>-1.6010055447415839E-4</v>
      </c>
      <c r="O336" s="3">
        <f t="shared" si="59"/>
        <v>-1.6010055447415839</v>
      </c>
      <c r="P336">
        <v>668</v>
      </c>
    </row>
    <row r="337" spans="1:16" x14ac:dyDescent="0.25">
      <c r="A337">
        <v>335</v>
      </c>
      <c r="B337">
        <v>3.4933000000000001</v>
      </c>
      <c r="C337" s="3">
        <v>3.4160380952380955</v>
      </c>
      <c r="D337" s="8">
        <f t="shared" si="54"/>
        <v>-7.7261904761904532E-2</v>
      </c>
      <c r="E337" s="8">
        <f t="shared" si="55"/>
        <v>-7.7554761904761627E-2</v>
      </c>
      <c r="F337" s="3">
        <v>22.379999999999995</v>
      </c>
      <c r="G337" s="9">
        <v>4609.4000000000015</v>
      </c>
      <c r="H337">
        <f t="shared" si="56"/>
        <v>-1.7356755714285648</v>
      </c>
      <c r="I337">
        <f t="shared" si="50"/>
        <v>-1.7356755714285648</v>
      </c>
      <c r="J337">
        <f t="shared" si="51"/>
        <v>-0.37655130199777936</v>
      </c>
      <c r="K337">
        <f t="shared" si="52"/>
        <v>-2.9999999999996696E-4</v>
      </c>
      <c r="L337">
        <f t="shared" si="53"/>
        <v>-3.8809523809546498E-4</v>
      </c>
      <c r="M337">
        <f t="shared" si="57"/>
        <v>-3.4404761904771597E-4</v>
      </c>
      <c r="N337">
        <f t="shared" si="58"/>
        <v>-2.184056458709277E-4</v>
      </c>
      <c r="O337" s="3">
        <f t="shared" si="59"/>
        <v>-2.1840564587092768</v>
      </c>
      <c r="P337">
        <v>670</v>
      </c>
    </row>
    <row r="338" spans="1:16" x14ac:dyDescent="0.25">
      <c r="A338">
        <v>336</v>
      </c>
      <c r="B338">
        <v>3.4935</v>
      </c>
      <c r="C338" s="3">
        <v>3.4156523809523813</v>
      </c>
      <c r="D338" s="8">
        <f t="shared" si="54"/>
        <v>-7.7847619047618721E-2</v>
      </c>
      <c r="E338" s="8">
        <f t="shared" si="55"/>
        <v>-7.7597619047618638E-2</v>
      </c>
      <c r="F338" s="3">
        <v>22.327999999999996</v>
      </c>
      <c r="G338" s="9">
        <v>4601.0400000000018</v>
      </c>
      <c r="H338">
        <f t="shared" si="56"/>
        <v>-1.7325996380952287</v>
      </c>
      <c r="I338">
        <f t="shared" si="50"/>
        <v>-1.7325996380952287</v>
      </c>
      <c r="J338">
        <f t="shared" si="51"/>
        <v>-0.37656695836055065</v>
      </c>
      <c r="K338">
        <f t="shared" si="52"/>
        <v>-3.5000000000007248E-4</v>
      </c>
      <c r="L338">
        <f t="shared" si="53"/>
        <v>-3.9285714285708373E-4</v>
      </c>
      <c r="M338">
        <f t="shared" si="57"/>
        <v>-3.714285714285781E-4</v>
      </c>
      <c r="N338">
        <f t="shared" si="58"/>
        <v>-2.023136411763655E-4</v>
      </c>
      <c r="O338" s="3">
        <f t="shared" si="59"/>
        <v>-2.0231364117636552</v>
      </c>
      <c r="P338">
        <v>672</v>
      </c>
    </row>
    <row r="339" spans="1:16" x14ac:dyDescent="0.25">
      <c r="A339">
        <v>337</v>
      </c>
      <c r="B339">
        <v>3.4925999999999999</v>
      </c>
      <c r="C339" s="3">
        <v>3.4152523809523814</v>
      </c>
      <c r="D339" s="8">
        <f t="shared" si="54"/>
        <v>-7.7347619047618554E-2</v>
      </c>
      <c r="E339" s="8">
        <f t="shared" si="55"/>
        <v>-7.7223809523808917E-2</v>
      </c>
      <c r="F339" s="3">
        <v>22.275999999999993</v>
      </c>
      <c r="G339" s="9">
        <v>4592.6800000000021</v>
      </c>
      <c r="H339">
        <f t="shared" si="56"/>
        <v>-1.7202375809523669</v>
      </c>
      <c r="I339">
        <f t="shared" si="50"/>
        <v>-1.7202375809523669</v>
      </c>
      <c r="J339">
        <f t="shared" si="51"/>
        <v>-0.37456073163215509</v>
      </c>
      <c r="K339">
        <f t="shared" si="52"/>
        <v>-8.0000000000013394E-4</v>
      </c>
      <c r="L339">
        <f t="shared" si="53"/>
        <v>-4.2619047619041339E-4</v>
      </c>
      <c r="M339">
        <f t="shared" si="57"/>
        <v>-6.1309523809527366E-4</v>
      </c>
      <c r="N339">
        <f t="shared" si="58"/>
        <v>-1.2191371505342287E-4</v>
      </c>
      <c r="O339" s="3">
        <f t="shared" si="59"/>
        <v>-1.2191371505342288</v>
      </c>
      <c r="P339">
        <v>674</v>
      </c>
    </row>
    <row r="340" spans="1:16" x14ac:dyDescent="0.25">
      <c r="A340">
        <v>338</v>
      </c>
      <c r="B340">
        <v>3.4918999999999998</v>
      </c>
      <c r="C340" s="3">
        <v>3.4148000000000005</v>
      </c>
      <c r="D340" s="8">
        <f t="shared" si="54"/>
        <v>-7.709999999999928E-2</v>
      </c>
      <c r="E340" s="8">
        <f t="shared" si="55"/>
        <v>-7.7228571428571202E-2</v>
      </c>
      <c r="F340" s="3">
        <v>22.223999999999997</v>
      </c>
      <c r="G340" s="9">
        <v>4584.3200000000015</v>
      </c>
      <c r="H340">
        <f t="shared" si="56"/>
        <v>-1.7163277714285661</v>
      </c>
      <c r="I340">
        <f t="shared" si="50"/>
        <v>-1.7163277714285661</v>
      </c>
      <c r="J340">
        <f t="shared" si="51"/>
        <v>-0.37439091761233195</v>
      </c>
      <c r="K340">
        <f t="shared" si="52"/>
        <v>-3.9999999999995595E-4</v>
      </c>
      <c r="L340">
        <f t="shared" si="53"/>
        <v>-4.0476190476224083E-4</v>
      </c>
      <c r="M340">
        <f t="shared" si="57"/>
        <v>-4.0238095238109839E-4</v>
      </c>
      <c r="N340">
        <f t="shared" si="58"/>
        <v>-1.8567188833949511E-4</v>
      </c>
      <c r="O340" s="3">
        <f t="shared" si="59"/>
        <v>-1.8567188833949511</v>
      </c>
      <c r="P340">
        <v>676</v>
      </c>
    </row>
    <row r="341" spans="1:16" x14ac:dyDescent="0.25">
      <c r="A341">
        <v>339</v>
      </c>
      <c r="B341">
        <v>3.4918</v>
      </c>
      <c r="C341" s="3">
        <v>3.4144428571428569</v>
      </c>
      <c r="D341" s="8">
        <f t="shared" si="54"/>
        <v>-7.7357142857143124E-2</v>
      </c>
      <c r="E341" s="8">
        <f t="shared" si="55"/>
        <v>-7.7347619047618998E-2</v>
      </c>
      <c r="F341" s="3">
        <v>22.171999999999997</v>
      </c>
      <c r="G341" s="9">
        <v>4575.9600000000009</v>
      </c>
      <c r="H341">
        <f t="shared" si="56"/>
        <v>-1.7149514095238083</v>
      </c>
      <c r="I341">
        <f t="shared" si="50"/>
        <v>-1.7149514095238083</v>
      </c>
      <c r="J341">
        <f t="shared" si="51"/>
        <v>-0.37477412598095439</v>
      </c>
      <c r="K341">
        <f t="shared" si="52"/>
        <v>-2.9999999999996696E-4</v>
      </c>
      <c r="L341">
        <f t="shared" si="53"/>
        <v>-4.1904761904776322E-4</v>
      </c>
      <c r="M341">
        <f t="shared" si="57"/>
        <v>-3.5952380952386509E-4</v>
      </c>
      <c r="N341">
        <f t="shared" si="58"/>
        <v>-2.080176601921319E-4</v>
      </c>
      <c r="O341" s="3">
        <f t="shared" si="59"/>
        <v>-2.0801766019213193</v>
      </c>
      <c r="P341">
        <v>678</v>
      </c>
    </row>
    <row r="342" spans="1:16" x14ac:dyDescent="0.25">
      <c r="A342">
        <v>340</v>
      </c>
      <c r="B342">
        <v>3.4912999999999998</v>
      </c>
      <c r="C342" s="3">
        <v>3.413961904761905</v>
      </c>
      <c r="D342" s="8">
        <f t="shared" si="54"/>
        <v>-7.7338095238094873E-2</v>
      </c>
      <c r="E342" s="8">
        <f t="shared" si="55"/>
        <v>-7.6876190476190098E-2</v>
      </c>
      <c r="F342" s="3">
        <v>22.119999999999997</v>
      </c>
      <c r="G342" s="9">
        <v>4567.6000000000013</v>
      </c>
      <c r="H342">
        <f t="shared" si="56"/>
        <v>-1.7005013333333248</v>
      </c>
      <c r="I342">
        <f t="shared" si="50"/>
        <v>-1.7005013333333248</v>
      </c>
      <c r="J342">
        <f t="shared" si="51"/>
        <v>-0.37229646495606539</v>
      </c>
      <c r="K342">
        <f t="shared" si="52"/>
        <v>-1.0000000000001119E-3</v>
      </c>
      <c r="L342">
        <f t="shared" si="53"/>
        <v>-5.2857142857121175E-4</v>
      </c>
      <c r="M342">
        <f t="shared" si="57"/>
        <v>-7.6428571428566183E-4</v>
      </c>
      <c r="N342">
        <f t="shared" si="58"/>
        <v>-9.7205633388411329E-5</v>
      </c>
      <c r="O342" s="3">
        <f t="shared" si="59"/>
        <v>-0.97205633388411328</v>
      </c>
      <c r="P342">
        <v>680</v>
      </c>
    </row>
    <row r="343" spans="1:16" x14ac:dyDescent="0.25">
      <c r="A343">
        <v>341</v>
      </c>
      <c r="B343">
        <v>3.4897999999999998</v>
      </c>
      <c r="C343" s="3">
        <v>3.4133857142857145</v>
      </c>
      <c r="D343" s="8">
        <f t="shared" si="54"/>
        <v>-7.6414285714285324E-2</v>
      </c>
      <c r="E343" s="8">
        <f t="shared" si="55"/>
        <v>-7.6133333333332942E-2</v>
      </c>
      <c r="F343" s="3">
        <v>22.067999999999994</v>
      </c>
      <c r="G343" s="9">
        <v>4559.2400000000016</v>
      </c>
      <c r="H343">
        <f t="shared" si="56"/>
        <v>-1.6801103999999909</v>
      </c>
      <c r="I343">
        <f t="shared" si="50"/>
        <v>-1.6801103999999909</v>
      </c>
      <c r="J343">
        <f t="shared" si="51"/>
        <v>-0.36850668093804895</v>
      </c>
      <c r="K343">
        <f t="shared" si="52"/>
        <v>-1.2999999999998568E-3</v>
      </c>
      <c r="L343">
        <f t="shared" si="53"/>
        <v>-5.5714285714270062E-4</v>
      </c>
      <c r="M343">
        <f t="shared" si="57"/>
        <v>-9.2857142857127872E-4</v>
      </c>
      <c r="N343">
        <f t="shared" si="58"/>
        <v>-7.9193276800482585E-5</v>
      </c>
      <c r="O343" s="3">
        <f t="shared" si="59"/>
        <v>-0.79193276800482582</v>
      </c>
      <c r="P343">
        <v>682</v>
      </c>
    </row>
    <row r="344" spans="1:16" x14ac:dyDescent="0.25">
      <c r="A344">
        <v>342</v>
      </c>
      <c r="B344">
        <v>3.4887000000000001</v>
      </c>
      <c r="C344" s="3">
        <v>3.4128476190476196</v>
      </c>
      <c r="D344" s="8">
        <f t="shared" si="54"/>
        <v>-7.585238095238056E-2</v>
      </c>
      <c r="E344" s="8">
        <f t="shared" si="55"/>
        <v>-7.5876190476190208E-2</v>
      </c>
      <c r="F344" s="3">
        <v>22.015999999999998</v>
      </c>
      <c r="G344" s="9">
        <v>4550.880000000001</v>
      </c>
      <c r="H344">
        <f t="shared" si="56"/>
        <v>-1.6704902095238034</v>
      </c>
      <c r="I344">
        <f t="shared" si="50"/>
        <v>-1.6704902095238034</v>
      </c>
      <c r="J344">
        <f t="shared" si="51"/>
        <v>-0.36706971168736663</v>
      </c>
      <c r="K344">
        <f t="shared" si="52"/>
        <v>-7.4999999999980638E-4</v>
      </c>
      <c r="L344">
        <f t="shared" si="53"/>
        <v>-4.9285714285707272E-4</v>
      </c>
      <c r="M344">
        <f t="shared" si="57"/>
        <v>-6.2142857142843955E-4</v>
      </c>
      <c r="N344">
        <f t="shared" si="58"/>
        <v>-1.1787334218761981E-4</v>
      </c>
      <c r="O344" s="3">
        <f t="shared" si="59"/>
        <v>-1.178733421876198</v>
      </c>
      <c r="P344">
        <v>684</v>
      </c>
    </row>
    <row r="345" spans="1:16" x14ac:dyDescent="0.25">
      <c r="A345">
        <v>343</v>
      </c>
      <c r="B345">
        <v>3.4883000000000002</v>
      </c>
      <c r="C345" s="3">
        <v>3.4124000000000003</v>
      </c>
      <c r="D345" s="8">
        <f t="shared" si="54"/>
        <v>-7.5899999999999856E-2</v>
      </c>
      <c r="E345" s="8">
        <f t="shared" si="55"/>
        <v>-7.5816666666666865E-2</v>
      </c>
      <c r="F345" s="3">
        <v>21.963999999999999</v>
      </c>
      <c r="G345" s="9">
        <v>4542.5200000000004</v>
      </c>
      <c r="H345">
        <f t="shared" si="56"/>
        <v>-1.6652372666666708</v>
      </c>
      <c r="I345">
        <f t="shared" ref="I345:I408" si="60">H345</f>
        <v>-1.6652372666666708</v>
      </c>
      <c r="J345">
        <f t="shared" ref="J345:J408" si="61">(I345/G345)*1000</f>
        <v>-0.3665888684401325</v>
      </c>
      <c r="K345">
        <f t="shared" ref="K345:K408" si="62">(B346-B344)/(A346-A344)</f>
        <v>-4.5000000000006146E-4</v>
      </c>
      <c r="L345">
        <f t="shared" ref="L345:L408" si="63">(C346-C344)/(A346-A344)</f>
        <v>-3.9047619047671844E-4</v>
      </c>
      <c r="M345">
        <f t="shared" si="57"/>
        <v>-4.2023809523838995E-4</v>
      </c>
      <c r="N345">
        <f t="shared" si="58"/>
        <v>-1.7407729037635319E-4</v>
      </c>
      <c r="O345" s="3">
        <f t="shared" si="59"/>
        <v>-1.740772903763532</v>
      </c>
      <c r="P345">
        <v>686</v>
      </c>
    </row>
    <row r="346" spans="1:16" x14ac:dyDescent="0.25">
      <c r="A346">
        <v>344</v>
      </c>
      <c r="B346">
        <v>3.4878</v>
      </c>
      <c r="C346" s="3">
        <v>3.4120666666666661</v>
      </c>
      <c r="D346" s="8">
        <f t="shared" ref="D346:D409" si="64">C346-B346</f>
        <v>-7.5733333333333874E-2</v>
      </c>
      <c r="E346" s="8">
        <f t="shared" si="55"/>
        <v>-7.6147619047619575E-2</v>
      </c>
      <c r="F346" s="3">
        <v>21.911999999999999</v>
      </c>
      <c r="G346" s="9">
        <v>4534.1600000000008</v>
      </c>
      <c r="H346">
        <f t="shared" si="56"/>
        <v>-1.6685466285714401</v>
      </c>
      <c r="I346">
        <f t="shared" si="60"/>
        <v>-1.6685466285714401</v>
      </c>
      <c r="J346">
        <f t="shared" si="61"/>
        <v>-0.3679946513955043</v>
      </c>
      <c r="K346">
        <f t="shared" si="62"/>
        <v>0</v>
      </c>
      <c r="L346">
        <f t="shared" si="63"/>
        <v>-3.3095238095270929E-4</v>
      </c>
      <c r="M346">
        <f t="shared" si="57"/>
        <v>-1.6547619047635465E-4</v>
      </c>
      <c r="N346">
        <f t="shared" si="58"/>
        <v>-4.4377645465799333E-4</v>
      </c>
      <c r="O346" s="3">
        <f t="shared" si="59"/>
        <v>-4.4377645465799329</v>
      </c>
      <c r="P346">
        <v>688</v>
      </c>
    </row>
    <row r="347" spans="1:16" x14ac:dyDescent="0.25">
      <c r="A347">
        <v>345</v>
      </c>
      <c r="B347">
        <v>3.4883000000000002</v>
      </c>
      <c r="C347" s="3">
        <v>3.4117380952380949</v>
      </c>
      <c r="D347" s="8">
        <f t="shared" si="64"/>
        <v>-7.6561904761905275E-2</v>
      </c>
      <c r="E347" s="8">
        <f t="shared" si="55"/>
        <v>-7.6042857142857523E-2</v>
      </c>
      <c r="F347" s="3">
        <v>21.859999999999996</v>
      </c>
      <c r="G347" s="9">
        <v>4525.8000000000011</v>
      </c>
      <c r="H347">
        <f t="shared" si="56"/>
        <v>-1.6622968571428651</v>
      </c>
      <c r="I347">
        <f t="shared" si="60"/>
        <v>-1.6622968571428651</v>
      </c>
      <c r="J347">
        <f t="shared" si="61"/>
        <v>-0.36729348560317837</v>
      </c>
      <c r="K347">
        <f t="shared" si="62"/>
        <v>-4.5000000000006146E-4</v>
      </c>
      <c r="L347">
        <f t="shared" si="63"/>
        <v>-3.4523809523800963E-4</v>
      </c>
      <c r="M347">
        <f t="shared" si="57"/>
        <v>-3.9761904761903555E-4</v>
      </c>
      <c r="N347">
        <f t="shared" si="58"/>
        <v>-1.8433351681854156E-4</v>
      </c>
      <c r="O347" s="3">
        <f t="shared" si="59"/>
        <v>-1.8433351681854155</v>
      </c>
      <c r="P347">
        <v>690</v>
      </c>
    </row>
    <row r="348" spans="1:16" x14ac:dyDescent="0.25">
      <c r="A348">
        <v>346</v>
      </c>
      <c r="B348">
        <v>3.4868999999999999</v>
      </c>
      <c r="C348" s="3">
        <v>3.4113761904761901</v>
      </c>
      <c r="D348" s="8">
        <f t="shared" si="64"/>
        <v>-7.5523809523809771E-2</v>
      </c>
      <c r="E348" s="8">
        <f t="shared" si="55"/>
        <v>-7.5714285714285845E-2</v>
      </c>
      <c r="F348" s="3">
        <v>21.808</v>
      </c>
      <c r="G348" s="9">
        <v>4517.4400000000005</v>
      </c>
      <c r="H348">
        <f t="shared" si="56"/>
        <v>-1.6511771428571458</v>
      </c>
      <c r="I348">
        <f t="shared" si="60"/>
        <v>-1.6511771428571458</v>
      </c>
      <c r="J348">
        <f t="shared" si="61"/>
        <v>-0.365511693095458</v>
      </c>
      <c r="K348">
        <f t="shared" si="62"/>
        <v>-7.0000000000014495E-4</v>
      </c>
      <c r="L348">
        <f t="shared" si="63"/>
        <v>-3.7142857142846708E-4</v>
      </c>
      <c r="M348">
        <f t="shared" si="57"/>
        <v>-5.3571428571430602E-4</v>
      </c>
      <c r="N348">
        <f t="shared" si="58"/>
        <v>-1.3615271667029102E-4</v>
      </c>
      <c r="O348" s="3">
        <f t="shared" si="59"/>
        <v>-1.3615271667029101</v>
      </c>
      <c r="P348">
        <v>692</v>
      </c>
    </row>
    <row r="349" spans="1:16" x14ac:dyDescent="0.25">
      <c r="A349">
        <v>347</v>
      </c>
      <c r="B349">
        <v>3.4868999999999999</v>
      </c>
      <c r="C349" s="3">
        <v>3.410995238095238</v>
      </c>
      <c r="D349" s="8">
        <f t="shared" si="64"/>
        <v>-7.5904761904761919E-2</v>
      </c>
      <c r="E349" s="8">
        <f t="shared" si="55"/>
        <v>-7.559047619047643E-2</v>
      </c>
      <c r="F349" s="3">
        <v>21.756</v>
      </c>
      <c r="G349" s="9">
        <v>4509.08</v>
      </c>
      <c r="H349">
        <f t="shared" si="56"/>
        <v>-1.6445464000000052</v>
      </c>
      <c r="I349">
        <f t="shared" si="60"/>
        <v>-1.6445464000000052</v>
      </c>
      <c r="J349">
        <f t="shared" si="61"/>
        <v>-0.36471883399718019</v>
      </c>
      <c r="K349">
        <f t="shared" si="62"/>
        <v>-4.4999999999983942E-4</v>
      </c>
      <c r="L349">
        <f t="shared" si="63"/>
        <v>-3.2619047619042441E-4</v>
      </c>
      <c r="M349">
        <f t="shared" si="57"/>
        <v>-3.8809523809513191E-4</v>
      </c>
      <c r="N349">
        <f t="shared" si="58"/>
        <v>-1.8753318980068399E-4</v>
      </c>
      <c r="O349" s="3">
        <f t="shared" si="59"/>
        <v>-1.8753318980068399</v>
      </c>
      <c r="P349">
        <v>694</v>
      </c>
    </row>
    <row r="350" spans="1:16" x14ac:dyDescent="0.25">
      <c r="A350">
        <v>348</v>
      </c>
      <c r="B350">
        <v>3.4860000000000002</v>
      </c>
      <c r="C350" s="3">
        <v>3.4107238095238093</v>
      </c>
      <c r="D350" s="8">
        <f t="shared" si="64"/>
        <v>-7.5276190476190941E-2</v>
      </c>
      <c r="E350" s="8">
        <f t="shared" si="55"/>
        <v>-7.5273809523809687E-2</v>
      </c>
      <c r="F350" s="3">
        <v>21.704000000000001</v>
      </c>
      <c r="G350" s="9">
        <v>4500.72</v>
      </c>
      <c r="H350">
        <f t="shared" si="56"/>
        <v>-1.6337427619047655</v>
      </c>
      <c r="I350">
        <f t="shared" si="60"/>
        <v>-1.6337427619047655</v>
      </c>
      <c r="J350">
        <f t="shared" si="61"/>
        <v>-0.3629958677511077</v>
      </c>
      <c r="K350">
        <f t="shared" si="62"/>
        <v>-6.9999999999992291E-4</v>
      </c>
      <c r="L350">
        <f t="shared" si="63"/>
        <v>-3.8333333333318009E-4</v>
      </c>
      <c r="M350">
        <f t="shared" si="57"/>
        <v>-5.416666666665515E-4</v>
      </c>
      <c r="N350">
        <f t="shared" si="58"/>
        <v>-1.3372968897405868E-4</v>
      </c>
      <c r="O350" s="3">
        <f t="shared" si="59"/>
        <v>-1.3372968897405868</v>
      </c>
      <c r="P350">
        <v>696</v>
      </c>
    </row>
    <row r="351" spans="1:16" x14ac:dyDescent="0.25">
      <c r="A351">
        <v>349</v>
      </c>
      <c r="B351">
        <v>3.4855</v>
      </c>
      <c r="C351" s="3">
        <v>3.4102285714285716</v>
      </c>
      <c r="D351" s="8">
        <f t="shared" si="64"/>
        <v>-7.5271428571428434E-2</v>
      </c>
      <c r="E351" s="8">
        <f t="shared" si="55"/>
        <v>-7.556666666666656E-2</v>
      </c>
      <c r="F351" s="3">
        <v>21.651999999999997</v>
      </c>
      <c r="G351" s="9">
        <v>4492.3600000000006</v>
      </c>
      <c r="H351">
        <f t="shared" si="56"/>
        <v>-1.6361694666666642</v>
      </c>
      <c r="I351">
        <f t="shared" si="60"/>
        <v>-1.6361694666666642</v>
      </c>
      <c r="J351">
        <f t="shared" si="61"/>
        <v>-0.36421156511647867</v>
      </c>
      <c r="K351">
        <f t="shared" si="62"/>
        <v>-2.5000000000008349E-4</v>
      </c>
      <c r="L351">
        <f t="shared" si="63"/>
        <v>-5.4285714285695619E-4</v>
      </c>
      <c r="M351">
        <f t="shared" si="57"/>
        <v>-3.9642857142851984E-4</v>
      </c>
      <c r="N351">
        <f t="shared" si="58"/>
        <v>-1.8333570321871315E-4</v>
      </c>
      <c r="O351" s="3">
        <f t="shared" si="59"/>
        <v>-1.8333570321871315</v>
      </c>
      <c r="P351">
        <v>698</v>
      </c>
    </row>
    <row r="352" spans="1:16" x14ac:dyDescent="0.25">
      <c r="A352">
        <v>350</v>
      </c>
      <c r="B352">
        <v>3.4855</v>
      </c>
      <c r="C352" s="3">
        <v>3.4096380952380954</v>
      </c>
      <c r="D352" s="8">
        <f t="shared" si="64"/>
        <v>-7.5861904761904686E-2</v>
      </c>
      <c r="E352" s="8">
        <f t="shared" si="55"/>
        <v>-7.5883333333333081E-2</v>
      </c>
      <c r="F352" s="3">
        <v>21.6</v>
      </c>
      <c r="G352">
        <v>4484</v>
      </c>
      <c r="H352">
        <f t="shared" si="56"/>
        <v>-1.6390799999999945</v>
      </c>
      <c r="I352">
        <f t="shared" si="60"/>
        <v>-1.6390799999999945</v>
      </c>
      <c r="J352">
        <f t="shared" si="61"/>
        <v>-0.36553969669937436</v>
      </c>
      <c r="K352">
        <f t="shared" si="62"/>
        <v>-1.9999999999997797E-4</v>
      </c>
      <c r="L352">
        <f t="shared" si="63"/>
        <v>-5.1666666666649874E-4</v>
      </c>
      <c r="M352">
        <f t="shared" si="57"/>
        <v>-3.5833333333323836E-4</v>
      </c>
      <c r="N352">
        <f t="shared" si="58"/>
        <v>-2.0356616808087812E-4</v>
      </c>
      <c r="O352" s="3">
        <f t="shared" si="59"/>
        <v>-2.0356616808087811</v>
      </c>
      <c r="P352">
        <v>700</v>
      </c>
    </row>
    <row r="353" spans="1:16" x14ac:dyDescent="0.25">
      <c r="A353">
        <v>351</v>
      </c>
      <c r="B353">
        <v>3.4851000000000001</v>
      </c>
      <c r="C353" s="3">
        <v>3.4091952380952386</v>
      </c>
      <c r="D353" s="8">
        <f t="shared" si="64"/>
        <v>-7.5904761904761475E-2</v>
      </c>
      <c r="E353" s="8">
        <f t="shared" si="55"/>
        <v>-7.5952380952380771E-2</v>
      </c>
      <c r="F353" s="3">
        <v>21.556000000000001</v>
      </c>
      <c r="G353" s="9">
        <v>4471.5600000000004</v>
      </c>
      <c r="H353">
        <f t="shared" si="56"/>
        <v>-1.63722952380952</v>
      </c>
      <c r="I353">
        <f t="shared" si="60"/>
        <v>-1.63722952380952</v>
      </c>
      <c r="J353">
        <f t="shared" si="61"/>
        <v>-0.36614280560017531</v>
      </c>
      <c r="K353">
        <f t="shared" si="62"/>
        <v>-3.9999999999995595E-4</v>
      </c>
      <c r="L353">
        <f t="shared" si="63"/>
        <v>-4.6904761904764669E-4</v>
      </c>
      <c r="M353">
        <f t="shared" si="57"/>
        <v>-4.3452380952380132E-4</v>
      </c>
      <c r="N353">
        <f t="shared" si="58"/>
        <v>-1.6814934913145409E-4</v>
      </c>
      <c r="O353" s="3">
        <f t="shared" si="59"/>
        <v>-1.681493491314541</v>
      </c>
      <c r="P353">
        <v>702</v>
      </c>
    </row>
    <row r="354" spans="1:16" x14ac:dyDescent="0.25">
      <c r="A354">
        <v>352</v>
      </c>
      <c r="B354">
        <v>3.4847000000000001</v>
      </c>
      <c r="C354" s="3">
        <v>3.4087000000000001</v>
      </c>
      <c r="D354" s="8">
        <f t="shared" si="64"/>
        <v>-7.6000000000000068E-2</v>
      </c>
      <c r="E354" s="8">
        <f t="shared" si="55"/>
        <v>-7.6340476190476014E-2</v>
      </c>
      <c r="F354" s="3">
        <v>21.512</v>
      </c>
      <c r="G354" s="9">
        <v>4459.1200000000008</v>
      </c>
      <c r="H354">
        <f t="shared" si="56"/>
        <v>-1.6422363238095201</v>
      </c>
      <c r="I354">
        <f t="shared" si="60"/>
        <v>-1.6422363238095201</v>
      </c>
      <c r="J354">
        <f t="shared" si="61"/>
        <v>-0.36828708888962841</v>
      </c>
      <c r="K354">
        <f t="shared" si="62"/>
        <v>-5.0000000000105516E-5</v>
      </c>
      <c r="L354">
        <f t="shared" si="63"/>
        <v>-4.3809523809534845E-4</v>
      </c>
      <c r="M354">
        <f t="shared" si="57"/>
        <v>-2.4404761904772698E-4</v>
      </c>
      <c r="N354">
        <f t="shared" si="58"/>
        <v>-3.0114120435312806E-4</v>
      </c>
      <c r="O354" s="3">
        <f t="shared" si="59"/>
        <v>-3.0114120435312808</v>
      </c>
      <c r="P354">
        <v>704</v>
      </c>
    </row>
    <row r="355" spans="1:16" x14ac:dyDescent="0.25">
      <c r="A355">
        <v>353</v>
      </c>
      <c r="B355">
        <v>3.4849999999999999</v>
      </c>
      <c r="C355" s="3">
        <v>3.4083190476190479</v>
      </c>
      <c r="D355" s="8">
        <f t="shared" si="64"/>
        <v>-7.6680952380951961E-2</v>
      </c>
      <c r="E355" s="8">
        <f t="shared" si="55"/>
        <v>-7.6585714285713591E-2</v>
      </c>
      <c r="F355" s="3">
        <v>21.468</v>
      </c>
      <c r="G355" s="9">
        <v>4446.6800000000012</v>
      </c>
      <c r="H355">
        <f t="shared" si="56"/>
        <v>-1.6441421142856993</v>
      </c>
      <c r="I355">
        <f t="shared" si="60"/>
        <v>-1.6441421142856993</v>
      </c>
      <c r="J355">
        <f t="shared" si="61"/>
        <v>-0.369745993479562</v>
      </c>
      <c r="K355">
        <f t="shared" si="62"/>
        <v>-1.500000000000945E-4</v>
      </c>
      <c r="L355">
        <f t="shared" si="63"/>
        <v>-3.9523809523767106E-4</v>
      </c>
      <c r="M355">
        <f t="shared" si="57"/>
        <v>-2.7261904761888278E-4</v>
      </c>
      <c r="N355">
        <f t="shared" si="58"/>
        <v>-2.7064845011194128E-4</v>
      </c>
      <c r="O355" s="3">
        <f t="shared" si="59"/>
        <v>-2.7064845011194127</v>
      </c>
      <c r="P355">
        <v>706</v>
      </c>
    </row>
    <row r="356" spans="1:16" x14ac:dyDescent="0.25">
      <c r="A356">
        <v>354</v>
      </c>
      <c r="B356">
        <v>3.4843999999999999</v>
      </c>
      <c r="C356" s="3">
        <v>3.4079095238095247</v>
      </c>
      <c r="D356" s="8">
        <f t="shared" si="64"/>
        <v>-7.6490476190475221E-2</v>
      </c>
      <c r="E356" s="8">
        <f t="shared" si="55"/>
        <v>-7.6330952380952111E-2</v>
      </c>
      <c r="F356" s="3">
        <v>21.423999999999999</v>
      </c>
      <c r="G356" s="9">
        <v>4434.2400000000016</v>
      </c>
      <c r="H356">
        <f t="shared" si="56"/>
        <v>-1.635314323809518</v>
      </c>
      <c r="I356">
        <f t="shared" si="60"/>
        <v>-1.635314323809518</v>
      </c>
      <c r="J356">
        <f t="shared" si="61"/>
        <v>-0.36879247036910889</v>
      </c>
      <c r="K356">
        <f t="shared" si="62"/>
        <v>-7.5000000000002842E-4</v>
      </c>
      <c r="L356">
        <f t="shared" si="63"/>
        <v>-4.9523809523854823E-4</v>
      </c>
      <c r="M356">
        <f t="shared" si="57"/>
        <v>-6.2261904761928832E-4</v>
      </c>
      <c r="N356">
        <f t="shared" si="58"/>
        <v>-1.1820011705707768E-4</v>
      </c>
      <c r="O356" s="3">
        <f t="shared" si="59"/>
        <v>-1.1820011705707769</v>
      </c>
      <c r="P356">
        <v>708</v>
      </c>
    </row>
    <row r="357" spans="1:16" x14ac:dyDescent="0.25">
      <c r="A357">
        <v>355</v>
      </c>
      <c r="B357">
        <v>3.4834999999999998</v>
      </c>
      <c r="C357" s="3">
        <v>3.4073285714285708</v>
      </c>
      <c r="D357" s="8">
        <f t="shared" si="64"/>
        <v>-7.6171428571429001E-2</v>
      </c>
      <c r="E357" s="8">
        <f t="shared" si="55"/>
        <v>-7.6221428571429106E-2</v>
      </c>
      <c r="F357" s="3">
        <v>21.380000000000003</v>
      </c>
      <c r="G357" s="9">
        <v>4421.8000000000011</v>
      </c>
      <c r="H357">
        <f t="shared" si="56"/>
        <v>-1.6296141428571544</v>
      </c>
      <c r="I357">
        <f t="shared" si="60"/>
        <v>-1.6296141428571544</v>
      </c>
      <c r="J357">
        <f t="shared" si="61"/>
        <v>-0.36854089801826273</v>
      </c>
      <c r="K357">
        <f t="shared" si="62"/>
        <v>-5.9999999999993392E-4</v>
      </c>
      <c r="L357">
        <f t="shared" si="63"/>
        <v>-4.9047619047692947E-4</v>
      </c>
      <c r="M357">
        <f t="shared" si="57"/>
        <v>-5.452380952384317E-4</v>
      </c>
      <c r="N357">
        <f t="shared" si="58"/>
        <v>-1.3488316927076784E-4</v>
      </c>
      <c r="O357" s="3">
        <f t="shared" si="59"/>
        <v>-1.3488316927076784</v>
      </c>
      <c r="P357">
        <v>710</v>
      </c>
    </row>
    <row r="358" spans="1:16" x14ac:dyDescent="0.25">
      <c r="A358">
        <v>356</v>
      </c>
      <c r="B358">
        <v>3.4832000000000001</v>
      </c>
      <c r="C358" s="3">
        <v>3.4069285714285709</v>
      </c>
      <c r="D358" s="8">
        <f t="shared" si="64"/>
        <v>-7.6271428571429212E-2</v>
      </c>
      <c r="E358" s="8">
        <f t="shared" si="55"/>
        <v>-7.6311904761905192E-2</v>
      </c>
      <c r="F358" s="3">
        <v>21.336000000000002</v>
      </c>
      <c r="G358" s="9">
        <v>4409.3600000000006</v>
      </c>
      <c r="H358">
        <f t="shared" si="56"/>
        <v>-1.6281908000000094</v>
      </c>
      <c r="I358">
        <f t="shared" si="60"/>
        <v>-1.6281908000000094</v>
      </c>
      <c r="J358">
        <f t="shared" si="61"/>
        <v>-0.3692578514795819</v>
      </c>
      <c r="K358">
        <f t="shared" si="62"/>
        <v>-2.4999999999986144E-4</v>
      </c>
      <c r="L358">
        <f t="shared" si="63"/>
        <v>-3.4047619047594679E-4</v>
      </c>
      <c r="M358">
        <f t="shared" si="57"/>
        <v>-2.9523809523790412E-4</v>
      </c>
      <c r="N358">
        <f t="shared" si="58"/>
        <v>-2.4958334881723779E-4</v>
      </c>
      <c r="O358" s="3">
        <f t="shared" si="59"/>
        <v>-2.4958334881723778</v>
      </c>
      <c r="P358">
        <v>712</v>
      </c>
    </row>
    <row r="359" spans="1:16" x14ac:dyDescent="0.25">
      <c r="A359">
        <v>357</v>
      </c>
      <c r="B359">
        <v>3.4830000000000001</v>
      </c>
      <c r="C359" s="3">
        <v>3.4066476190476189</v>
      </c>
      <c r="D359" s="8">
        <f t="shared" si="64"/>
        <v>-7.6352380952381171E-2</v>
      </c>
      <c r="E359" s="8">
        <f t="shared" si="55"/>
        <v>-7.6378571428571851E-2</v>
      </c>
      <c r="F359" s="3">
        <v>21.292000000000002</v>
      </c>
      <c r="G359" s="9">
        <v>4396.920000000001</v>
      </c>
      <c r="H359">
        <f t="shared" si="56"/>
        <v>-1.6262525428571519</v>
      </c>
      <c r="I359">
        <f t="shared" si="60"/>
        <v>-1.6262525428571519</v>
      </c>
      <c r="J359">
        <f t="shared" si="61"/>
        <v>-0.3698617538770666</v>
      </c>
      <c r="K359">
        <f t="shared" si="62"/>
        <v>-2.5000000000008349E-4</v>
      </c>
      <c r="L359">
        <f t="shared" si="63"/>
        <v>-3.1666666666674281E-4</v>
      </c>
      <c r="M359">
        <f t="shared" si="57"/>
        <v>-2.8333333333341315E-4</v>
      </c>
      <c r="N359">
        <f t="shared" si="58"/>
        <v>-2.6049537544861563E-4</v>
      </c>
      <c r="O359" s="3">
        <f t="shared" si="59"/>
        <v>-2.6049537544861563</v>
      </c>
      <c r="P359">
        <v>714</v>
      </c>
    </row>
    <row r="360" spans="1:16" x14ac:dyDescent="0.25">
      <c r="A360">
        <v>358</v>
      </c>
      <c r="B360">
        <v>3.4826999999999999</v>
      </c>
      <c r="C360" s="3">
        <v>3.4062952380952374</v>
      </c>
      <c r="D360" s="8">
        <f t="shared" si="64"/>
        <v>-7.640476190476253E-2</v>
      </c>
      <c r="E360" s="8">
        <f t="shared" si="55"/>
        <v>-7.6471428571428968E-2</v>
      </c>
      <c r="F360" s="3">
        <v>21.248000000000001</v>
      </c>
      <c r="G360" s="9">
        <v>4384.4800000000014</v>
      </c>
      <c r="H360">
        <f t="shared" si="56"/>
        <v>-1.6248649142857228</v>
      </c>
      <c r="I360">
        <f t="shared" si="60"/>
        <v>-1.6248649142857228</v>
      </c>
      <c r="J360">
        <f t="shared" si="61"/>
        <v>-0.37059466898827736</v>
      </c>
      <c r="K360">
        <f t="shared" si="62"/>
        <v>-2.5000000000008349E-4</v>
      </c>
      <c r="L360">
        <f t="shared" si="63"/>
        <v>-3.4285714285720026E-4</v>
      </c>
      <c r="M360">
        <f t="shared" si="57"/>
        <v>-2.9642857142864187E-4</v>
      </c>
      <c r="N360">
        <f t="shared" si="58"/>
        <v>-2.4948093936255801E-4</v>
      </c>
      <c r="O360" s="3">
        <f t="shared" si="59"/>
        <v>-2.4948093936255802</v>
      </c>
      <c r="P360">
        <v>716</v>
      </c>
    </row>
    <row r="361" spans="1:16" x14ac:dyDescent="0.25">
      <c r="A361">
        <v>359</v>
      </c>
      <c r="B361">
        <v>3.4824999999999999</v>
      </c>
      <c r="C361" s="3">
        <v>3.4059619047619045</v>
      </c>
      <c r="D361" s="8">
        <f t="shared" si="64"/>
        <v>-7.6538095238095405E-2</v>
      </c>
      <c r="E361" s="8">
        <f t="shared" si="55"/>
        <v>-7.593333333333363E-2</v>
      </c>
      <c r="F361" s="3">
        <v>21.204000000000001</v>
      </c>
      <c r="G361" s="9">
        <v>4372.0400000000009</v>
      </c>
      <c r="H361">
        <f t="shared" si="56"/>
        <v>-1.6100904000000062</v>
      </c>
      <c r="I361">
        <f t="shared" si="60"/>
        <v>-1.6100904000000062</v>
      </c>
      <c r="J361">
        <f t="shared" si="61"/>
        <v>-0.36826982369786321</v>
      </c>
      <c r="K361">
        <f t="shared" si="62"/>
        <v>-7.5000000000002842E-4</v>
      </c>
      <c r="L361">
        <f t="shared" si="63"/>
        <v>-2.1190476190469099E-4</v>
      </c>
      <c r="M361">
        <f t="shared" si="57"/>
        <v>-4.809523809523597E-4</v>
      </c>
      <c r="N361">
        <f t="shared" si="58"/>
        <v>-1.5279963570029805E-4</v>
      </c>
      <c r="O361" s="3">
        <f t="shared" si="59"/>
        <v>-1.5279963570029804</v>
      </c>
      <c r="P361">
        <v>718</v>
      </c>
    </row>
    <row r="362" spans="1:16" x14ac:dyDescent="0.25">
      <c r="A362">
        <v>360</v>
      </c>
      <c r="B362">
        <v>3.4811999999999999</v>
      </c>
      <c r="C362" s="3">
        <v>3.405871428571428</v>
      </c>
      <c r="D362" s="8">
        <f t="shared" si="64"/>
        <v>-7.5328571428571856E-2</v>
      </c>
      <c r="E362" s="8">
        <f t="shared" si="55"/>
        <v>-7.5059523809524187E-2</v>
      </c>
      <c r="F362" s="3">
        <v>21.160000000000004</v>
      </c>
      <c r="G362" s="9">
        <v>4359.6000000000004</v>
      </c>
      <c r="H362">
        <f t="shared" si="56"/>
        <v>-1.5882595238095321</v>
      </c>
      <c r="I362">
        <f t="shared" si="60"/>
        <v>-1.5882595238095321</v>
      </c>
      <c r="J362">
        <f t="shared" si="61"/>
        <v>-0.36431313051874759</v>
      </c>
      <c r="K362">
        <f t="shared" si="62"/>
        <v>-1.0499999999999954E-3</v>
      </c>
      <c r="L362">
        <f t="shared" si="63"/>
        <v>-1.7619047619055195E-4</v>
      </c>
      <c r="M362">
        <f t="shared" si="57"/>
        <v>-6.1309523809527366E-4</v>
      </c>
      <c r="N362">
        <f t="shared" si="58"/>
        <v>-1.1857827965773375E-4</v>
      </c>
      <c r="O362" s="3">
        <f t="shared" si="59"/>
        <v>-1.1857827965773375</v>
      </c>
      <c r="P362">
        <v>720</v>
      </c>
    </row>
    <row r="363" spans="1:16" x14ac:dyDescent="0.25">
      <c r="A363">
        <v>361</v>
      </c>
      <c r="B363">
        <v>3.4803999999999999</v>
      </c>
      <c r="C363" s="3">
        <v>3.4056095238095234</v>
      </c>
      <c r="D363" s="8">
        <f t="shared" si="64"/>
        <v>-7.4790476190476518E-2</v>
      </c>
      <c r="E363" s="8">
        <f t="shared" si="55"/>
        <v>-7.4766666666667092E-2</v>
      </c>
      <c r="F363" s="3">
        <v>21.116000000000003</v>
      </c>
      <c r="G363" s="9">
        <v>4347.1600000000008</v>
      </c>
      <c r="H363">
        <f t="shared" si="56"/>
        <v>-1.5787729333333425</v>
      </c>
      <c r="I363">
        <f t="shared" si="60"/>
        <v>-1.5787729333333425</v>
      </c>
      <c r="J363">
        <f t="shared" si="61"/>
        <v>-0.36317341283351479</v>
      </c>
      <c r="K363">
        <f t="shared" si="62"/>
        <v>-5.9999999999993392E-4</v>
      </c>
      <c r="L363">
        <f t="shared" si="63"/>
        <v>-3.0714285714283918E-4</v>
      </c>
      <c r="M363">
        <f t="shared" si="57"/>
        <v>-4.5357142857138655E-4</v>
      </c>
      <c r="N363">
        <f t="shared" si="58"/>
        <v>-1.5978154696219614E-4</v>
      </c>
      <c r="O363" s="3">
        <f t="shared" si="59"/>
        <v>-1.5978154696219613</v>
      </c>
      <c r="P363">
        <v>722</v>
      </c>
    </row>
    <row r="364" spans="1:16" x14ac:dyDescent="0.25">
      <c r="A364">
        <v>362</v>
      </c>
      <c r="B364">
        <v>3.48</v>
      </c>
      <c r="C364" s="3">
        <v>3.4052571428571423</v>
      </c>
      <c r="D364" s="8">
        <f t="shared" si="64"/>
        <v>-7.4742857142857666E-2</v>
      </c>
      <c r="E364" s="8">
        <f t="shared" si="55"/>
        <v>-7.4838095238095592E-2</v>
      </c>
      <c r="F364" s="3">
        <v>21.072000000000003</v>
      </c>
      <c r="G364" s="9">
        <v>4334.7200000000012</v>
      </c>
      <c r="H364">
        <f t="shared" si="56"/>
        <v>-1.5769883428571505</v>
      </c>
      <c r="I364">
        <f t="shared" si="60"/>
        <v>-1.5769883428571505</v>
      </c>
      <c r="J364">
        <f t="shared" si="61"/>
        <v>-0.36380396954293476</v>
      </c>
      <c r="K364">
        <f t="shared" si="62"/>
        <v>-2.4999999999986144E-4</v>
      </c>
      <c r="L364">
        <f t="shared" si="63"/>
        <v>-3.2142857142836156E-4</v>
      </c>
      <c r="M364">
        <f t="shared" si="57"/>
        <v>-2.857142857141115E-4</v>
      </c>
      <c r="N364">
        <f t="shared" si="58"/>
        <v>-2.5409360899605844E-4</v>
      </c>
      <c r="O364" s="3">
        <f t="shared" si="59"/>
        <v>-2.5409360899605842</v>
      </c>
      <c r="P364">
        <v>724</v>
      </c>
    </row>
    <row r="365" spans="1:16" x14ac:dyDescent="0.25">
      <c r="A365">
        <v>363</v>
      </c>
      <c r="B365">
        <v>3.4799000000000002</v>
      </c>
      <c r="C365" s="3">
        <v>3.4049666666666667</v>
      </c>
      <c r="D365" s="8">
        <f t="shared" si="64"/>
        <v>-7.4933333333333518E-2</v>
      </c>
      <c r="E365" s="8">
        <f t="shared" si="55"/>
        <v>-7.4807142857143072E-2</v>
      </c>
      <c r="F365" s="3">
        <v>21.028000000000002</v>
      </c>
      <c r="G365" s="9">
        <v>4322.2800000000007</v>
      </c>
      <c r="H365">
        <f t="shared" si="56"/>
        <v>-1.5730446000000047</v>
      </c>
      <c r="I365">
        <f t="shared" si="60"/>
        <v>-1.5730446000000047</v>
      </c>
      <c r="J365">
        <f t="shared" si="61"/>
        <v>-0.36393861573058767</v>
      </c>
      <c r="K365">
        <f t="shared" si="62"/>
        <v>-2.9999999999996696E-4</v>
      </c>
      <c r="L365">
        <f t="shared" si="63"/>
        <v>-2.6904761904744667E-4</v>
      </c>
      <c r="M365">
        <f t="shared" si="57"/>
        <v>-2.8452380952370682E-4</v>
      </c>
      <c r="N365">
        <f t="shared" si="58"/>
        <v>-2.5525119732953331E-4</v>
      </c>
      <c r="O365" s="3">
        <f t="shared" si="59"/>
        <v>-2.5525119732953332</v>
      </c>
      <c r="P365">
        <v>726</v>
      </c>
    </row>
    <row r="366" spans="1:16" x14ac:dyDescent="0.25">
      <c r="A366">
        <v>364</v>
      </c>
      <c r="B366">
        <v>3.4794</v>
      </c>
      <c r="C366" s="3">
        <v>3.4047190476190474</v>
      </c>
      <c r="D366" s="8">
        <f t="shared" si="64"/>
        <v>-7.4680952380952625E-2</v>
      </c>
      <c r="E366" s="8">
        <f t="shared" si="55"/>
        <v>-7.47285714285717E-2</v>
      </c>
      <c r="F366" s="3">
        <v>20.984000000000002</v>
      </c>
      <c r="G366" s="9">
        <v>4309.84</v>
      </c>
      <c r="H366">
        <f t="shared" si="56"/>
        <v>-1.5681043428571486</v>
      </c>
      <c r="I366">
        <f t="shared" si="60"/>
        <v>-1.5681043428571486</v>
      </c>
      <c r="J366">
        <f t="shared" si="61"/>
        <v>-0.36384282081403219</v>
      </c>
      <c r="K366">
        <f t="shared" si="62"/>
        <v>-4.0000000000017799E-4</v>
      </c>
      <c r="L366">
        <f t="shared" si="63"/>
        <v>-3.2142857142880565E-4</v>
      </c>
      <c r="M366">
        <f t="shared" si="57"/>
        <v>-3.6071428571449182E-4</v>
      </c>
      <c r="N366">
        <f t="shared" si="58"/>
        <v>-2.0128375770525668E-4</v>
      </c>
      <c r="O366" s="3">
        <f t="shared" si="59"/>
        <v>-2.0128375770525668</v>
      </c>
      <c r="P366">
        <v>728</v>
      </c>
    </row>
    <row r="367" spans="1:16" x14ac:dyDescent="0.25">
      <c r="A367">
        <v>365</v>
      </c>
      <c r="B367">
        <v>3.4790999999999999</v>
      </c>
      <c r="C367" s="3">
        <v>3.4043238095238091</v>
      </c>
      <c r="D367" s="8">
        <f t="shared" si="64"/>
        <v>-7.4776190476190774E-2</v>
      </c>
      <c r="E367" s="8">
        <f t="shared" si="55"/>
        <v>-7.4785714285714899E-2</v>
      </c>
      <c r="F367" s="3">
        <v>20.940000000000005</v>
      </c>
      <c r="G367" s="9">
        <v>4297.4000000000005</v>
      </c>
      <c r="H367">
        <f t="shared" si="56"/>
        <v>-1.5660128571428704</v>
      </c>
      <c r="I367">
        <f t="shared" si="60"/>
        <v>-1.5660128571428704</v>
      </c>
      <c r="J367">
        <f t="shared" si="61"/>
        <v>-0.36440937709844795</v>
      </c>
      <c r="K367">
        <f t="shared" si="62"/>
        <v>-2.9999999999996696E-4</v>
      </c>
      <c r="L367">
        <f t="shared" si="63"/>
        <v>-3.5714285714316674E-4</v>
      </c>
      <c r="M367">
        <f t="shared" si="57"/>
        <v>-3.2857142857156685E-4</v>
      </c>
      <c r="N367">
        <f t="shared" si="58"/>
        <v>-2.2131864967586191E-4</v>
      </c>
      <c r="O367" s="3">
        <f t="shared" si="59"/>
        <v>-2.213186496758619</v>
      </c>
      <c r="P367">
        <v>730</v>
      </c>
    </row>
    <row r="368" spans="1:16" x14ac:dyDescent="0.25">
      <c r="A368">
        <v>366</v>
      </c>
      <c r="B368">
        <v>3.4788000000000001</v>
      </c>
      <c r="C368" s="3">
        <v>3.4040047619047611</v>
      </c>
      <c r="D368" s="8">
        <f t="shared" si="64"/>
        <v>-7.4795238095239025E-2</v>
      </c>
      <c r="E368" s="8">
        <f t="shared" si="55"/>
        <v>-7.4888095238095476E-2</v>
      </c>
      <c r="F368" s="3">
        <v>20.896000000000004</v>
      </c>
      <c r="G368" s="9">
        <v>4284.9600000000009</v>
      </c>
      <c r="H368">
        <f t="shared" si="56"/>
        <v>-1.5648616380952434</v>
      </c>
      <c r="I368">
        <f t="shared" si="60"/>
        <v>-1.5648616380952434</v>
      </c>
      <c r="J368">
        <f t="shared" si="61"/>
        <v>-0.36519865718588806</v>
      </c>
      <c r="K368">
        <f t="shared" si="62"/>
        <v>-1.9999999999997797E-4</v>
      </c>
      <c r="L368">
        <f t="shared" si="63"/>
        <v>-3.0238095238055429E-4</v>
      </c>
      <c r="M368">
        <f t="shared" si="57"/>
        <v>-2.5119047619026613E-4</v>
      </c>
      <c r="N368">
        <f t="shared" si="58"/>
        <v>-2.9012440761736602E-4</v>
      </c>
      <c r="O368" s="3">
        <f t="shared" si="59"/>
        <v>-2.9012440761736604</v>
      </c>
      <c r="P368">
        <v>732</v>
      </c>
    </row>
    <row r="369" spans="1:16" x14ac:dyDescent="0.25">
      <c r="A369">
        <v>367</v>
      </c>
      <c r="B369">
        <v>3.4786999999999999</v>
      </c>
      <c r="C369" s="3">
        <v>3.403719047619048</v>
      </c>
      <c r="D369" s="8">
        <f t="shared" si="64"/>
        <v>-7.4980952380951926E-2</v>
      </c>
      <c r="E369" s="8">
        <f t="shared" si="55"/>
        <v>-7.5209523809523615E-2</v>
      </c>
      <c r="F369" s="3">
        <v>20.852000000000004</v>
      </c>
      <c r="G369" s="9">
        <v>4272.5200000000004</v>
      </c>
      <c r="H369">
        <f t="shared" si="56"/>
        <v>-1.5682689904761866</v>
      </c>
      <c r="I369">
        <f t="shared" si="60"/>
        <v>-1.5682689904761866</v>
      </c>
      <c r="J369">
        <f t="shared" si="61"/>
        <v>-0.36705948491199253</v>
      </c>
      <c r="K369">
        <f t="shared" si="62"/>
        <v>0</v>
      </c>
      <c r="L369">
        <f t="shared" si="63"/>
        <v>-3.2142857142813952E-4</v>
      </c>
      <c r="M369">
        <f t="shared" si="57"/>
        <v>-1.6071428571406976E-4</v>
      </c>
      <c r="N369">
        <f t="shared" si="58"/>
        <v>-4.557642249161701E-4</v>
      </c>
      <c r="O369" s="3">
        <f t="shared" si="59"/>
        <v>-4.5576422491617015</v>
      </c>
      <c r="P369">
        <v>734</v>
      </c>
    </row>
    <row r="370" spans="1:16" x14ac:dyDescent="0.25">
      <c r="A370">
        <v>368</v>
      </c>
      <c r="B370">
        <v>3.4788000000000001</v>
      </c>
      <c r="C370" s="3">
        <v>3.4033619047619048</v>
      </c>
      <c r="D370" s="8">
        <f t="shared" si="64"/>
        <v>-7.5438095238095304E-2</v>
      </c>
      <c r="E370" s="8">
        <f t="shared" si="55"/>
        <v>-7.5635714285714029E-2</v>
      </c>
      <c r="F370" s="3">
        <v>20.808000000000003</v>
      </c>
      <c r="G370" s="9">
        <v>4260.08</v>
      </c>
      <c r="H370">
        <f t="shared" si="56"/>
        <v>-1.5738279428571378</v>
      </c>
      <c r="I370">
        <f t="shared" si="60"/>
        <v>-1.5738279428571378</v>
      </c>
      <c r="J370">
        <f t="shared" si="61"/>
        <v>-0.36943624130465574</v>
      </c>
      <c r="K370">
        <f t="shared" si="62"/>
        <v>1.500000000000945E-4</v>
      </c>
      <c r="L370">
        <f t="shared" si="63"/>
        <v>-2.7619047619031889E-4</v>
      </c>
      <c r="M370">
        <f t="shared" si="57"/>
        <v>-6.3095238095112194E-5</v>
      </c>
      <c r="N370">
        <f t="shared" si="58"/>
        <v>-1.168425905957561E-3</v>
      </c>
      <c r="O370" s="3">
        <f t="shared" si="59"/>
        <v>-11.684259059575609</v>
      </c>
      <c r="P370">
        <v>736</v>
      </c>
    </row>
    <row r="371" spans="1:16" x14ac:dyDescent="0.25">
      <c r="A371">
        <v>369</v>
      </c>
      <c r="B371">
        <v>3.4790000000000001</v>
      </c>
      <c r="C371" s="3">
        <v>3.4031666666666673</v>
      </c>
      <c r="D371" s="8">
        <f t="shared" si="64"/>
        <v>-7.5833333333332753E-2</v>
      </c>
      <c r="E371" s="8">
        <f t="shared" si="55"/>
        <v>-7.5735714285714018E-2</v>
      </c>
      <c r="F371" s="3">
        <v>20.764000000000003</v>
      </c>
      <c r="G371" s="9">
        <v>4247.6400000000003</v>
      </c>
      <c r="H371">
        <f t="shared" si="56"/>
        <v>-1.5725763714285661</v>
      </c>
      <c r="I371">
        <f t="shared" si="60"/>
        <v>-1.5725763714285661</v>
      </c>
      <c r="J371">
        <f t="shared" si="61"/>
        <v>-0.37022355270893154</v>
      </c>
      <c r="K371">
        <f t="shared" si="62"/>
        <v>-1.500000000000945E-4</v>
      </c>
      <c r="L371">
        <f t="shared" si="63"/>
        <v>-2.5000000000008349E-4</v>
      </c>
      <c r="M371">
        <f t="shared" si="57"/>
        <v>-2.00000000000089E-4</v>
      </c>
      <c r="N371">
        <f t="shared" si="58"/>
        <v>-3.6939610543259779E-4</v>
      </c>
      <c r="O371" s="3">
        <f t="shared" si="59"/>
        <v>-3.6939610543259778</v>
      </c>
      <c r="P371">
        <v>738</v>
      </c>
    </row>
    <row r="372" spans="1:16" x14ac:dyDescent="0.25">
      <c r="A372">
        <v>370</v>
      </c>
      <c r="B372">
        <v>3.4784999999999999</v>
      </c>
      <c r="C372" s="3">
        <v>3.4028619047619046</v>
      </c>
      <c r="D372" s="8">
        <f t="shared" si="64"/>
        <v>-7.5638095238095282E-2</v>
      </c>
      <c r="E372" s="8">
        <f t="shared" si="55"/>
        <v>-7.576666666666676E-2</v>
      </c>
      <c r="F372" s="3">
        <v>20.720000000000006</v>
      </c>
      <c r="G372" s="9">
        <v>4235.2000000000007</v>
      </c>
      <c r="H372">
        <f t="shared" si="56"/>
        <v>-1.5698853333333358</v>
      </c>
      <c r="I372">
        <f t="shared" si="60"/>
        <v>-1.5698853333333358</v>
      </c>
      <c r="J372">
        <f t="shared" si="61"/>
        <v>-0.37067560760609547</v>
      </c>
      <c r="K372">
        <f t="shared" si="62"/>
        <v>-2.9999999999996696E-4</v>
      </c>
      <c r="L372">
        <f t="shared" si="63"/>
        <v>-3.3095238095270929E-4</v>
      </c>
      <c r="M372">
        <f t="shared" si="57"/>
        <v>-3.1547619047633813E-4</v>
      </c>
      <c r="N372">
        <f t="shared" si="58"/>
        <v>-2.3446913659739876E-4</v>
      </c>
      <c r="O372" s="3">
        <f t="shared" si="59"/>
        <v>-2.3446913659739876</v>
      </c>
      <c r="P372">
        <v>740</v>
      </c>
    </row>
    <row r="373" spans="1:16" x14ac:dyDescent="0.25">
      <c r="A373">
        <v>371</v>
      </c>
      <c r="B373">
        <v>3.4784000000000002</v>
      </c>
      <c r="C373" s="3">
        <v>3.4025047619047619</v>
      </c>
      <c r="D373" s="8">
        <f t="shared" si="64"/>
        <v>-7.5895238095238238E-2</v>
      </c>
      <c r="E373" s="8">
        <f t="shared" si="55"/>
        <v>-7.5811904761905247E-2</v>
      </c>
      <c r="F373" s="3">
        <v>20.676000000000005</v>
      </c>
      <c r="G373" s="9">
        <v>4222.76</v>
      </c>
      <c r="H373">
        <f t="shared" si="56"/>
        <v>-1.5674869428571534</v>
      </c>
      <c r="I373">
        <f t="shared" si="60"/>
        <v>-1.5674869428571534</v>
      </c>
      <c r="J373">
        <f t="shared" si="61"/>
        <v>-0.37119962840823378</v>
      </c>
      <c r="K373">
        <f t="shared" si="62"/>
        <v>-2.4999999999986144E-4</v>
      </c>
      <c r="L373">
        <f t="shared" si="63"/>
        <v>-2.9523809523834821E-4</v>
      </c>
      <c r="M373">
        <f t="shared" si="57"/>
        <v>-2.7261904761910483E-4</v>
      </c>
      <c r="N373">
        <f t="shared" si="58"/>
        <v>-2.717124887961455E-4</v>
      </c>
      <c r="O373" s="3">
        <f t="shared" si="59"/>
        <v>-2.7171248879614551</v>
      </c>
      <c r="P373">
        <v>742</v>
      </c>
    </row>
    <row r="374" spans="1:16" x14ac:dyDescent="0.25">
      <c r="A374">
        <v>372</v>
      </c>
      <c r="B374">
        <v>3.4780000000000002</v>
      </c>
      <c r="C374" s="3">
        <v>3.4022714285714279</v>
      </c>
      <c r="D374" s="8">
        <f t="shared" si="64"/>
        <v>-7.5728571428572256E-2</v>
      </c>
      <c r="E374" s="8">
        <f t="shared" si="55"/>
        <v>-7.5954761904762469E-2</v>
      </c>
      <c r="F374" s="3">
        <v>20.632000000000005</v>
      </c>
      <c r="G374" s="9">
        <v>4210.32</v>
      </c>
      <c r="H374">
        <f t="shared" si="56"/>
        <v>-1.5670986476190596</v>
      </c>
      <c r="I374">
        <f t="shared" si="60"/>
        <v>-1.5670986476190596</v>
      </c>
      <c r="J374">
        <f t="shared" si="61"/>
        <v>-0.37220416681370055</v>
      </c>
      <c r="K374">
        <f t="shared" si="62"/>
        <v>-1.500000000000945E-4</v>
      </c>
      <c r="L374">
        <f t="shared" si="63"/>
        <v>-2.9285714285731679E-4</v>
      </c>
      <c r="M374">
        <f t="shared" si="57"/>
        <v>-2.2142857142870565E-4</v>
      </c>
      <c r="N374">
        <f t="shared" si="58"/>
        <v>-3.3543303872800084E-4</v>
      </c>
      <c r="O374" s="3">
        <f t="shared" si="59"/>
        <v>-3.3543303872800085</v>
      </c>
      <c r="P374">
        <v>744</v>
      </c>
    </row>
    <row r="375" spans="1:16" x14ac:dyDescent="0.25">
      <c r="A375">
        <v>373</v>
      </c>
      <c r="B375">
        <v>3.4781</v>
      </c>
      <c r="C375" s="3">
        <v>3.4019190476190473</v>
      </c>
      <c r="D375" s="8">
        <f t="shared" si="64"/>
        <v>-7.6180952380952682E-2</v>
      </c>
      <c r="E375" s="8">
        <f t="shared" si="55"/>
        <v>-7.6088095238094899E-2</v>
      </c>
      <c r="F375" s="3">
        <v>20.588000000000001</v>
      </c>
      <c r="G375" s="9">
        <v>4197.88</v>
      </c>
      <c r="H375">
        <f t="shared" si="56"/>
        <v>-1.5665017047618979</v>
      </c>
      <c r="I375">
        <f t="shared" si="60"/>
        <v>-1.5665017047618979</v>
      </c>
      <c r="J375">
        <f t="shared" si="61"/>
        <v>-0.37316495582577347</v>
      </c>
      <c r="K375">
        <f t="shared" si="62"/>
        <v>-2.0000000000020002E-4</v>
      </c>
      <c r="L375">
        <f t="shared" si="63"/>
        <v>-3.3333333333263049E-4</v>
      </c>
      <c r="M375">
        <f t="shared" si="57"/>
        <v>-2.6666666666641525E-4</v>
      </c>
      <c r="N375">
        <f t="shared" si="58"/>
        <v>-2.7924820089957894E-4</v>
      </c>
      <c r="O375" s="3">
        <f t="shared" si="59"/>
        <v>-2.7924820089957891</v>
      </c>
      <c r="P375">
        <v>746</v>
      </c>
    </row>
    <row r="376" spans="1:16" x14ac:dyDescent="0.25">
      <c r="A376">
        <v>374</v>
      </c>
      <c r="B376">
        <v>3.4775999999999998</v>
      </c>
      <c r="C376" s="3">
        <v>3.4016047619047627</v>
      </c>
      <c r="D376" s="8">
        <f t="shared" si="64"/>
        <v>-7.5995238095237116E-2</v>
      </c>
      <c r="E376" s="8">
        <f t="shared" si="55"/>
        <v>-7.5723809523809305E-2</v>
      </c>
      <c r="F376" s="3">
        <v>20.544</v>
      </c>
      <c r="G376" s="9">
        <v>4185.4400000000005</v>
      </c>
      <c r="H376">
        <f t="shared" si="56"/>
        <v>-1.5556699428571383</v>
      </c>
      <c r="I376">
        <f t="shared" si="60"/>
        <v>-1.5556699428571383</v>
      </c>
      <c r="J376">
        <f t="shared" si="61"/>
        <v>-0.3716861173155363</v>
      </c>
      <c r="K376">
        <f t="shared" si="62"/>
        <v>-6.9999999999992291E-4</v>
      </c>
      <c r="L376">
        <f t="shared" si="63"/>
        <v>-3.3571428571432804E-4</v>
      </c>
      <c r="M376">
        <f t="shared" si="57"/>
        <v>-5.1785714285712547E-4</v>
      </c>
      <c r="N376">
        <f t="shared" si="58"/>
        <v>-1.4322691357339376E-4</v>
      </c>
      <c r="O376" s="3">
        <f t="shared" si="59"/>
        <v>-1.4322691357339377</v>
      </c>
      <c r="P376">
        <v>748</v>
      </c>
    </row>
    <row r="377" spans="1:16" x14ac:dyDescent="0.25">
      <c r="A377">
        <v>375</v>
      </c>
      <c r="B377">
        <v>3.4767000000000001</v>
      </c>
      <c r="C377" s="3">
        <v>3.4012476190476186</v>
      </c>
      <c r="D377" s="8">
        <f t="shared" si="64"/>
        <v>-7.5452380952381493E-2</v>
      </c>
      <c r="E377" s="8">
        <f t="shared" si="55"/>
        <v>-7.5402380952381609E-2</v>
      </c>
      <c r="F377" s="3">
        <v>20.5</v>
      </c>
      <c r="G377">
        <v>4173</v>
      </c>
      <c r="H377">
        <f t="shared" si="56"/>
        <v>-1.545748809523823</v>
      </c>
      <c r="I377">
        <f t="shared" si="60"/>
        <v>-1.545748809523823</v>
      </c>
      <c r="J377">
        <f t="shared" si="61"/>
        <v>-0.37041668093070285</v>
      </c>
      <c r="K377">
        <f t="shared" si="62"/>
        <v>-6.9999999999992291E-4</v>
      </c>
      <c r="L377">
        <f t="shared" si="63"/>
        <v>-3.7857142857222748E-4</v>
      </c>
      <c r="M377">
        <f t="shared" si="57"/>
        <v>-5.3928571428607519E-4</v>
      </c>
      <c r="N377">
        <f t="shared" si="58"/>
        <v>-1.3706604578000561E-4</v>
      </c>
      <c r="O377" s="3">
        <f t="shared" si="59"/>
        <v>-1.3706604578000561</v>
      </c>
      <c r="P377">
        <v>750</v>
      </c>
    </row>
    <row r="378" spans="1:16" x14ac:dyDescent="0.25">
      <c r="A378">
        <v>376</v>
      </c>
      <c r="B378">
        <v>3.4762</v>
      </c>
      <c r="C378" s="3">
        <v>3.4008476190476182</v>
      </c>
      <c r="D378" s="8">
        <f t="shared" si="64"/>
        <v>-7.5352380952381726E-2</v>
      </c>
      <c r="E378" s="8">
        <f t="shared" si="55"/>
        <v>-7.5278571428571972E-2</v>
      </c>
      <c r="F378" s="3">
        <v>20.448</v>
      </c>
      <c r="G378" s="9">
        <v>4167.08</v>
      </c>
      <c r="H378">
        <f t="shared" si="56"/>
        <v>-1.5392962285714398</v>
      </c>
      <c r="I378">
        <f t="shared" si="60"/>
        <v>-1.5392962285714398</v>
      </c>
      <c r="J378">
        <f t="shared" si="61"/>
        <v>-0.36939445092761353</v>
      </c>
      <c r="K378">
        <f t="shared" si="62"/>
        <v>-4.5000000000006146E-4</v>
      </c>
      <c r="L378">
        <f t="shared" si="63"/>
        <v>-3.2619047619042441E-4</v>
      </c>
      <c r="M378">
        <f t="shared" si="57"/>
        <v>-3.8809523809524293E-4</v>
      </c>
      <c r="N378">
        <f t="shared" si="58"/>
        <v>-1.8993732491929215E-4</v>
      </c>
      <c r="O378" s="3">
        <f t="shared" si="59"/>
        <v>-1.8993732491929214</v>
      </c>
      <c r="P378">
        <v>752</v>
      </c>
    </row>
    <row r="379" spans="1:16" x14ac:dyDescent="0.25">
      <c r="A379">
        <v>377</v>
      </c>
      <c r="B379">
        <v>3.4758</v>
      </c>
      <c r="C379" s="3">
        <v>3.4005952380952378</v>
      </c>
      <c r="D379" s="8">
        <f t="shared" si="64"/>
        <v>-7.5204761904762218E-2</v>
      </c>
      <c r="E379" s="8">
        <f t="shared" si="55"/>
        <v>-7.5273809523809465E-2</v>
      </c>
      <c r="F379" s="3">
        <v>20.395999999999997</v>
      </c>
      <c r="G379" s="9">
        <v>4161.16</v>
      </c>
      <c r="H379">
        <f t="shared" si="56"/>
        <v>-1.5352846190476177</v>
      </c>
      <c r="I379">
        <f t="shared" si="60"/>
        <v>-1.5352846190476177</v>
      </c>
      <c r="J379">
        <f t="shared" si="61"/>
        <v>-0.36895592071624689</v>
      </c>
      <c r="K379">
        <f t="shared" si="62"/>
        <v>-3.5000000000007248E-4</v>
      </c>
      <c r="L379">
        <f t="shared" si="63"/>
        <v>-3.4523809523756555E-4</v>
      </c>
      <c r="M379">
        <f t="shared" si="57"/>
        <v>-3.4761904761881901E-4</v>
      </c>
      <c r="N379">
        <f t="shared" si="58"/>
        <v>-2.1180157365436437E-4</v>
      </c>
      <c r="O379" s="3">
        <f t="shared" si="59"/>
        <v>-2.1180157365436436</v>
      </c>
      <c r="P379">
        <v>754</v>
      </c>
    </row>
    <row r="380" spans="1:16" x14ac:dyDescent="0.25">
      <c r="A380">
        <v>378</v>
      </c>
      <c r="B380">
        <v>3.4754999999999998</v>
      </c>
      <c r="C380" s="3">
        <v>3.4001571428571431</v>
      </c>
      <c r="D380" s="8">
        <f t="shared" si="64"/>
        <v>-7.5342857142856712E-2</v>
      </c>
      <c r="E380" s="8">
        <f t="shared" si="55"/>
        <v>-7.5330952380951777E-2</v>
      </c>
      <c r="F380" s="3">
        <v>20.343999999999998</v>
      </c>
      <c r="G380" s="9">
        <v>4155.24</v>
      </c>
      <c r="H380">
        <f t="shared" si="56"/>
        <v>-1.5325328952380828</v>
      </c>
      <c r="I380">
        <f t="shared" si="60"/>
        <v>-1.5325328952380828</v>
      </c>
      <c r="J380">
        <f t="shared" si="61"/>
        <v>-0.36881934502894725</v>
      </c>
      <c r="K380">
        <f t="shared" si="62"/>
        <v>-3.5000000000007248E-4</v>
      </c>
      <c r="L380">
        <f t="shared" si="63"/>
        <v>-4.0714285714238407E-4</v>
      </c>
      <c r="M380">
        <f t="shared" si="57"/>
        <v>-3.7857142857122827E-4</v>
      </c>
      <c r="N380">
        <f t="shared" si="58"/>
        <v>-1.9441247192733535E-4</v>
      </c>
      <c r="O380" s="3">
        <f t="shared" si="59"/>
        <v>-1.9441247192733535</v>
      </c>
      <c r="P380">
        <v>756</v>
      </c>
    </row>
    <row r="381" spans="1:16" x14ac:dyDescent="0.25">
      <c r="A381">
        <v>379</v>
      </c>
      <c r="B381">
        <v>3.4750999999999999</v>
      </c>
      <c r="C381" s="3">
        <v>3.399780952380953</v>
      </c>
      <c r="D381" s="8">
        <f t="shared" si="64"/>
        <v>-7.5319047619046842E-2</v>
      </c>
      <c r="E381" s="8">
        <f t="shared" si="55"/>
        <v>-7.547142857142819E-2</v>
      </c>
      <c r="F381" s="3">
        <v>20.291999999999994</v>
      </c>
      <c r="G381" s="9">
        <v>4149.32</v>
      </c>
      <c r="H381">
        <f t="shared" si="56"/>
        <v>-1.5314662285714205</v>
      </c>
      <c r="I381">
        <f t="shared" si="60"/>
        <v>-1.5314662285714205</v>
      </c>
      <c r="J381">
        <f t="shared" si="61"/>
        <v>-0.36908848403387079</v>
      </c>
      <c r="K381">
        <f t="shared" si="62"/>
        <v>-1.9999999999997797E-4</v>
      </c>
      <c r="L381">
        <f t="shared" si="63"/>
        <v>-3.4047619047639088E-4</v>
      </c>
      <c r="M381">
        <f t="shared" si="57"/>
        <v>-2.7023809523818443E-4</v>
      </c>
      <c r="N381">
        <f t="shared" si="58"/>
        <v>-2.7254749061516226E-4</v>
      </c>
      <c r="O381" s="3">
        <f t="shared" si="59"/>
        <v>-2.7254749061516224</v>
      </c>
      <c r="P381">
        <v>758</v>
      </c>
    </row>
    <row r="382" spans="1:16" x14ac:dyDescent="0.25">
      <c r="A382">
        <v>380</v>
      </c>
      <c r="B382">
        <v>3.4750999999999999</v>
      </c>
      <c r="C382" s="3">
        <v>3.3994761904761903</v>
      </c>
      <c r="D382" s="8">
        <f t="shared" si="64"/>
        <v>-7.5623809523809538E-2</v>
      </c>
      <c r="E382" s="8">
        <f t="shared" si="55"/>
        <v>-7.5747619047619175E-2</v>
      </c>
      <c r="F382" s="3">
        <v>20.239999999999995</v>
      </c>
      <c r="G382" s="9">
        <v>4143.3999999999996</v>
      </c>
      <c r="H382">
        <f t="shared" si="56"/>
        <v>-1.5331318095238118</v>
      </c>
      <c r="I382">
        <f t="shared" si="60"/>
        <v>-1.5331318095238118</v>
      </c>
      <c r="J382">
        <f t="shared" si="61"/>
        <v>-0.37001781375773807</v>
      </c>
      <c r="K382">
        <f t="shared" si="62"/>
        <v>-4.9999999999883471E-5</v>
      </c>
      <c r="L382">
        <f t="shared" si="63"/>
        <v>-3.2619047619086849E-4</v>
      </c>
      <c r="M382">
        <f t="shared" si="57"/>
        <v>-1.8809523809537598E-4</v>
      </c>
      <c r="N382">
        <f t="shared" si="58"/>
        <v>-3.9255733430062497E-4</v>
      </c>
      <c r="O382" s="3">
        <f t="shared" si="59"/>
        <v>-3.9255733430062496</v>
      </c>
      <c r="P382">
        <v>760</v>
      </c>
    </row>
    <row r="383" spans="1:16" x14ac:dyDescent="0.25">
      <c r="A383">
        <v>381</v>
      </c>
      <c r="B383">
        <v>3.4750000000000001</v>
      </c>
      <c r="C383" s="3">
        <v>3.3991285714285713</v>
      </c>
      <c r="D383" s="8">
        <f t="shared" si="64"/>
        <v>-7.5871428571428812E-2</v>
      </c>
      <c r="E383" s="8">
        <f t="shared" si="55"/>
        <v>-7.572619047619078E-2</v>
      </c>
      <c r="F383" s="3">
        <v>20.187999999999995</v>
      </c>
      <c r="G383" s="9">
        <v>4137.4799999999996</v>
      </c>
      <c r="H383">
        <f t="shared" si="56"/>
        <v>-1.528760333333339</v>
      </c>
      <c r="I383">
        <f t="shared" si="60"/>
        <v>-1.528760333333339</v>
      </c>
      <c r="J383">
        <f t="shared" si="61"/>
        <v>-0.36949068837392307</v>
      </c>
      <c r="K383">
        <f t="shared" si="62"/>
        <v>-3.4999999999985043E-4</v>
      </c>
      <c r="L383">
        <f t="shared" si="63"/>
        <v>-3.2857142857145583E-4</v>
      </c>
      <c r="M383">
        <f t="shared" si="57"/>
        <v>-3.3928571428565313E-4</v>
      </c>
      <c r="N383">
        <f t="shared" si="58"/>
        <v>-2.1731824448964238E-4</v>
      </c>
      <c r="O383" s="3">
        <f t="shared" si="59"/>
        <v>-2.1731824448964239</v>
      </c>
      <c r="P383">
        <v>762</v>
      </c>
    </row>
    <row r="384" spans="1:16" x14ac:dyDescent="0.25">
      <c r="A384">
        <v>382</v>
      </c>
      <c r="B384">
        <v>3.4744000000000002</v>
      </c>
      <c r="C384" s="3">
        <v>3.3988190476190474</v>
      </c>
      <c r="D384" s="8">
        <f t="shared" si="64"/>
        <v>-7.5580952380952748E-2</v>
      </c>
      <c r="E384" s="8">
        <f t="shared" si="55"/>
        <v>-7.5678571428571484E-2</v>
      </c>
      <c r="F384" s="3">
        <v>20.135999999999992</v>
      </c>
      <c r="G384" s="9">
        <v>4131.5599999999995</v>
      </c>
      <c r="H384">
        <f t="shared" si="56"/>
        <v>-1.5238637142857148</v>
      </c>
      <c r="I384">
        <f t="shared" si="60"/>
        <v>-1.5238637142857148</v>
      </c>
      <c r="J384">
        <f t="shared" si="61"/>
        <v>-0.3688349471593575</v>
      </c>
      <c r="K384">
        <f t="shared" si="62"/>
        <v>-3.5000000000007248E-4</v>
      </c>
      <c r="L384">
        <f t="shared" si="63"/>
        <v>-3.0238095238077634E-4</v>
      </c>
      <c r="M384">
        <f t="shared" si="57"/>
        <v>-3.2619047619042441E-4</v>
      </c>
      <c r="N384">
        <f t="shared" si="58"/>
        <v>-2.2564153785586673E-4</v>
      </c>
      <c r="O384" s="3">
        <f t="shared" si="59"/>
        <v>-2.2564153785586671</v>
      </c>
      <c r="P384">
        <v>764</v>
      </c>
    </row>
    <row r="385" spans="1:16" x14ac:dyDescent="0.25">
      <c r="A385">
        <v>383</v>
      </c>
      <c r="B385">
        <v>3.4742999999999999</v>
      </c>
      <c r="C385" s="3">
        <v>3.3985238095238097</v>
      </c>
      <c r="D385" s="8">
        <f t="shared" si="64"/>
        <v>-7.5776190476190219E-2</v>
      </c>
      <c r="E385" s="8">
        <f t="shared" si="55"/>
        <v>-7.5745238095237921E-2</v>
      </c>
      <c r="F385" s="3">
        <v>20.083999999999993</v>
      </c>
      <c r="G385" s="9">
        <v>4125.6399999999994</v>
      </c>
      <c r="H385">
        <f t="shared" si="56"/>
        <v>-1.5212673619047579</v>
      </c>
      <c r="I385">
        <f t="shared" si="60"/>
        <v>-1.5212673619047579</v>
      </c>
      <c r="J385">
        <f t="shared" si="61"/>
        <v>-0.36873487795948218</v>
      </c>
      <c r="K385">
        <f t="shared" si="62"/>
        <v>-2.5000000000008349E-4</v>
      </c>
      <c r="L385">
        <f t="shared" si="63"/>
        <v>-3.1666666666652077E-4</v>
      </c>
      <c r="M385">
        <f t="shared" si="57"/>
        <v>-2.8333333333330213E-4</v>
      </c>
      <c r="N385">
        <f t="shared" si="58"/>
        <v>-2.5970171143193792E-4</v>
      </c>
      <c r="O385" s="3">
        <f t="shared" si="59"/>
        <v>-2.5970171143193794</v>
      </c>
      <c r="P385">
        <v>766</v>
      </c>
    </row>
    <row r="386" spans="1:16" x14ac:dyDescent="0.25">
      <c r="A386">
        <v>384</v>
      </c>
      <c r="B386">
        <v>3.4739</v>
      </c>
      <c r="C386" s="3">
        <v>3.3981857142857144</v>
      </c>
      <c r="D386" s="8">
        <f t="shared" si="64"/>
        <v>-7.5714285714285623E-2</v>
      </c>
      <c r="E386" s="8">
        <f t="shared" si="55"/>
        <v>-7.5583333333333336E-2</v>
      </c>
      <c r="F386" s="3">
        <v>20.031999999999993</v>
      </c>
      <c r="G386" s="9">
        <v>4119.7199999999993</v>
      </c>
      <c r="H386">
        <f t="shared" si="56"/>
        <v>-1.5140853333333328</v>
      </c>
      <c r="I386">
        <f t="shared" si="60"/>
        <v>-1.5140853333333328</v>
      </c>
      <c r="J386">
        <f t="shared" si="61"/>
        <v>-0.36752141731315069</v>
      </c>
      <c r="K386">
        <f t="shared" si="62"/>
        <v>-4.9999999999994493E-4</v>
      </c>
      <c r="L386">
        <f t="shared" si="63"/>
        <v>-3.3809523809535946E-4</v>
      </c>
      <c r="M386">
        <f t="shared" si="57"/>
        <v>-4.190476190476522E-4</v>
      </c>
      <c r="N386">
        <f t="shared" si="58"/>
        <v>-1.7501591352587373E-4</v>
      </c>
      <c r="O386" s="3">
        <f t="shared" si="59"/>
        <v>-1.7501591352587373</v>
      </c>
      <c r="P386">
        <v>768</v>
      </c>
    </row>
    <row r="387" spans="1:16" x14ac:dyDescent="0.25">
      <c r="A387">
        <v>385</v>
      </c>
      <c r="B387">
        <v>3.4733000000000001</v>
      </c>
      <c r="C387" s="3">
        <v>3.397847619047619</v>
      </c>
      <c r="D387" s="8">
        <f t="shared" si="64"/>
        <v>-7.5452380952381048E-2</v>
      </c>
      <c r="E387" s="8">
        <f t="shared" si="55"/>
        <v>-7.5300000000000145E-2</v>
      </c>
      <c r="F387" s="3">
        <v>19.979999999999997</v>
      </c>
      <c r="G387" s="9">
        <v>4113.7999999999993</v>
      </c>
      <c r="H387">
        <f t="shared" si="56"/>
        <v>-1.5044940000000027</v>
      </c>
      <c r="I387">
        <f t="shared" si="60"/>
        <v>-1.5044940000000027</v>
      </c>
      <c r="J387">
        <f t="shared" si="61"/>
        <v>-0.3657188001361279</v>
      </c>
      <c r="K387">
        <f t="shared" si="62"/>
        <v>-5.5000000000005045E-4</v>
      </c>
      <c r="L387">
        <f t="shared" si="63"/>
        <v>-2.6666666666685934E-4</v>
      </c>
      <c r="M387">
        <f t="shared" si="57"/>
        <v>-4.083333333334549E-4</v>
      </c>
      <c r="N387">
        <f t="shared" si="58"/>
        <v>-1.7872722658926569E-4</v>
      </c>
      <c r="O387" s="3">
        <f t="shared" si="59"/>
        <v>-1.787272265892657</v>
      </c>
      <c r="P387">
        <v>770</v>
      </c>
    </row>
    <row r="388" spans="1:16" x14ac:dyDescent="0.25">
      <c r="A388">
        <v>386</v>
      </c>
      <c r="B388">
        <v>3.4727999999999999</v>
      </c>
      <c r="C388" s="3">
        <v>3.3976523809523806</v>
      </c>
      <c r="D388" s="8">
        <f t="shared" si="64"/>
        <v>-7.5147619047619241E-2</v>
      </c>
      <c r="E388" s="8">
        <f t="shared" ref="E388:E451" si="65">(D388+D389)/2</f>
        <v>-7.5202380952381409E-2</v>
      </c>
      <c r="F388" s="3">
        <v>19.927999999999994</v>
      </c>
      <c r="G388" s="9">
        <v>4107.8799999999992</v>
      </c>
      <c r="H388">
        <f t="shared" ref="H388:H451" si="66">E388*F388</f>
        <v>-1.4986330476190564</v>
      </c>
      <c r="I388">
        <f t="shared" si="60"/>
        <v>-1.4986330476190564</v>
      </c>
      <c r="J388">
        <f t="shared" si="61"/>
        <v>-0.36481909101995597</v>
      </c>
      <c r="K388">
        <f t="shared" si="62"/>
        <v>-3.5000000000007248E-4</v>
      </c>
      <c r="L388">
        <f t="shared" si="63"/>
        <v>-2.5238095238133695E-4</v>
      </c>
      <c r="M388">
        <f t="shared" si="57"/>
        <v>-3.0119047619070471E-4</v>
      </c>
      <c r="N388">
        <f t="shared" si="58"/>
        <v>-2.4170998185923649E-4</v>
      </c>
      <c r="O388" s="3">
        <f t="shared" si="59"/>
        <v>-2.4170998185923649</v>
      </c>
      <c r="P388">
        <v>772</v>
      </c>
    </row>
    <row r="389" spans="1:16" x14ac:dyDescent="0.25">
      <c r="A389">
        <v>387</v>
      </c>
      <c r="B389">
        <v>3.4725999999999999</v>
      </c>
      <c r="C389" s="3">
        <v>3.3973428571428563</v>
      </c>
      <c r="D389" s="8">
        <f t="shared" si="64"/>
        <v>-7.5257142857143577E-2</v>
      </c>
      <c r="E389" s="8">
        <f t="shared" si="65"/>
        <v>-7.531904761904773E-2</v>
      </c>
      <c r="F389" s="3">
        <v>19.875999999999994</v>
      </c>
      <c r="G389" s="9">
        <v>4101.9599999999991</v>
      </c>
      <c r="H389">
        <f t="shared" si="66"/>
        <v>-1.4970413904761923</v>
      </c>
      <c r="I389">
        <f t="shared" si="60"/>
        <v>-1.4970413904761923</v>
      </c>
      <c r="J389">
        <f t="shared" si="61"/>
        <v>-0.3649575789320697</v>
      </c>
      <c r="K389">
        <f t="shared" si="62"/>
        <v>-1.4999999999987246E-4</v>
      </c>
      <c r="L389">
        <f t="shared" si="63"/>
        <v>-2.6666666666619321E-4</v>
      </c>
      <c r="M389">
        <f t="shared" ref="M389:M452" si="67">(K389+L389)/2</f>
        <v>-2.0833333333303283E-4</v>
      </c>
      <c r="N389">
        <f t="shared" ref="N389:N452" si="68">-J389/(M389*86400*58)</f>
        <v>-3.4957622503122232E-4</v>
      </c>
      <c r="O389" s="3">
        <f t="shared" ref="O389:O452" si="69">N389*10000</f>
        <v>-3.4957622503122234</v>
      </c>
      <c r="P389">
        <v>774</v>
      </c>
    </row>
    <row r="390" spans="1:16" x14ac:dyDescent="0.25">
      <c r="A390">
        <v>388</v>
      </c>
      <c r="B390">
        <v>3.4725000000000001</v>
      </c>
      <c r="C390" s="3">
        <v>3.3971190476190483</v>
      </c>
      <c r="D390" s="8">
        <f t="shared" si="64"/>
        <v>-7.5380952380951882E-2</v>
      </c>
      <c r="E390" s="8">
        <f t="shared" si="65"/>
        <v>-7.4692857142857116E-2</v>
      </c>
      <c r="F390" s="3">
        <v>19.823999999999995</v>
      </c>
      <c r="G390" s="9">
        <v>4096.0399999999991</v>
      </c>
      <c r="H390">
        <f t="shared" si="66"/>
        <v>-1.4807111999999991</v>
      </c>
      <c r="I390">
        <f t="shared" si="60"/>
        <v>-1.4807111999999991</v>
      </c>
      <c r="J390">
        <f t="shared" si="61"/>
        <v>-0.3614982275563714</v>
      </c>
      <c r="K390">
        <f t="shared" si="62"/>
        <v>-8.5000000000001741E-4</v>
      </c>
      <c r="L390">
        <f t="shared" si="63"/>
        <v>-2.23809523809404E-4</v>
      </c>
      <c r="M390">
        <f t="shared" si="67"/>
        <v>-5.369047619047107E-4</v>
      </c>
      <c r="N390">
        <f t="shared" si="68"/>
        <v>-1.3435912918582593E-4</v>
      </c>
      <c r="O390" s="3">
        <f t="shared" si="69"/>
        <v>-1.3435912918582593</v>
      </c>
      <c r="P390">
        <v>776</v>
      </c>
    </row>
    <row r="391" spans="1:16" x14ac:dyDescent="0.25">
      <c r="A391">
        <v>389</v>
      </c>
      <c r="B391">
        <v>3.4708999999999999</v>
      </c>
      <c r="C391" s="3">
        <v>3.3968952380952375</v>
      </c>
      <c r="D391" s="8">
        <f t="shared" si="64"/>
        <v>-7.4004761904762351E-2</v>
      </c>
      <c r="E391" s="8">
        <f t="shared" si="65"/>
        <v>-7.3864285714285938E-2</v>
      </c>
      <c r="F391" s="3">
        <v>19.771999999999998</v>
      </c>
      <c r="G391" s="9">
        <v>4090.119999999999</v>
      </c>
      <c r="H391">
        <f t="shared" si="66"/>
        <v>-1.4604446571428615</v>
      </c>
      <c r="I391">
        <f t="shared" si="60"/>
        <v>-1.4604446571428615</v>
      </c>
      <c r="J391">
        <f t="shared" si="61"/>
        <v>-0.35706645700929601</v>
      </c>
      <c r="K391">
        <f t="shared" si="62"/>
        <v>-1.0499999999999954E-3</v>
      </c>
      <c r="L391">
        <f t="shared" si="63"/>
        <v>-2.2142857142881667E-4</v>
      </c>
      <c r="M391">
        <f t="shared" si="67"/>
        <v>-6.3571428571440602E-4</v>
      </c>
      <c r="N391">
        <f t="shared" si="68"/>
        <v>-1.1208444540698943E-4</v>
      </c>
      <c r="O391" s="3">
        <f t="shared" si="69"/>
        <v>-1.1208444540698943</v>
      </c>
      <c r="P391">
        <v>778</v>
      </c>
    </row>
    <row r="392" spans="1:16" x14ac:dyDescent="0.25">
      <c r="A392">
        <v>390</v>
      </c>
      <c r="B392">
        <v>3.4704000000000002</v>
      </c>
      <c r="C392" s="3">
        <v>3.3966761904761906</v>
      </c>
      <c r="D392" s="8">
        <f t="shared" si="64"/>
        <v>-7.3723809523809525E-2</v>
      </c>
      <c r="E392" s="8">
        <f t="shared" si="65"/>
        <v>-7.3392857142857704E-2</v>
      </c>
      <c r="F392" s="3">
        <v>19.719999999999995</v>
      </c>
      <c r="G392" s="9">
        <v>4084.1999999999989</v>
      </c>
      <c r="H392">
        <f t="shared" si="66"/>
        <v>-1.4473071428571536</v>
      </c>
      <c r="I392">
        <f t="shared" si="60"/>
        <v>-1.4473071428571536</v>
      </c>
      <c r="J392">
        <f t="shared" si="61"/>
        <v>-0.3543673529350066</v>
      </c>
      <c r="K392">
        <f t="shared" si="62"/>
        <v>-6.9999999999992291E-4</v>
      </c>
      <c r="L392">
        <f t="shared" si="63"/>
        <v>-2.2857142857168888E-4</v>
      </c>
      <c r="M392">
        <f t="shared" si="67"/>
        <v>-4.6428571428580589E-4</v>
      </c>
      <c r="N392">
        <f t="shared" si="68"/>
        <v>-1.523093790244963E-4</v>
      </c>
      <c r="O392" s="3">
        <f t="shared" si="69"/>
        <v>-1.5230937902449631</v>
      </c>
      <c r="P392">
        <v>780</v>
      </c>
    </row>
    <row r="393" spans="1:16" x14ac:dyDescent="0.25">
      <c r="A393">
        <v>391</v>
      </c>
      <c r="B393">
        <v>3.4695</v>
      </c>
      <c r="C393" s="3">
        <v>3.3964380952380941</v>
      </c>
      <c r="D393" s="8">
        <f t="shared" si="64"/>
        <v>-7.3061904761905883E-2</v>
      </c>
      <c r="E393" s="8">
        <f t="shared" si="65"/>
        <v>-7.320000000000082E-2</v>
      </c>
      <c r="F393" s="3">
        <v>19.667999999999996</v>
      </c>
      <c r="G393" s="9">
        <v>4078.2799999999988</v>
      </c>
      <c r="H393">
        <f t="shared" si="66"/>
        <v>-1.4396976000000159</v>
      </c>
      <c r="I393">
        <f t="shared" si="60"/>
        <v>-1.4396976000000159</v>
      </c>
      <c r="J393">
        <f t="shared" si="61"/>
        <v>-0.35301587924321437</v>
      </c>
      <c r="K393">
        <f t="shared" si="62"/>
        <v>-5.0000000000016698E-4</v>
      </c>
      <c r="L393">
        <f t="shared" si="63"/>
        <v>-3.0714285714328327E-4</v>
      </c>
      <c r="M393">
        <f t="shared" si="67"/>
        <v>-4.0357142857172512E-4</v>
      </c>
      <c r="N393">
        <f t="shared" si="68"/>
        <v>-1.7455491943714642E-4</v>
      </c>
      <c r="O393" s="3">
        <f t="shared" si="69"/>
        <v>-1.7455491943714643</v>
      </c>
      <c r="P393">
        <v>782</v>
      </c>
    </row>
    <row r="394" spans="1:16" x14ac:dyDescent="0.25">
      <c r="A394">
        <v>392</v>
      </c>
      <c r="B394">
        <v>3.4693999999999998</v>
      </c>
      <c r="C394" s="3">
        <v>3.3960619047619041</v>
      </c>
      <c r="D394" s="8">
        <f t="shared" si="64"/>
        <v>-7.3338095238095757E-2</v>
      </c>
      <c r="E394" s="8">
        <f t="shared" si="65"/>
        <v>-7.3359523809524152E-2</v>
      </c>
      <c r="F394" s="3">
        <v>19.615999999999996</v>
      </c>
      <c r="G394" s="9">
        <v>4072.3599999999988</v>
      </c>
      <c r="H394">
        <f t="shared" si="66"/>
        <v>-1.4390204190476255</v>
      </c>
      <c r="I394">
        <f t="shared" si="60"/>
        <v>-1.4390204190476255</v>
      </c>
      <c r="J394">
        <f t="shared" si="61"/>
        <v>-0.35336277221258089</v>
      </c>
      <c r="K394">
        <f t="shared" si="62"/>
        <v>-2.5000000000008349E-4</v>
      </c>
      <c r="L394">
        <f t="shared" si="63"/>
        <v>-4.0952380952341549E-4</v>
      </c>
      <c r="M394">
        <f t="shared" si="67"/>
        <v>-3.2976190476174949E-4</v>
      </c>
      <c r="N394">
        <f t="shared" si="68"/>
        <v>-2.1383489334699494E-4</v>
      </c>
      <c r="O394" s="3">
        <f t="shared" si="69"/>
        <v>-2.1383489334699495</v>
      </c>
      <c r="P394">
        <v>784</v>
      </c>
    </row>
    <row r="395" spans="1:16" x14ac:dyDescent="0.25">
      <c r="A395">
        <v>393</v>
      </c>
      <c r="B395">
        <v>3.4689999999999999</v>
      </c>
      <c r="C395" s="3">
        <v>3.3956190476190473</v>
      </c>
      <c r="D395" s="8">
        <f t="shared" si="64"/>
        <v>-7.3380952380952547E-2</v>
      </c>
      <c r="E395" s="8">
        <f t="shared" si="65"/>
        <v>-7.3380952380952102E-2</v>
      </c>
      <c r="F395" s="3">
        <v>19.564</v>
      </c>
      <c r="G395" s="9">
        <v>4066.4399999999987</v>
      </c>
      <c r="H395">
        <f t="shared" si="66"/>
        <v>-1.435624952380947</v>
      </c>
      <c r="I395">
        <f t="shared" si="60"/>
        <v>-1.435624952380947</v>
      </c>
      <c r="J395">
        <f t="shared" si="61"/>
        <v>-0.35304220703636291</v>
      </c>
      <c r="K395">
        <f t="shared" si="62"/>
        <v>-2.9999999999996696E-4</v>
      </c>
      <c r="L395">
        <f t="shared" si="63"/>
        <v>-3.2142857142791748E-4</v>
      </c>
      <c r="M395">
        <f t="shared" si="67"/>
        <v>-3.1071428571394222E-4</v>
      </c>
      <c r="N395">
        <f t="shared" si="68"/>
        <v>-2.2673766618014934E-4</v>
      </c>
      <c r="O395" s="3">
        <f t="shared" si="69"/>
        <v>-2.2673766618014932</v>
      </c>
      <c r="P395">
        <v>786</v>
      </c>
    </row>
    <row r="396" spans="1:16" x14ac:dyDescent="0.25">
      <c r="A396">
        <v>394</v>
      </c>
      <c r="B396">
        <v>3.4687999999999999</v>
      </c>
      <c r="C396" s="3">
        <v>3.3954190476190482</v>
      </c>
      <c r="D396" s="8">
        <f t="shared" si="64"/>
        <v>-7.3380952380951658E-2</v>
      </c>
      <c r="E396" s="8">
        <f t="shared" si="65"/>
        <v>-7.3314285714285443E-2</v>
      </c>
      <c r="F396" s="3">
        <v>19.511999999999997</v>
      </c>
      <c r="G396" s="9">
        <v>4060.5199999999991</v>
      </c>
      <c r="H396">
        <f t="shared" si="66"/>
        <v>-1.4305083428571372</v>
      </c>
      <c r="I396">
        <f t="shared" si="60"/>
        <v>-1.4305083428571372</v>
      </c>
      <c r="J396">
        <f t="shared" si="61"/>
        <v>-0.35229683460668526</v>
      </c>
      <c r="K396">
        <f t="shared" si="62"/>
        <v>-2.9999999999996696E-4</v>
      </c>
      <c r="L396">
        <f t="shared" si="63"/>
        <v>-2.3333333333330764E-4</v>
      </c>
      <c r="M396">
        <f t="shared" si="67"/>
        <v>-2.666666666666373E-4</v>
      </c>
      <c r="N396">
        <f t="shared" si="68"/>
        <v>-2.6363209007327889E-4</v>
      </c>
      <c r="O396" s="3">
        <f t="shared" si="69"/>
        <v>-2.6363209007327888</v>
      </c>
      <c r="P396">
        <v>788</v>
      </c>
    </row>
    <row r="397" spans="1:16" x14ac:dyDescent="0.25">
      <c r="A397">
        <v>395</v>
      </c>
      <c r="B397">
        <v>3.4683999999999999</v>
      </c>
      <c r="C397" s="3">
        <v>3.3951523809523807</v>
      </c>
      <c r="D397" s="8">
        <f t="shared" si="64"/>
        <v>-7.3247619047619228E-2</v>
      </c>
      <c r="E397" s="8">
        <f t="shared" si="65"/>
        <v>-7.3207142857143026E-2</v>
      </c>
      <c r="F397" s="3">
        <v>19.459999999999997</v>
      </c>
      <c r="G397" s="9">
        <v>4054.5999999999995</v>
      </c>
      <c r="H397">
        <f t="shared" si="66"/>
        <v>-1.4246110000000032</v>
      </c>
      <c r="I397">
        <f t="shared" si="60"/>
        <v>-1.4246110000000032</v>
      </c>
      <c r="J397">
        <f t="shared" si="61"/>
        <v>-0.35135673062694306</v>
      </c>
      <c r="K397">
        <f t="shared" si="62"/>
        <v>-3.9999999999995595E-4</v>
      </c>
      <c r="L397">
        <f t="shared" si="63"/>
        <v>-2.9285714285753883E-4</v>
      </c>
      <c r="M397">
        <f t="shared" si="67"/>
        <v>-3.4642857142874739E-4</v>
      </c>
      <c r="N397">
        <f t="shared" si="68"/>
        <v>-2.0239176528183896E-4</v>
      </c>
      <c r="O397" s="3">
        <f t="shared" si="69"/>
        <v>-2.0239176528183895</v>
      </c>
      <c r="P397">
        <v>790</v>
      </c>
    </row>
    <row r="398" spans="1:16" x14ac:dyDescent="0.25">
      <c r="A398">
        <v>396</v>
      </c>
      <c r="B398">
        <v>3.468</v>
      </c>
      <c r="C398" s="3">
        <v>3.3948333333333331</v>
      </c>
      <c r="D398" s="8">
        <f t="shared" si="64"/>
        <v>-7.3166666666666824E-2</v>
      </c>
      <c r="E398" s="8">
        <f t="shared" si="65"/>
        <v>-7.333333333333325E-2</v>
      </c>
      <c r="F398" s="3">
        <v>19.407999999999998</v>
      </c>
      <c r="G398" s="9">
        <v>4048.6799999999994</v>
      </c>
      <c r="H398">
        <f t="shared" si="66"/>
        <v>-1.4232533333333315</v>
      </c>
      <c r="I398">
        <f t="shared" si="60"/>
        <v>-1.4232533333333315</v>
      </c>
      <c r="J398">
        <f t="shared" si="61"/>
        <v>-0.35153515055112572</v>
      </c>
      <c r="K398">
        <f t="shared" si="62"/>
        <v>-1.4999999999987246E-4</v>
      </c>
      <c r="L398">
        <f t="shared" si="63"/>
        <v>-2.7619047619009685E-4</v>
      </c>
      <c r="M398">
        <f t="shared" si="67"/>
        <v>-2.1309523809498465E-4</v>
      </c>
      <c r="N398">
        <f t="shared" si="68"/>
        <v>-3.2919503492433578E-4</v>
      </c>
      <c r="O398" s="3">
        <f t="shared" si="69"/>
        <v>-3.2919503492433577</v>
      </c>
      <c r="P398">
        <v>792</v>
      </c>
    </row>
    <row r="399" spans="1:16" x14ac:dyDescent="0.25">
      <c r="A399">
        <v>397</v>
      </c>
      <c r="B399">
        <v>3.4681000000000002</v>
      </c>
      <c r="C399" s="3">
        <v>3.3946000000000005</v>
      </c>
      <c r="D399" s="8">
        <f t="shared" si="64"/>
        <v>-7.3499999999999677E-2</v>
      </c>
      <c r="E399" s="8">
        <f t="shared" si="65"/>
        <v>-7.3354761904761645E-2</v>
      </c>
      <c r="F399" s="3">
        <v>19.356000000000002</v>
      </c>
      <c r="G399" s="9">
        <v>4042.7599999999993</v>
      </c>
      <c r="H399">
        <f t="shared" si="66"/>
        <v>-1.4198547714285665</v>
      </c>
      <c r="I399">
        <f t="shared" si="60"/>
        <v>-1.4198547714285665</v>
      </c>
      <c r="J399">
        <f t="shared" si="61"/>
        <v>-0.35120926580567896</v>
      </c>
      <c r="K399">
        <f t="shared" si="62"/>
        <v>-2.5000000000008349E-4</v>
      </c>
      <c r="L399">
        <f t="shared" si="63"/>
        <v>-2.7142857142847809E-4</v>
      </c>
      <c r="M399">
        <f t="shared" si="67"/>
        <v>-2.6071428571428079E-4</v>
      </c>
      <c r="N399">
        <f t="shared" si="68"/>
        <v>-2.6881865286304421E-4</v>
      </c>
      <c r="O399" s="3">
        <f t="shared" si="69"/>
        <v>-2.6881865286304421</v>
      </c>
      <c r="P399">
        <v>794</v>
      </c>
    </row>
    <row r="400" spans="1:16" x14ac:dyDescent="0.25">
      <c r="A400">
        <v>398</v>
      </c>
      <c r="B400">
        <v>3.4674999999999998</v>
      </c>
      <c r="C400" s="3">
        <v>3.3942904761904762</v>
      </c>
      <c r="D400" s="8">
        <f t="shared" si="64"/>
        <v>-7.3209523809523613E-2</v>
      </c>
      <c r="E400" s="8">
        <f t="shared" si="65"/>
        <v>-7.2750000000000092E-2</v>
      </c>
      <c r="F400" s="3">
        <v>19.303999999999998</v>
      </c>
      <c r="G400" s="9">
        <v>4036.8399999999997</v>
      </c>
      <c r="H400">
        <f t="shared" si="66"/>
        <v>-1.4043660000000018</v>
      </c>
      <c r="I400">
        <f t="shared" si="60"/>
        <v>-1.4043660000000018</v>
      </c>
      <c r="J400">
        <f t="shared" si="61"/>
        <v>-0.34788745652540154</v>
      </c>
      <c r="K400">
        <f t="shared" si="62"/>
        <v>-9.0000000000012292E-4</v>
      </c>
      <c r="L400">
        <f t="shared" si="63"/>
        <v>-2.9523809523857025E-4</v>
      </c>
      <c r="M400">
        <f t="shared" si="67"/>
        <v>-5.9761904761934659E-4</v>
      </c>
      <c r="N400">
        <f t="shared" si="68"/>
        <v>-1.1616427945672255E-4</v>
      </c>
      <c r="O400" s="3">
        <f t="shared" si="69"/>
        <v>-1.1616427945672256</v>
      </c>
      <c r="P400">
        <v>796</v>
      </c>
    </row>
    <row r="401" spans="1:16" x14ac:dyDescent="0.25">
      <c r="A401">
        <v>399</v>
      </c>
      <c r="B401">
        <v>3.4662999999999999</v>
      </c>
      <c r="C401" s="3">
        <v>3.3940095238095234</v>
      </c>
      <c r="D401" s="8">
        <f t="shared" si="64"/>
        <v>-7.2290476190476571E-2</v>
      </c>
      <c r="E401" s="8">
        <f t="shared" si="65"/>
        <v>-7.1997619047619255E-2</v>
      </c>
      <c r="F401" s="3">
        <v>19.251999999999999</v>
      </c>
      <c r="G401" s="9">
        <v>4030.92</v>
      </c>
      <c r="H401">
        <f t="shared" si="66"/>
        <v>-1.3860981619047659</v>
      </c>
      <c r="I401">
        <f t="shared" si="60"/>
        <v>-1.3860981619047659</v>
      </c>
      <c r="J401">
        <f t="shared" si="61"/>
        <v>-0.3438664527960778</v>
      </c>
      <c r="K401">
        <f t="shared" si="62"/>
        <v>-9.9999999999988987E-4</v>
      </c>
      <c r="L401">
        <f t="shared" si="63"/>
        <v>-2.4761904761905207E-4</v>
      </c>
      <c r="M401">
        <f t="shared" si="67"/>
        <v>-6.2380952380947097E-4</v>
      </c>
      <c r="N401">
        <f t="shared" si="68"/>
        <v>-1.1000085775371939E-4</v>
      </c>
      <c r="O401" s="3">
        <f t="shared" si="69"/>
        <v>-1.1000085775371939</v>
      </c>
      <c r="P401">
        <v>798</v>
      </c>
    </row>
    <row r="402" spans="1:16" x14ac:dyDescent="0.25">
      <c r="A402">
        <v>400</v>
      </c>
      <c r="B402">
        <v>3.4655</v>
      </c>
      <c r="C402" s="3">
        <v>3.3937952380952381</v>
      </c>
      <c r="D402" s="8">
        <f t="shared" si="64"/>
        <v>-7.1704761904761938E-2</v>
      </c>
      <c r="E402" s="8">
        <f t="shared" si="65"/>
        <v>-7.1978571428571225E-2</v>
      </c>
      <c r="F402" s="3">
        <v>19.2</v>
      </c>
      <c r="G402">
        <v>4025</v>
      </c>
      <c r="H402">
        <f t="shared" si="66"/>
        <v>-1.3819885714285676</v>
      </c>
      <c r="I402">
        <f t="shared" si="60"/>
        <v>-1.3819885714285676</v>
      </c>
      <c r="J402">
        <f t="shared" si="61"/>
        <v>-0.34335119787045154</v>
      </c>
      <c r="K402">
        <f t="shared" si="62"/>
        <v>-3.5000000000007248E-4</v>
      </c>
      <c r="L402">
        <f t="shared" si="63"/>
        <v>-3.3095238095204316E-4</v>
      </c>
      <c r="M402">
        <f t="shared" si="67"/>
        <v>-3.4047619047605782E-4</v>
      </c>
      <c r="N402">
        <f t="shared" si="68"/>
        <v>-2.0123804231758042E-4</v>
      </c>
      <c r="O402" s="3">
        <f t="shared" si="69"/>
        <v>-2.012380423175804</v>
      </c>
      <c r="P402">
        <v>800</v>
      </c>
    </row>
    <row r="403" spans="1:16" x14ac:dyDescent="0.25">
      <c r="A403">
        <v>401</v>
      </c>
      <c r="B403">
        <v>3.4655999999999998</v>
      </c>
      <c r="C403" s="3">
        <v>3.3933476190476193</v>
      </c>
      <c r="D403" s="8">
        <f t="shared" si="64"/>
        <v>-7.2252380952380513E-2</v>
      </c>
      <c r="E403" s="8">
        <f t="shared" si="65"/>
        <v>-7.2521428571428626E-2</v>
      </c>
      <c r="F403" s="3">
        <v>19.155999999999999</v>
      </c>
      <c r="G403" s="9">
        <v>4010.08</v>
      </c>
      <c r="H403">
        <f t="shared" si="66"/>
        <v>-1.3892204857142867</v>
      </c>
      <c r="I403">
        <f t="shared" si="60"/>
        <v>-1.3892204857142867</v>
      </c>
      <c r="J403">
        <f t="shared" si="61"/>
        <v>-0.3464321125050589</v>
      </c>
      <c r="K403">
        <f t="shared" si="62"/>
        <v>1.9999999999997797E-4</v>
      </c>
      <c r="L403">
        <f t="shared" si="63"/>
        <v>-3.428571428574223E-4</v>
      </c>
      <c r="M403">
        <f t="shared" si="67"/>
        <v>-7.1428571428722165E-5</v>
      </c>
      <c r="N403">
        <f t="shared" si="68"/>
        <v>-9.6784194904625423E-4</v>
      </c>
      <c r="O403" s="3">
        <f t="shared" si="69"/>
        <v>-9.6784194904625416</v>
      </c>
      <c r="P403">
        <v>802</v>
      </c>
    </row>
    <row r="404" spans="1:16" x14ac:dyDescent="0.25">
      <c r="A404">
        <v>402</v>
      </c>
      <c r="B404">
        <v>3.4659</v>
      </c>
      <c r="C404" s="3">
        <v>3.3931095238095232</v>
      </c>
      <c r="D404" s="8">
        <f t="shared" si="64"/>
        <v>-7.2790476190476738E-2</v>
      </c>
      <c r="E404" s="8">
        <f t="shared" si="65"/>
        <v>-7.2733333333333539E-2</v>
      </c>
      <c r="F404" s="3">
        <v>19.112000000000002</v>
      </c>
      <c r="G404" s="9">
        <v>3995.16</v>
      </c>
      <c r="H404">
        <f t="shared" si="66"/>
        <v>-1.3900794666666707</v>
      </c>
      <c r="I404">
        <f t="shared" si="60"/>
        <v>-1.3900794666666707</v>
      </c>
      <c r="J404">
        <f t="shared" si="61"/>
        <v>-0.34794087512556965</v>
      </c>
      <c r="K404">
        <f t="shared" si="62"/>
        <v>-4.9999999999883471E-5</v>
      </c>
      <c r="L404">
        <f t="shared" si="63"/>
        <v>-2.619047619047965E-4</v>
      </c>
      <c r="M404">
        <f t="shared" si="67"/>
        <v>-1.5595238095233999E-4</v>
      </c>
      <c r="N404">
        <f t="shared" si="68"/>
        <v>-4.4521696606556317E-4</v>
      </c>
      <c r="O404" s="3">
        <f t="shared" si="69"/>
        <v>-4.452169660655632</v>
      </c>
      <c r="P404">
        <v>804</v>
      </c>
    </row>
    <row r="405" spans="1:16" x14ac:dyDescent="0.25">
      <c r="A405">
        <v>403</v>
      </c>
      <c r="B405">
        <v>3.4655</v>
      </c>
      <c r="C405" s="3">
        <v>3.3928238095238097</v>
      </c>
      <c r="D405" s="8">
        <f t="shared" si="64"/>
        <v>-7.2676190476190339E-2</v>
      </c>
      <c r="E405" s="8">
        <f t="shared" si="65"/>
        <v>-7.2566666666666668E-2</v>
      </c>
      <c r="F405" s="3">
        <v>19.068000000000001</v>
      </c>
      <c r="G405" s="9">
        <v>3980.24</v>
      </c>
      <c r="H405">
        <f t="shared" si="66"/>
        <v>-1.3837012000000002</v>
      </c>
      <c r="I405">
        <f t="shared" si="60"/>
        <v>-1.3837012000000002</v>
      </c>
      <c r="J405">
        <f t="shared" si="61"/>
        <v>-0.34764265471428862</v>
      </c>
      <c r="K405">
        <f t="shared" si="62"/>
        <v>-4.5000000000006146E-4</v>
      </c>
      <c r="L405">
        <f t="shared" si="63"/>
        <v>-2.8333333333319111E-4</v>
      </c>
      <c r="M405">
        <f t="shared" si="67"/>
        <v>-3.6666666666662628E-4</v>
      </c>
      <c r="N405">
        <f t="shared" si="68"/>
        <v>-1.8919945941871675E-4</v>
      </c>
      <c r="O405" s="3">
        <f t="shared" si="69"/>
        <v>-1.8919945941871674</v>
      </c>
      <c r="P405">
        <v>806</v>
      </c>
    </row>
    <row r="406" spans="1:16" x14ac:dyDescent="0.25">
      <c r="A406">
        <v>404</v>
      </c>
      <c r="B406">
        <v>3.4649999999999999</v>
      </c>
      <c r="C406" s="3">
        <v>3.3925428571428569</v>
      </c>
      <c r="D406" s="8">
        <f t="shared" si="64"/>
        <v>-7.2457142857142998E-2</v>
      </c>
      <c r="E406" s="8">
        <f t="shared" si="65"/>
        <v>-7.2378571428571181E-2</v>
      </c>
      <c r="F406" s="3">
        <v>19.024000000000001</v>
      </c>
      <c r="G406" s="9">
        <v>3965.3199999999997</v>
      </c>
      <c r="H406">
        <f t="shared" si="66"/>
        <v>-1.3769299428571382</v>
      </c>
      <c r="I406">
        <f t="shared" si="60"/>
        <v>-1.3769299428571382</v>
      </c>
      <c r="J406">
        <f t="shared" si="61"/>
        <v>-0.34724308324602765</v>
      </c>
      <c r="K406">
        <f t="shared" si="62"/>
        <v>-4.5000000000006146E-4</v>
      </c>
      <c r="L406">
        <f t="shared" si="63"/>
        <v>-2.6190476190457446E-4</v>
      </c>
      <c r="M406">
        <f t="shared" si="67"/>
        <v>-3.5595238095231796E-4</v>
      </c>
      <c r="N406">
        <f t="shared" si="68"/>
        <v>-1.946704198159433E-4</v>
      </c>
      <c r="O406" s="3">
        <f t="shared" si="69"/>
        <v>-1.9467041981594331</v>
      </c>
      <c r="P406">
        <v>808</v>
      </c>
    </row>
    <row r="407" spans="1:16" x14ac:dyDescent="0.25">
      <c r="A407">
        <v>405</v>
      </c>
      <c r="B407">
        <v>3.4645999999999999</v>
      </c>
      <c r="C407" s="3">
        <v>3.3923000000000005</v>
      </c>
      <c r="D407" s="8">
        <f t="shared" si="64"/>
        <v>-7.2299999999999365E-2</v>
      </c>
      <c r="E407" s="8">
        <f t="shared" si="65"/>
        <v>-7.2285714285713842E-2</v>
      </c>
      <c r="F407" s="3">
        <v>18.98</v>
      </c>
      <c r="G407" s="9">
        <v>3950.3999999999996</v>
      </c>
      <c r="H407">
        <f t="shared" si="66"/>
        <v>-1.3719828571428487</v>
      </c>
      <c r="I407">
        <f t="shared" si="60"/>
        <v>-1.3719828571428487</v>
      </c>
      <c r="J407">
        <f t="shared" si="61"/>
        <v>-0.34730226233871225</v>
      </c>
      <c r="K407">
        <f t="shared" si="62"/>
        <v>-3.9999999999995595E-4</v>
      </c>
      <c r="L407">
        <f t="shared" si="63"/>
        <v>-3.0714285714261713E-4</v>
      </c>
      <c r="M407">
        <f t="shared" si="67"/>
        <v>-3.5357142857128654E-4</v>
      </c>
      <c r="N407">
        <f t="shared" si="68"/>
        <v>-1.9601473195976065E-4</v>
      </c>
      <c r="O407" s="3">
        <f t="shared" si="69"/>
        <v>-1.9601473195976065</v>
      </c>
      <c r="P407">
        <v>810</v>
      </c>
    </row>
    <row r="408" spans="1:16" x14ac:dyDescent="0.25">
      <c r="A408">
        <v>406</v>
      </c>
      <c r="B408">
        <v>3.4641999999999999</v>
      </c>
      <c r="C408" s="3">
        <v>3.3919285714285716</v>
      </c>
      <c r="D408" s="8">
        <f t="shared" si="64"/>
        <v>-7.227142857142832E-2</v>
      </c>
      <c r="E408" s="8">
        <f t="shared" si="65"/>
        <v>-7.2238095238095212E-2</v>
      </c>
      <c r="F408" s="3">
        <v>18.936</v>
      </c>
      <c r="G408" s="9">
        <v>3935.4799999999996</v>
      </c>
      <c r="H408">
        <f t="shared" si="66"/>
        <v>-1.367900571428571</v>
      </c>
      <c r="I408">
        <f t="shared" si="60"/>
        <v>-1.367900571428571</v>
      </c>
      <c r="J408">
        <f t="shared" si="61"/>
        <v>-0.34758163462362179</v>
      </c>
      <c r="K408">
        <f t="shared" si="62"/>
        <v>-3.4999999999985043E-4</v>
      </c>
      <c r="L408">
        <f t="shared" si="63"/>
        <v>-3.0238095238122042E-4</v>
      </c>
      <c r="M408">
        <f t="shared" si="67"/>
        <v>-3.2619047619053543E-4</v>
      </c>
      <c r="N408">
        <f t="shared" si="68"/>
        <v>-2.1263943444333545E-4</v>
      </c>
      <c r="O408" s="3">
        <f t="shared" si="69"/>
        <v>-2.1263943444333546</v>
      </c>
      <c r="P408">
        <v>812</v>
      </c>
    </row>
    <row r="409" spans="1:16" x14ac:dyDescent="0.25">
      <c r="A409">
        <v>407</v>
      </c>
      <c r="B409">
        <v>3.4639000000000002</v>
      </c>
      <c r="C409" s="3">
        <v>3.3916952380952381</v>
      </c>
      <c r="D409" s="8">
        <f t="shared" si="64"/>
        <v>-7.2204761904762105E-2</v>
      </c>
      <c r="E409" s="8">
        <f t="shared" si="65"/>
        <v>-7.2183333333333266E-2</v>
      </c>
      <c r="F409" s="3">
        <v>18.892000000000003</v>
      </c>
      <c r="G409" s="9">
        <v>3920.5599999999995</v>
      </c>
      <c r="H409">
        <f t="shared" si="66"/>
        <v>-1.3636875333333323</v>
      </c>
      <c r="I409">
        <f t="shared" ref="I409:I472" si="70">H409</f>
        <v>-1.3636875333333323</v>
      </c>
      <c r="J409">
        <f t="shared" ref="J409:J472" si="71">(I409/G409)*1000</f>
        <v>-0.3478297828201411</v>
      </c>
      <c r="K409">
        <f t="shared" ref="K409:K472" si="72">(B410-B408)/(A410-A408)</f>
        <v>-2.9999999999996696E-4</v>
      </c>
      <c r="L409">
        <f t="shared" ref="L409:L472" si="73">(C410-C408)/(A410-A408)</f>
        <v>-2.4523809523802065E-4</v>
      </c>
      <c r="M409">
        <f t="shared" si="67"/>
        <v>-2.726190476189938E-4</v>
      </c>
      <c r="N409">
        <f t="shared" si="68"/>
        <v>-2.546061168562997E-4</v>
      </c>
      <c r="O409" s="3">
        <f t="shared" si="69"/>
        <v>-2.5460611685629968</v>
      </c>
      <c r="P409">
        <v>814</v>
      </c>
    </row>
    <row r="410" spans="1:16" x14ac:dyDescent="0.25">
      <c r="A410">
        <v>408</v>
      </c>
      <c r="B410">
        <v>3.4636</v>
      </c>
      <c r="C410" s="3">
        <v>3.3914380952380956</v>
      </c>
      <c r="D410" s="8">
        <f t="shared" ref="D410:D473" si="74">C410-B410</f>
        <v>-7.2161904761904427E-2</v>
      </c>
      <c r="E410" s="8">
        <f t="shared" si="65"/>
        <v>-7.2092857142857181E-2</v>
      </c>
      <c r="F410" s="3">
        <v>18.848000000000003</v>
      </c>
      <c r="G410" s="9">
        <v>3905.6399999999994</v>
      </c>
      <c r="H410">
        <f t="shared" si="66"/>
        <v>-1.3588061714285724</v>
      </c>
      <c r="I410">
        <f t="shared" si="70"/>
        <v>-1.3588061714285724</v>
      </c>
      <c r="J410">
        <f t="shared" si="71"/>
        <v>-0.34790870930976042</v>
      </c>
      <c r="K410">
        <f t="shared" si="72"/>
        <v>-3.5000000000007248E-4</v>
      </c>
      <c r="L410">
        <f t="shared" si="73"/>
        <v>-2.5952380952398713E-4</v>
      </c>
      <c r="M410">
        <f t="shared" si="67"/>
        <v>-3.047619047620298E-4</v>
      </c>
      <c r="N410">
        <f t="shared" si="68"/>
        <v>-2.2780480771515468E-4</v>
      </c>
      <c r="O410" s="3">
        <f t="shared" si="69"/>
        <v>-2.278048077151547</v>
      </c>
      <c r="P410">
        <v>816</v>
      </c>
    </row>
    <row r="411" spans="1:16" x14ac:dyDescent="0.25">
      <c r="A411">
        <v>409</v>
      </c>
      <c r="B411">
        <v>3.4632000000000001</v>
      </c>
      <c r="C411" s="3">
        <v>3.3911761904761901</v>
      </c>
      <c r="D411" s="8">
        <f t="shared" si="74"/>
        <v>-7.2023809523809934E-2</v>
      </c>
      <c r="E411" s="8">
        <f t="shared" si="65"/>
        <v>-7.1861904761905127E-2</v>
      </c>
      <c r="F411" s="3">
        <v>18.804000000000002</v>
      </c>
      <c r="G411" s="9">
        <v>3890.7199999999993</v>
      </c>
      <c r="H411">
        <f t="shared" si="66"/>
        <v>-1.3512912571428641</v>
      </c>
      <c r="I411">
        <f t="shared" si="70"/>
        <v>-1.3512912571428641</v>
      </c>
      <c r="J411">
        <f t="shared" si="71"/>
        <v>-0.34731136065891771</v>
      </c>
      <c r="K411">
        <f t="shared" si="72"/>
        <v>-4.9999999999994493E-4</v>
      </c>
      <c r="L411">
        <f t="shared" si="73"/>
        <v>-2.6904761904789076E-4</v>
      </c>
      <c r="M411">
        <f t="shared" si="67"/>
        <v>-3.8452380952391785E-4</v>
      </c>
      <c r="N411">
        <f t="shared" si="68"/>
        <v>-1.8024117799868771E-4</v>
      </c>
      <c r="O411" s="3">
        <f t="shared" si="69"/>
        <v>-1.8024117799868771</v>
      </c>
      <c r="P411">
        <v>818</v>
      </c>
    </row>
    <row r="412" spans="1:16" x14ac:dyDescent="0.25">
      <c r="A412">
        <v>410</v>
      </c>
      <c r="B412">
        <v>3.4626000000000001</v>
      </c>
      <c r="C412" s="3">
        <v>3.3908999999999998</v>
      </c>
      <c r="D412" s="8">
        <f t="shared" si="74"/>
        <v>-7.1700000000000319E-2</v>
      </c>
      <c r="E412" s="8">
        <f t="shared" si="65"/>
        <v>-7.1588095238095617E-2</v>
      </c>
      <c r="F412" s="3">
        <v>18.760000000000002</v>
      </c>
      <c r="G412" s="9">
        <v>3875.7999999999993</v>
      </c>
      <c r="H412">
        <f t="shared" si="66"/>
        <v>-1.3429926666666738</v>
      </c>
      <c r="I412">
        <f t="shared" si="70"/>
        <v>-1.3429926666666738</v>
      </c>
      <c r="J412">
        <f t="shared" si="71"/>
        <v>-0.34650721571460708</v>
      </c>
      <c r="K412">
        <f t="shared" si="72"/>
        <v>-4.9999999999994493E-4</v>
      </c>
      <c r="L412">
        <f t="shared" si="73"/>
        <v>-2.2619047619043542E-4</v>
      </c>
      <c r="M412">
        <f t="shared" si="67"/>
        <v>-3.6309523809519018E-4</v>
      </c>
      <c r="N412">
        <f t="shared" si="68"/>
        <v>-1.9043641338503938E-4</v>
      </c>
      <c r="O412" s="3">
        <f t="shared" si="69"/>
        <v>-1.9043641338503938</v>
      </c>
      <c r="P412">
        <v>820</v>
      </c>
    </row>
    <row r="413" spans="1:16" x14ac:dyDescent="0.25">
      <c r="A413">
        <v>411</v>
      </c>
      <c r="B413">
        <v>3.4622000000000002</v>
      </c>
      <c r="C413" s="3">
        <v>3.3907238095238093</v>
      </c>
      <c r="D413" s="8">
        <f t="shared" si="74"/>
        <v>-7.1476190476190915E-2</v>
      </c>
      <c r="E413" s="8">
        <f t="shared" si="65"/>
        <v>-7.1369047619048054E-2</v>
      </c>
      <c r="F413" s="3">
        <v>18.716000000000001</v>
      </c>
      <c r="G413" s="9">
        <v>3860.8799999999992</v>
      </c>
      <c r="H413">
        <f t="shared" si="66"/>
        <v>-1.3357430952381035</v>
      </c>
      <c r="I413">
        <f t="shared" si="70"/>
        <v>-1.3357430952381035</v>
      </c>
      <c r="J413">
        <f t="shared" si="71"/>
        <v>-0.34596856033808454</v>
      </c>
      <c r="K413">
        <f t="shared" si="72"/>
        <v>-4.5000000000006146E-4</v>
      </c>
      <c r="L413">
        <f t="shared" si="73"/>
        <v>-2.3095238095249826E-4</v>
      </c>
      <c r="M413">
        <f t="shared" si="67"/>
        <v>-3.4047619047627986E-4</v>
      </c>
      <c r="N413">
        <f t="shared" si="68"/>
        <v>-2.0277207773741694E-4</v>
      </c>
      <c r="O413" s="3">
        <f t="shared" si="69"/>
        <v>-2.0277207773741694</v>
      </c>
      <c r="P413">
        <v>822</v>
      </c>
    </row>
    <row r="414" spans="1:16" x14ac:dyDescent="0.25">
      <c r="A414">
        <v>412</v>
      </c>
      <c r="B414">
        <v>3.4617</v>
      </c>
      <c r="C414" s="3">
        <v>3.3904380952380948</v>
      </c>
      <c r="D414" s="8">
        <f t="shared" si="74"/>
        <v>-7.1261904761905193E-2</v>
      </c>
      <c r="E414" s="8">
        <f t="shared" si="65"/>
        <v>-7.1409523809524034E-2</v>
      </c>
      <c r="F414" s="3">
        <v>18.672000000000004</v>
      </c>
      <c r="G414" s="9">
        <v>3845.9599999999991</v>
      </c>
      <c r="H414">
        <f t="shared" si="66"/>
        <v>-1.3333586285714329</v>
      </c>
      <c r="I414">
        <f t="shared" si="70"/>
        <v>-1.3333586285714329</v>
      </c>
      <c r="J414">
        <f t="shared" si="71"/>
        <v>-0.34669071664069134</v>
      </c>
      <c r="K414">
        <f t="shared" si="72"/>
        <v>-2.5000000000008349E-4</v>
      </c>
      <c r="L414">
        <f t="shared" si="73"/>
        <v>-2.9047619047606332E-4</v>
      </c>
      <c r="M414">
        <f t="shared" si="67"/>
        <v>-2.7023809523807341E-4</v>
      </c>
      <c r="N414">
        <f t="shared" si="68"/>
        <v>-2.5600821734486932E-4</v>
      </c>
      <c r="O414" s="3">
        <f t="shared" si="69"/>
        <v>-2.5600821734486932</v>
      </c>
      <c r="P414">
        <v>824</v>
      </c>
    </row>
    <row r="415" spans="1:16" x14ac:dyDescent="0.25">
      <c r="A415">
        <v>413</v>
      </c>
      <c r="B415">
        <v>3.4617</v>
      </c>
      <c r="C415" s="3">
        <v>3.3901428571428571</v>
      </c>
      <c r="D415" s="8">
        <f t="shared" si="74"/>
        <v>-7.1557142857142875E-2</v>
      </c>
      <c r="E415" s="8">
        <f t="shared" si="65"/>
        <v>-7.1499999999999897E-2</v>
      </c>
      <c r="F415" s="3">
        <v>18.628000000000004</v>
      </c>
      <c r="G415" s="9">
        <v>3831.0399999999991</v>
      </c>
      <c r="H415">
        <f t="shared" si="66"/>
        <v>-1.3319019999999984</v>
      </c>
      <c r="I415">
        <f t="shared" si="70"/>
        <v>-1.3319019999999984</v>
      </c>
      <c r="J415">
        <f t="shared" si="71"/>
        <v>-0.34766068743735346</v>
      </c>
      <c r="K415">
        <f t="shared" si="72"/>
        <v>-1.500000000000945E-4</v>
      </c>
      <c r="L415">
        <f t="shared" si="73"/>
        <v>-2.4047619047595781E-4</v>
      </c>
      <c r="M415">
        <f t="shared" si="67"/>
        <v>-1.9523809523802615E-4</v>
      </c>
      <c r="N415">
        <f t="shared" si="68"/>
        <v>-3.5534424528991669E-4</v>
      </c>
      <c r="O415" s="3">
        <f t="shared" si="69"/>
        <v>-3.553442452899167</v>
      </c>
      <c r="P415">
        <v>826</v>
      </c>
    </row>
    <row r="416" spans="1:16" x14ac:dyDescent="0.25">
      <c r="A416">
        <v>414</v>
      </c>
      <c r="B416">
        <v>3.4613999999999998</v>
      </c>
      <c r="C416" s="3">
        <v>3.3899571428571429</v>
      </c>
      <c r="D416" s="8">
        <f t="shared" si="74"/>
        <v>-7.1442857142856919E-2</v>
      </c>
      <c r="E416" s="8">
        <f t="shared" si="65"/>
        <v>-7.1626190476190121E-2</v>
      </c>
      <c r="F416" s="3">
        <v>18.584000000000003</v>
      </c>
      <c r="G416" s="9">
        <v>3816.119999999999</v>
      </c>
      <c r="H416">
        <f t="shared" si="66"/>
        <v>-1.3311011238095174</v>
      </c>
      <c r="I416">
        <f t="shared" si="70"/>
        <v>-1.3311011238095174</v>
      </c>
      <c r="J416">
        <f t="shared" si="71"/>
        <v>-0.34881008034587957</v>
      </c>
      <c r="K416">
        <f t="shared" si="72"/>
        <v>-9.9999999999988987E-5</v>
      </c>
      <c r="L416">
        <f t="shared" si="73"/>
        <v>-2.2619047619021337E-4</v>
      </c>
      <c r="M416">
        <f t="shared" si="67"/>
        <v>-1.6309523809510118E-4</v>
      </c>
      <c r="N416">
        <f t="shared" si="68"/>
        <v>-4.2678191725102898E-4</v>
      </c>
      <c r="O416" s="3">
        <f t="shared" si="69"/>
        <v>-4.2678191725102899</v>
      </c>
      <c r="P416">
        <v>828</v>
      </c>
    </row>
    <row r="417" spans="1:16" x14ac:dyDescent="0.25">
      <c r="A417">
        <v>415</v>
      </c>
      <c r="B417">
        <v>3.4615</v>
      </c>
      <c r="C417" s="3">
        <v>3.3896904761904767</v>
      </c>
      <c r="D417" s="8">
        <f t="shared" si="74"/>
        <v>-7.1809523809523323E-2</v>
      </c>
      <c r="E417" s="8">
        <f t="shared" si="65"/>
        <v>-7.1535714285714036E-2</v>
      </c>
      <c r="F417" s="3">
        <v>18.540000000000003</v>
      </c>
      <c r="G417" s="9">
        <v>3801.1999999999989</v>
      </c>
      <c r="H417">
        <f t="shared" si="66"/>
        <v>-1.3262721428571385</v>
      </c>
      <c r="I417">
        <f t="shared" si="70"/>
        <v>-1.3262721428571385</v>
      </c>
      <c r="J417">
        <f t="shared" si="71"/>
        <v>-0.34890880323506757</v>
      </c>
      <c r="K417">
        <f t="shared" si="72"/>
        <v>-3.4999999999985043E-4</v>
      </c>
      <c r="L417">
        <f t="shared" si="73"/>
        <v>-2.5952380952376508E-4</v>
      </c>
      <c r="M417">
        <f t="shared" si="67"/>
        <v>-3.0476190476180776E-4</v>
      </c>
      <c r="N417">
        <f t="shared" si="68"/>
        <v>-2.2845965250148264E-4</v>
      </c>
      <c r="O417" s="3">
        <f t="shared" si="69"/>
        <v>-2.2845965250148264</v>
      </c>
      <c r="P417">
        <v>830</v>
      </c>
    </row>
    <row r="418" spans="1:16" x14ac:dyDescent="0.25">
      <c r="A418">
        <v>416</v>
      </c>
      <c r="B418">
        <v>3.4607000000000001</v>
      </c>
      <c r="C418" s="3">
        <v>3.3894380952380954</v>
      </c>
      <c r="D418" s="8">
        <f t="shared" si="74"/>
        <v>-7.1261904761904749E-2</v>
      </c>
      <c r="E418" s="8">
        <f t="shared" si="65"/>
        <v>-7.1421428571428747E-2</v>
      </c>
      <c r="F418" s="3">
        <v>18.496000000000002</v>
      </c>
      <c r="G418" s="9">
        <v>3786.2799999999988</v>
      </c>
      <c r="H418">
        <f t="shared" si="66"/>
        <v>-1.3210107428571463</v>
      </c>
      <c r="I418">
        <f t="shared" si="70"/>
        <v>-1.3210107428571463</v>
      </c>
      <c r="J418">
        <f t="shared" si="71"/>
        <v>-0.3488940973348898</v>
      </c>
      <c r="K418">
        <f t="shared" si="72"/>
        <v>-3.9999999999995595E-4</v>
      </c>
      <c r="L418">
        <f t="shared" si="73"/>
        <v>-2.8571428571466662E-4</v>
      </c>
      <c r="M418">
        <f t="shared" si="67"/>
        <v>-3.4285714285731128E-4</v>
      </c>
      <c r="N418">
        <f t="shared" si="68"/>
        <v>-2.0306668739881239E-4</v>
      </c>
      <c r="O418" s="3">
        <f t="shared" si="69"/>
        <v>-2.0306668739881237</v>
      </c>
      <c r="P418">
        <v>832</v>
      </c>
    </row>
    <row r="419" spans="1:16" x14ac:dyDescent="0.25">
      <c r="A419">
        <v>417</v>
      </c>
      <c r="B419">
        <v>3.4607000000000001</v>
      </c>
      <c r="C419" s="3">
        <v>3.3891190476190474</v>
      </c>
      <c r="D419" s="8">
        <f t="shared" si="74"/>
        <v>-7.1580952380952745E-2</v>
      </c>
      <c r="E419" s="8">
        <f t="shared" si="65"/>
        <v>-7.115952380952395E-2</v>
      </c>
      <c r="F419" s="3">
        <v>18.452000000000005</v>
      </c>
      <c r="G419" s="9">
        <v>3771.3599999999988</v>
      </c>
      <c r="H419">
        <f t="shared" si="66"/>
        <v>-1.3130355333333363</v>
      </c>
      <c r="I419">
        <f t="shared" si="70"/>
        <v>-1.3130355333333363</v>
      </c>
      <c r="J419">
        <f t="shared" si="71"/>
        <v>-0.34815969128731722</v>
      </c>
      <c r="K419">
        <f t="shared" si="72"/>
        <v>-5.5000000000005045E-4</v>
      </c>
      <c r="L419">
        <f t="shared" si="73"/>
        <v>-2.8809523809525395E-4</v>
      </c>
      <c r="M419">
        <f t="shared" si="67"/>
        <v>-4.190476190476522E-4</v>
      </c>
      <c r="N419">
        <f t="shared" si="68"/>
        <v>-1.6579574292296809E-4</v>
      </c>
      <c r="O419" s="3">
        <f t="shared" si="69"/>
        <v>-1.657957429229681</v>
      </c>
      <c r="P419">
        <v>834</v>
      </c>
    </row>
    <row r="420" spans="1:16" x14ac:dyDescent="0.25">
      <c r="A420">
        <v>418</v>
      </c>
      <c r="B420">
        <v>3.4596</v>
      </c>
      <c r="C420" s="3">
        <v>3.3888619047619049</v>
      </c>
      <c r="D420" s="8">
        <f t="shared" si="74"/>
        <v>-7.0738095238095156E-2</v>
      </c>
      <c r="E420" s="8">
        <f t="shared" si="65"/>
        <v>-7.0530952380952305E-2</v>
      </c>
      <c r="F420" s="3">
        <v>18.408000000000005</v>
      </c>
      <c r="G420" s="9">
        <v>3756.4399999999987</v>
      </c>
      <c r="H420">
        <f t="shared" si="66"/>
        <v>-1.2983337714285703</v>
      </c>
      <c r="I420">
        <f t="shared" si="70"/>
        <v>-1.2983337714285703</v>
      </c>
      <c r="J420">
        <f t="shared" si="71"/>
        <v>-0.34562877922409802</v>
      </c>
      <c r="K420">
        <f t="shared" si="72"/>
        <v>-9.0000000000012292E-4</v>
      </c>
      <c r="L420">
        <f t="shared" si="73"/>
        <v>-2.7142857142847809E-4</v>
      </c>
      <c r="M420">
        <f t="shared" si="67"/>
        <v>-5.8571428571430051E-4</v>
      </c>
      <c r="N420">
        <f t="shared" si="68"/>
        <v>-1.1775581013498666E-4</v>
      </c>
      <c r="O420" s="3">
        <f t="shared" si="69"/>
        <v>-1.1775581013498666</v>
      </c>
      <c r="P420">
        <v>836</v>
      </c>
    </row>
    <row r="421" spans="1:16" x14ac:dyDescent="0.25">
      <c r="A421">
        <v>419</v>
      </c>
      <c r="B421">
        <v>3.4588999999999999</v>
      </c>
      <c r="C421" s="3">
        <v>3.3885761904761904</v>
      </c>
      <c r="D421" s="8">
        <f t="shared" si="74"/>
        <v>-7.0323809523809455E-2</v>
      </c>
      <c r="E421" s="8">
        <f t="shared" si="65"/>
        <v>-7.0404761904761859E-2</v>
      </c>
      <c r="F421" s="3">
        <v>18.364000000000004</v>
      </c>
      <c r="G421" s="9">
        <v>3741.5199999999991</v>
      </c>
      <c r="H421">
        <f t="shared" si="66"/>
        <v>-1.2929130476190471</v>
      </c>
      <c r="I421">
        <f t="shared" si="70"/>
        <v>-1.2929130476190471</v>
      </c>
      <c r="J421">
        <f t="shared" si="71"/>
        <v>-0.34555823505394795</v>
      </c>
      <c r="K421">
        <f t="shared" si="72"/>
        <v>-3.9999999999995595E-4</v>
      </c>
      <c r="L421">
        <f t="shared" si="73"/>
        <v>-2.7380952380950951E-4</v>
      </c>
      <c r="M421">
        <f t="shared" si="67"/>
        <v>-3.3690476190473273E-4</v>
      </c>
      <c r="N421">
        <f t="shared" si="68"/>
        <v>-2.0467856414729338E-4</v>
      </c>
      <c r="O421" s="3">
        <f t="shared" si="69"/>
        <v>-2.0467856414729337</v>
      </c>
      <c r="P421">
        <v>838</v>
      </c>
    </row>
    <row r="422" spans="1:16" x14ac:dyDescent="0.25">
      <c r="A422">
        <v>420</v>
      </c>
      <c r="B422">
        <v>3.4588000000000001</v>
      </c>
      <c r="C422" s="3">
        <v>3.3883142857142858</v>
      </c>
      <c r="D422" s="8">
        <f t="shared" si="74"/>
        <v>-7.0485714285714263E-2</v>
      </c>
      <c r="E422" s="8">
        <f t="shared" si="65"/>
        <v>-7.0552380952380922E-2</v>
      </c>
      <c r="F422" s="3">
        <v>18.320000000000004</v>
      </c>
      <c r="G422" s="9">
        <v>3726.5999999999995</v>
      </c>
      <c r="H422">
        <f t="shared" si="66"/>
        <v>-1.2925196190476187</v>
      </c>
      <c r="I422">
        <f t="shared" si="70"/>
        <v>-1.2925196190476187</v>
      </c>
      <c r="J422">
        <f t="shared" si="71"/>
        <v>-0.34683615602630252</v>
      </c>
      <c r="K422">
        <f t="shared" si="72"/>
        <v>-9.9999999999988987E-5</v>
      </c>
      <c r="L422">
        <f t="shared" si="73"/>
        <v>-2.4761904761905207E-4</v>
      </c>
      <c r="M422">
        <f t="shared" si="67"/>
        <v>-1.7380952380952053E-4</v>
      </c>
      <c r="N422">
        <f t="shared" si="68"/>
        <v>-3.9820715441534198E-4</v>
      </c>
      <c r="O422" s="3">
        <f t="shared" si="69"/>
        <v>-3.98207154415342</v>
      </c>
      <c r="P422">
        <v>840</v>
      </c>
    </row>
    <row r="423" spans="1:16" x14ac:dyDescent="0.25">
      <c r="A423">
        <v>421</v>
      </c>
      <c r="B423">
        <v>3.4586999999999999</v>
      </c>
      <c r="C423" s="3">
        <v>3.3880809523809523</v>
      </c>
      <c r="D423" s="8">
        <f t="shared" si="74"/>
        <v>-7.0619047619047581E-2</v>
      </c>
      <c r="E423" s="8">
        <f t="shared" si="65"/>
        <v>-7.0642857142857229E-2</v>
      </c>
      <c r="F423" s="3">
        <v>18.276000000000003</v>
      </c>
      <c r="G423" s="9">
        <v>3711.6799999999994</v>
      </c>
      <c r="H423">
        <f t="shared" si="66"/>
        <v>-1.291068857142859</v>
      </c>
      <c r="I423">
        <f t="shared" si="70"/>
        <v>-1.291068857142859</v>
      </c>
      <c r="J423">
        <f t="shared" si="71"/>
        <v>-0.34783948431515088</v>
      </c>
      <c r="K423">
        <f t="shared" si="72"/>
        <v>-1.9999999999997797E-4</v>
      </c>
      <c r="L423">
        <f t="shared" si="73"/>
        <v>-2.9047619047628537E-4</v>
      </c>
      <c r="M423">
        <f t="shared" si="67"/>
        <v>-2.4523809523813167E-4</v>
      </c>
      <c r="N423">
        <f t="shared" si="68"/>
        <v>-2.8304090761420957E-4</v>
      </c>
      <c r="O423" s="3">
        <f t="shared" si="69"/>
        <v>-2.8304090761420957</v>
      </c>
      <c r="P423">
        <v>842</v>
      </c>
    </row>
    <row r="424" spans="1:16" x14ac:dyDescent="0.25">
      <c r="A424">
        <v>422</v>
      </c>
      <c r="B424">
        <v>3.4584000000000001</v>
      </c>
      <c r="C424" s="3">
        <v>3.3877333333333333</v>
      </c>
      <c r="D424" s="8">
        <f t="shared" si="74"/>
        <v>-7.0666666666666877E-2</v>
      </c>
      <c r="E424" s="8">
        <f t="shared" si="65"/>
        <v>-7.0650000000000324E-2</v>
      </c>
      <c r="F424" s="3">
        <v>18.232000000000006</v>
      </c>
      <c r="G424" s="9">
        <v>3696.7599999999993</v>
      </c>
      <c r="H424">
        <f t="shared" si="66"/>
        <v>-1.2880908000000064</v>
      </c>
      <c r="I424">
        <f t="shared" si="70"/>
        <v>-1.2880908000000064</v>
      </c>
      <c r="J424">
        <f t="shared" si="71"/>
        <v>-0.34843776712580926</v>
      </c>
      <c r="K424">
        <f t="shared" si="72"/>
        <v>-2.9999999999996696E-4</v>
      </c>
      <c r="L424">
        <f t="shared" si="73"/>
        <v>-3.0714285714306122E-4</v>
      </c>
      <c r="M424">
        <f t="shared" si="67"/>
        <v>-3.0357142857151409E-4</v>
      </c>
      <c r="N424">
        <f t="shared" si="68"/>
        <v>-2.2904593662008657E-4</v>
      </c>
      <c r="O424" s="3">
        <f t="shared" si="69"/>
        <v>-2.2904593662008659</v>
      </c>
      <c r="P424">
        <v>844</v>
      </c>
    </row>
    <row r="425" spans="1:16" x14ac:dyDescent="0.25">
      <c r="A425">
        <v>423</v>
      </c>
      <c r="B425">
        <v>3.4581</v>
      </c>
      <c r="C425" s="3">
        <v>3.3874666666666662</v>
      </c>
      <c r="D425" s="8">
        <f t="shared" si="74"/>
        <v>-7.063333333333377E-2</v>
      </c>
      <c r="E425" s="8">
        <f t="shared" si="65"/>
        <v>-7.0740476190476409E-2</v>
      </c>
      <c r="F425" s="3">
        <v>18.188000000000002</v>
      </c>
      <c r="G425" s="9">
        <v>3681.8399999999997</v>
      </c>
      <c r="H425">
        <f t="shared" si="66"/>
        <v>-1.2866277809523852</v>
      </c>
      <c r="I425">
        <f t="shared" si="70"/>
        <v>-1.2866277809523852</v>
      </c>
      <c r="J425">
        <f t="shared" si="71"/>
        <v>-0.34945238819513752</v>
      </c>
      <c r="K425">
        <f t="shared" si="72"/>
        <v>-1.500000000000945E-4</v>
      </c>
      <c r="L425">
        <f t="shared" si="73"/>
        <v>-2.4047619047617985E-4</v>
      </c>
      <c r="M425">
        <f t="shared" si="67"/>
        <v>-1.9523809523813718E-4</v>
      </c>
      <c r="N425">
        <f t="shared" si="68"/>
        <v>-3.5717554395696627E-4</v>
      </c>
      <c r="O425" s="3">
        <f t="shared" si="69"/>
        <v>-3.5717554395696629</v>
      </c>
      <c r="P425">
        <v>846</v>
      </c>
    </row>
    <row r="426" spans="1:16" x14ac:dyDescent="0.25">
      <c r="A426">
        <v>424</v>
      </c>
      <c r="B426">
        <v>3.4581</v>
      </c>
      <c r="C426" s="3">
        <v>3.3872523809523809</v>
      </c>
      <c r="D426" s="8">
        <f t="shared" si="74"/>
        <v>-7.0847619047619048E-2</v>
      </c>
      <c r="E426" s="8">
        <f t="shared" si="65"/>
        <v>-7.0730952380952283E-2</v>
      </c>
      <c r="F426" s="3">
        <v>18.143999999999998</v>
      </c>
      <c r="G426" s="9">
        <v>3666.92</v>
      </c>
      <c r="H426">
        <f t="shared" si="66"/>
        <v>-1.2833423999999982</v>
      </c>
      <c r="I426">
        <f t="shared" si="70"/>
        <v>-1.2833423999999982</v>
      </c>
      <c r="J426">
        <f t="shared" si="71"/>
        <v>-0.34997829240888761</v>
      </c>
      <c r="K426">
        <f t="shared" si="72"/>
        <v>-2.5000000000008349E-4</v>
      </c>
      <c r="L426">
        <f t="shared" si="73"/>
        <v>-2.4047619047595781E-4</v>
      </c>
      <c r="M426">
        <f t="shared" si="67"/>
        <v>-2.4523809523802065E-4</v>
      </c>
      <c r="N426">
        <f t="shared" si="68"/>
        <v>-2.8478127985889762E-4</v>
      </c>
      <c r="O426" s="3">
        <f t="shared" si="69"/>
        <v>-2.8478127985889761</v>
      </c>
      <c r="P426">
        <v>848</v>
      </c>
    </row>
    <row r="427" spans="1:16" x14ac:dyDescent="0.25">
      <c r="A427">
        <v>425</v>
      </c>
      <c r="B427">
        <v>3.4575999999999998</v>
      </c>
      <c r="C427" s="3">
        <v>3.3869857142857143</v>
      </c>
      <c r="D427" s="8">
        <f t="shared" si="74"/>
        <v>-7.0614285714285518E-2</v>
      </c>
      <c r="E427" s="8">
        <f t="shared" si="65"/>
        <v>-7.045476190476152E-2</v>
      </c>
      <c r="F427" s="3">
        <v>18.100000000000001</v>
      </c>
      <c r="G427">
        <v>3652</v>
      </c>
      <c r="H427">
        <f t="shared" si="66"/>
        <v>-1.2752311904761837</v>
      </c>
      <c r="I427">
        <f t="shared" si="70"/>
        <v>-1.2752311904761837</v>
      </c>
      <c r="J427">
        <f t="shared" si="71"/>
        <v>-0.34918707296719159</v>
      </c>
      <c r="K427">
        <f t="shared" si="72"/>
        <v>-4.9999999999994493E-4</v>
      </c>
      <c r="L427">
        <f t="shared" si="73"/>
        <v>-2.2380952380918195E-4</v>
      </c>
      <c r="M427">
        <f t="shared" si="67"/>
        <v>-3.6190476190456344E-4</v>
      </c>
      <c r="N427">
        <f t="shared" si="68"/>
        <v>-1.9254051273345191E-4</v>
      </c>
      <c r="O427" s="3">
        <f t="shared" si="69"/>
        <v>-1.9254051273345192</v>
      </c>
      <c r="P427">
        <v>850</v>
      </c>
    </row>
    <row r="428" spans="1:16" x14ac:dyDescent="0.25">
      <c r="A428">
        <v>426</v>
      </c>
      <c r="B428">
        <v>3.4571000000000001</v>
      </c>
      <c r="C428" s="3">
        <v>3.3868047619047625</v>
      </c>
      <c r="D428" s="8">
        <f t="shared" si="74"/>
        <v>-7.0295238095237522E-2</v>
      </c>
      <c r="E428" s="8">
        <f t="shared" si="65"/>
        <v>-7.0178571428570979E-2</v>
      </c>
      <c r="F428" s="3">
        <v>18.084</v>
      </c>
      <c r="G428" s="9">
        <v>3649.8</v>
      </c>
      <c r="H428">
        <f t="shared" si="66"/>
        <v>-1.2691092857142776</v>
      </c>
      <c r="I428">
        <f t="shared" si="70"/>
        <v>-1.2691092857142776</v>
      </c>
      <c r="J428">
        <f t="shared" si="71"/>
        <v>-0.34772022733143665</v>
      </c>
      <c r="K428">
        <f t="shared" si="72"/>
        <v>-4.9999999999994493E-4</v>
      </c>
      <c r="L428">
        <f t="shared" si="73"/>
        <v>-2.23809523809404E-4</v>
      </c>
      <c r="M428">
        <f t="shared" si="67"/>
        <v>-3.6190476190467447E-4</v>
      </c>
      <c r="N428">
        <f t="shared" si="68"/>
        <v>-1.9173169925582311E-4</v>
      </c>
      <c r="O428" s="3">
        <f t="shared" si="69"/>
        <v>-1.9173169925582312</v>
      </c>
      <c r="P428">
        <v>852</v>
      </c>
    </row>
    <row r="429" spans="1:16" x14ac:dyDescent="0.25">
      <c r="A429">
        <v>427</v>
      </c>
      <c r="B429">
        <v>3.4565999999999999</v>
      </c>
      <c r="C429" s="3">
        <v>3.3865380952380955</v>
      </c>
      <c r="D429" s="8">
        <f t="shared" si="74"/>
        <v>-7.0061904761904437E-2</v>
      </c>
      <c r="E429" s="8">
        <f t="shared" si="65"/>
        <v>-6.9759523809523438E-2</v>
      </c>
      <c r="F429" s="3">
        <v>18.068000000000001</v>
      </c>
      <c r="G429" s="9">
        <v>3647.6000000000004</v>
      </c>
      <c r="H429">
        <f t="shared" si="66"/>
        <v>-1.2604150761904696</v>
      </c>
      <c r="I429">
        <f t="shared" si="70"/>
        <v>-1.2604150761904696</v>
      </c>
      <c r="J429">
        <f t="shared" si="71"/>
        <v>-0.34554640755304022</v>
      </c>
      <c r="K429">
        <f t="shared" si="72"/>
        <v>-6.5000000000003944E-4</v>
      </c>
      <c r="L429">
        <f t="shared" si="73"/>
        <v>-2.3095238095249826E-4</v>
      </c>
      <c r="M429">
        <f t="shared" si="67"/>
        <v>-4.4047619047626885E-4</v>
      </c>
      <c r="N429">
        <f t="shared" si="68"/>
        <v>-1.5654608398511772E-4</v>
      </c>
      <c r="O429" s="3">
        <f t="shared" si="69"/>
        <v>-1.5654608398511771</v>
      </c>
      <c r="P429">
        <v>854</v>
      </c>
    </row>
    <row r="430" spans="1:16" x14ac:dyDescent="0.25">
      <c r="A430">
        <v>428</v>
      </c>
      <c r="B430">
        <v>3.4558</v>
      </c>
      <c r="C430" s="3">
        <v>3.3863428571428575</v>
      </c>
      <c r="D430" s="8">
        <f t="shared" si="74"/>
        <v>-6.945714285714244E-2</v>
      </c>
      <c r="E430" s="8">
        <f t="shared" si="65"/>
        <v>-6.9149999999999823E-2</v>
      </c>
      <c r="F430" s="3">
        <v>18.052</v>
      </c>
      <c r="G430" s="9">
        <v>3645.4000000000005</v>
      </c>
      <c r="H430">
        <f t="shared" si="66"/>
        <v>-1.2482957999999968</v>
      </c>
      <c r="I430">
        <f t="shared" si="70"/>
        <v>-1.2482957999999968</v>
      </c>
      <c r="J430">
        <f t="shared" si="71"/>
        <v>-0.34243040544247455</v>
      </c>
      <c r="K430">
        <f t="shared" si="72"/>
        <v>-7.9999999999991189E-4</v>
      </c>
      <c r="L430">
        <f t="shared" si="73"/>
        <v>-1.9047619047629638E-4</v>
      </c>
      <c r="M430">
        <f t="shared" si="67"/>
        <v>-4.9523809523810414E-4</v>
      </c>
      <c r="N430">
        <f t="shared" si="68"/>
        <v>-1.3798012671408039E-4</v>
      </c>
      <c r="O430" s="3">
        <f t="shared" si="69"/>
        <v>-1.379801267140804</v>
      </c>
      <c r="P430">
        <v>856</v>
      </c>
    </row>
    <row r="431" spans="1:16" x14ac:dyDescent="0.25">
      <c r="A431">
        <v>429</v>
      </c>
      <c r="B431">
        <v>3.4550000000000001</v>
      </c>
      <c r="C431" s="3">
        <v>3.3861571428571429</v>
      </c>
      <c r="D431" s="8">
        <f t="shared" si="74"/>
        <v>-6.8842857142857206E-2</v>
      </c>
      <c r="E431" s="8">
        <f t="shared" si="65"/>
        <v>-6.8833333333333524E-2</v>
      </c>
      <c r="F431" s="3">
        <v>18.036000000000001</v>
      </c>
      <c r="G431" s="9">
        <v>3643.2000000000007</v>
      </c>
      <c r="H431">
        <f t="shared" si="66"/>
        <v>-1.2414780000000036</v>
      </c>
      <c r="I431">
        <f t="shared" si="70"/>
        <v>-1.2414780000000036</v>
      </c>
      <c r="J431">
        <f t="shared" si="71"/>
        <v>-0.34076581027668074</v>
      </c>
      <c r="K431">
        <f t="shared" si="72"/>
        <v>-4.9999999999994493E-4</v>
      </c>
      <c r="L431">
        <f t="shared" si="73"/>
        <v>-1.8333333333364621E-4</v>
      </c>
      <c r="M431">
        <f t="shared" si="67"/>
        <v>-3.4166666666679557E-4</v>
      </c>
      <c r="N431">
        <f t="shared" si="68"/>
        <v>-1.9902684928777226E-4</v>
      </c>
      <c r="O431" s="3">
        <f t="shared" si="69"/>
        <v>-1.9902684928777226</v>
      </c>
      <c r="P431">
        <v>858</v>
      </c>
    </row>
    <row r="432" spans="1:16" x14ac:dyDescent="0.25">
      <c r="A432">
        <v>430</v>
      </c>
      <c r="B432">
        <v>3.4548000000000001</v>
      </c>
      <c r="C432" s="3">
        <v>3.3859761904761903</v>
      </c>
      <c r="D432" s="8">
        <f t="shared" si="74"/>
        <v>-6.8823809523809842E-2</v>
      </c>
      <c r="E432" s="8">
        <f t="shared" si="65"/>
        <v>-6.8959404761904874E-2</v>
      </c>
      <c r="F432" s="3">
        <v>18.020000000000003</v>
      </c>
      <c r="G432" s="9">
        <v>3641.0000000000009</v>
      </c>
      <c r="H432">
        <f t="shared" si="66"/>
        <v>-1.242648473809526</v>
      </c>
      <c r="I432">
        <f t="shared" si="70"/>
        <v>-1.242648473809526</v>
      </c>
      <c r="J432">
        <f t="shared" si="71"/>
        <v>-0.34129318149121829</v>
      </c>
      <c r="K432">
        <f t="shared" si="72"/>
        <v>-3.5000000000007248E-4</v>
      </c>
      <c r="L432">
        <f t="shared" si="73"/>
        <v>-4.7607142857142293E-4</v>
      </c>
      <c r="M432">
        <f t="shared" si="67"/>
        <v>-4.130357142857477E-4</v>
      </c>
      <c r="N432">
        <f t="shared" si="68"/>
        <v>-1.6489150048385067E-4</v>
      </c>
      <c r="O432" s="3">
        <f t="shared" si="69"/>
        <v>-1.6489150048385066</v>
      </c>
      <c r="P432">
        <v>860</v>
      </c>
    </row>
    <row r="433" spans="1:16" x14ac:dyDescent="0.25">
      <c r="A433">
        <v>431</v>
      </c>
      <c r="B433">
        <v>3.4542999999999999</v>
      </c>
      <c r="C433" s="3">
        <v>3.385205</v>
      </c>
      <c r="D433" s="8">
        <f t="shared" si="74"/>
        <v>-6.9094999999999906E-2</v>
      </c>
      <c r="E433" s="8">
        <f t="shared" si="65"/>
        <v>-6.8972500000000103E-2</v>
      </c>
      <c r="F433" s="3">
        <v>18.004000000000001</v>
      </c>
      <c r="G433" s="9">
        <v>3638.8000000000011</v>
      </c>
      <c r="H433">
        <f t="shared" si="66"/>
        <v>-1.241780890000002</v>
      </c>
      <c r="I433">
        <f t="shared" si="70"/>
        <v>-1.241780890000002</v>
      </c>
      <c r="J433">
        <f t="shared" si="71"/>
        <v>-0.34126109981312569</v>
      </c>
      <c r="K433">
        <f t="shared" si="72"/>
        <v>-4.9999999999994493E-4</v>
      </c>
      <c r="L433">
        <f t="shared" si="73"/>
        <v>-5.1309523809517366E-4</v>
      </c>
      <c r="M433">
        <f t="shared" si="67"/>
        <v>-5.0654761904755929E-4</v>
      </c>
      <c r="N433">
        <f t="shared" si="68"/>
        <v>-1.3443884469320301E-4</v>
      </c>
      <c r="O433" s="3">
        <f t="shared" si="69"/>
        <v>-1.3443884469320302</v>
      </c>
      <c r="P433">
        <v>862</v>
      </c>
    </row>
    <row r="434" spans="1:16" x14ac:dyDescent="0.25">
      <c r="A434">
        <v>432</v>
      </c>
      <c r="B434">
        <v>3.4538000000000002</v>
      </c>
      <c r="C434" s="3">
        <v>3.3849499999999999</v>
      </c>
      <c r="D434" s="8">
        <f t="shared" si="74"/>
        <v>-6.88500000000003E-2</v>
      </c>
      <c r="E434" s="8">
        <f t="shared" si="65"/>
        <v>-6.8930000000000158E-2</v>
      </c>
      <c r="F434" s="3">
        <v>17.988000000000003</v>
      </c>
      <c r="G434" s="9">
        <v>3636.6000000000008</v>
      </c>
      <c r="H434">
        <f t="shared" si="66"/>
        <v>-1.239912840000003</v>
      </c>
      <c r="I434">
        <f t="shared" si="70"/>
        <v>-1.239912840000003</v>
      </c>
      <c r="J434">
        <f t="shared" si="71"/>
        <v>-0.34095386899851582</v>
      </c>
      <c r="K434">
        <f t="shared" si="72"/>
        <v>-2.9999999999996696E-4</v>
      </c>
      <c r="L434">
        <f t="shared" si="73"/>
        <v>-2.575000000000216E-4</v>
      </c>
      <c r="M434">
        <f t="shared" si="67"/>
        <v>-2.7874999999999428E-4</v>
      </c>
      <c r="N434">
        <f t="shared" si="68"/>
        <v>-2.4408383087249426E-4</v>
      </c>
      <c r="O434" s="3">
        <f t="shared" si="69"/>
        <v>-2.4408383087249428</v>
      </c>
      <c r="P434">
        <v>864</v>
      </c>
    </row>
    <row r="435" spans="1:16" x14ac:dyDescent="0.25">
      <c r="A435">
        <v>433</v>
      </c>
      <c r="B435">
        <v>3.4537</v>
      </c>
      <c r="C435" s="3">
        <v>3.38469</v>
      </c>
      <c r="D435" s="8">
        <f t="shared" si="74"/>
        <v>-6.9010000000000016E-2</v>
      </c>
      <c r="E435" s="8">
        <f t="shared" si="65"/>
        <v>-6.903500000000018E-2</v>
      </c>
      <c r="F435" s="3">
        <v>17.972000000000001</v>
      </c>
      <c r="G435" s="9">
        <v>3634.4000000000005</v>
      </c>
      <c r="H435">
        <f t="shared" si="66"/>
        <v>-1.2406970200000034</v>
      </c>
      <c r="I435">
        <f t="shared" si="70"/>
        <v>-1.2406970200000034</v>
      </c>
      <c r="J435">
        <f t="shared" si="71"/>
        <v>-0.34137602355271934</v>
      </c>
      <c r="K435">
        <f t="shared" si="72"/>
        <v>-2.0000000000020002E-4</v>
      </c>
      <c r="L435">
        <f t="shared" si="73"/>
        <v>-3.0500000000022176E-4</v>
      </c>
      <c r="M435">
        <f t="shared" si="67"/>
        <v>-2.5250000000021089E-4</v>
      </c>
      <c r="N435">
        <f t="shared" si="68"/>
        <v>-2.6979251510472719E-4</v>
      </c>
      <c r="O435" s="3">
        <f t="shared" si="69"/>
        <v>-2.6979251510472717</v>
      </c>
      <c r="P435">
        <v>866</v>
      </c>
    </row>
    <row r="436" spans="1:16" x14ac:dyDescent="0.25">
      <c r="A436">
        <v>434</v>
      </c>
      <c r="B436">
        <v>3.4533999999999998</v>
      </c>
      <c r="C436" s="3">
        <v>3.3843399999999995</v>
      </c>
      <c r="D436" s="8">
        <f t="shared" si="74"/>
        <v>-6.9060000000000343E-2</v>
      </c>
      <c r="E436" s="8">
        <f t="shared" si="65"/>
        <v>-6.9082500000000158E-2</v>
      </c>
      <c r="F436" s="3">
        <v>17.956000000000003</v>
      </c>
      <c r="G436" s="9">
        <v>3632.2000000000007</v>
      </c>
      <c r="H436">
        <f t="shared" si="66"/>
        <v>-1.2404453700000031</v>
      </c>
      <c r="I436">
        <f t="shared" si="70"/>
        <v>-1.2404453700000031</v>
      </c>
      <c r="J436">
        <f t="shared" si="71"/>
        <v>-0.34151350971862865</v>
      </c>
      <c r="K436">
        <f t="shared" si="72"/>
        <v>-2.5000000000008349E-4</v>
      </c>
      <c r="L436">
        <f t="shared" si="73"/>
        <v>-2.975000000000616E-4</v>
      </c>
      <c r="M436">
        <f t="shared" si="67"/>
        <v>-2.7375000000007255E-4</v>
      </c>
      <c r="N436">
        <f t="shared" si="68"/>
        <v>-2.4894993914529218E-4</v>
      </c>
      <c r="O436" s="3">
        <f t="shared" si="69"/>
        <v>-2.489499391452922</v>
      </c>
      <c r="P436">
        <v>868</v>
      </c>
    </row>
    <row r="437" spans="1:16" x14ac:dyDescent="0.25">
      <c r="A437">
        <v>435</v>
      </c>
      <c r="B437">
        <v>3.4531999999999998</v>
      </c>
      <c r="C437" s="3">
        <v>3.3840949999999999</v>
      </c>
      <c r="D437" s="8">
        <f t="shared" si="74"/>
        <v>-6.9104999999999972E-2</v>
      </c>
      <c r="E437" s="8">
        <f t="shared" si="65"/>
        <v>-6.9169999999999954E-2</v>
      </c>
      <c r="F437" s="3">
        <v>17.940000000000005</v>
      </c>
      <c r="G437" s="9">
        <v>3630.0000000000009</v>
      </c>
      <c r="H437">
        <f t="shared" si="66"/>
        <v>-1.2409097999999994</v>
      </c>
      <c r="I437">
        <f t="shared" si="70"/>
        <v>-1.2409097999999994</v>
      </c>
      <c r="J437">
        <f t="shared" si="71"/>
        <v>-0.34184842975206586</v>
      </c>
      <c r="K437">
        <f t="shared" si="72"/>
        <v>-1.4999999999987246E-4</v>
      </c>
      <c r="L437">
        <f t="shared" si="73"/>
        <v>-2.3749999999966853E-4</v>
      </c>
      <c r="M437">
        <f t="shared" si="67"/>
        <v>-1.9374999999977049E-4</v>
      </c>
      <c r="N437">
        <f t="shared" si="68"/>
        <v>-3.5208712329797595E-4</v>
      </c>
      <c r="O437" s="3">
        <f t="shared" si="69"/>
        <v>-3.5208712329797596</v>
      </c>
      <c r="P437">
        <v>870</v>
      </c>
    </row>
    <row r="438" spans="1:16" x14ac:dyDescent="0.25">
      <c r="A438">
        <v>436</v>
      </c>
      <c r="B438">
        <v>3.4531000000000001</v>
      </c>
      <c r="C438" s="3">
        <v>3.3838650000000001</v>
      </c>
      <c r="D438" s="8">
        <f t="shared" si="74"/>
        <v>-6.9234999999999935E-2</v>
      </c>
      <c r="E438" s="8">
        <f t="shared" si="65"/>
        <v>-6.9164999999999699E-2</v>
      </c>
      <c r="F438" s="3">
        <v>17.924000000000003</v>
      </c>
      <c r="G438" s="9">
        <v>3627.8000000000006</v>
      </c>
      <c r="H438">
        <f t="shared" si="66"/>
        <v>-1.2397134599999948</v>
      </c>
      <c r="I438">
        <f t="shared" si="70"/>
        <v>-1.2397134599999948</v>
      </c>
      <c r="J438">
        <f t="shared" si="71"/>
        <v>-0.34172596615028239</v>
      </c>
      <c r="K438">
        <f t="shared" si="72"/>
        <v>-1.9999999999997797E-4</v>
      </c>
      <c r="L438">
        <f t="shared" si="73"/>
        <v>-1.9499999999972317E-4</v>
      </c>
      <c r="M438">
        <f t="shared" si="67"/>
        <v>-1.9749999999985057E-4</v>
      </c>
      <c r="N438">
        <f t="shared" si="68"/>
        <v>-3.452781881502305E-4</v>
      </c>
      <c r="O438" s="3">
        <f t="shared" si="69"/>
        <v>-3.4527818815023048</v>
      </c>
      <c r="P438">
        <v>872</v>
      </c>
    </row>
    <row r="439" spans="1:16" x14ac:dyDescent="0.25">
      <c r="A439">
        <v>437</v>
      </c>
      <c r="B439">
        <v>3.4527999999999999</v>
      </c>
      <c r="C439" s="3">
        <v>3.3837050000000004</v>
      </c>
      <c r="D439" s="8">
        <f t="shared" si="74"/>
        <v>-6.9094999999999462E-2</v>
      </c>
      <c r="E439" s="8">
        <f t="shared" si="65"/>
        <v>-6.8927499999999586E-2</v>
      </c>
      <c r="F439" s="3">
        <v>17.908000000000005</v>
      </c>
      <c r="G439" s="9">
        <v>3625.6000000000004</v>
      </c>
      <c r="H439">
        <f t="shared" si="66"/>
        <v>-1.2343536699999929</v>
      </c>
      <c r="I439">
        <f t="shared" si="70"/>
        <v>-1.2343536699999929</v>
      </c>
      <c r="J439">
        <f t="shared" si="71"/>
        <v>-0.34045500606795914</v>
      </c>
      <c r="K439">
        <f t="shared" si="72"/>
        <v>-4.5000000000006146E-4</v>
      </c>
      <c r="L439">
        <f t="shared" si="73"/>
        <v>-2.1249999999994884E-4</v>
      </c>
      <c r="M439">
        <f t="shared" si="67"/>
        <v>-3.3125000000000515E-4</v>
      </c>
      <c r="N439">
        <f t="shared" si="68"/>
        <v>-2.0509831927754515E-4</v>
      </c>
      <c r="O439" s="3">
        <f t="shared" si="69"/>
        <v>-2.0509831927754516</v>
      </c>
      <c r="P439">
        <v>874</v>
      </c>
    </row>
    <row r="440" spans="1:16" x14ac:dyDescent="0.25">
      <c r="A440">
        <v>438</v>
      </c>
      <c r="B440">
        <v>3.4521999999999999</v>
      </c>
      <c r="C440" s="3">
        <v>3.3834400000000002</v>
      </c>
      <c r="D440" s="8">
        <f t="shared" si="74"/>
        <v>-6.875999999999971E-2</v>
      </c>
      <c r="E440" s="8">
        <f t="shared" si="65"/>
        <v>-6.8559999999999954E-2</v>
      </c>
      <c r="F440" s="3">
        <v>17.892000000000003</v>
      </c>
      <c r="G440" s="9">
        <v>3623.4000000000005</v>
      </c>
      <c r="H440">
        <f t="shared" si="66"/>
        <v>-1.2266755199999995</v>
      </c>
      <c r="I440">
        <f t="shared" si="70"/>
        <v>-1.2266755199999995</v>
      </c>
      <c r="J440">
        <f t="shared" si="71"/>
        <v>-0.33854267262791832</v>
      </c>
      <c r="K440">
        <f t="shared" si="72"/>
        <v>-5.9999999999993392E-4</v>
      </c>
      <c r="L440">
        <f t="shared" si="73"/>
        <v>-2.3250000000030191E-4</v>
      </c>
      <c r="M440">
        <f t="shared" si="67"/>
        <v>-4.1625000000011791E-4</v>
      </c>
      <c r="N440">
        <f t="shared" si="68"/>
        <v>-1.6229959491475307E-4</v>
      </c>
      <c r="O440" s="3">
        <f t="shared" si="69"/>
        <v>-1.6229959491475308</v>
      </c>
      <c r="P440">
        <v>876</v>
      </c>
    </row>
    <row r="441" spans="1:16" x14ac:dyDescent="0.25">
      <c r="A441">
        <v>439</v>
      </c>
      <c r="B441">
        <v>3.4516</v>
      </c>
      <c r="C441" s="3">
        <v>3.3832399999999998</v>
      </c>
      <c r="D441" s="8">
        <f t="shared" si="74"/>
        <v>-6.8360000000000198E-2</v>
      </c>
      <c r="E441" s="8">
        <f t="shared" si="65"/>
        <v>-6.8317500000000031E-2</v>
      </c>
      <c r="F441" s="3">
        <v>17.876000000000005</v>
      </c>
      <c r="G441" s="9">
        <v>3621.2000000000007</v>
      </c>
      <c r="H441">
        <f t="shared" si="66"/>
        <v>-1.2212436300000009</v>
      </c>
      <c r="I441">
        <f t="shared" si="70"/>
        <v>-1.2212436300000009</v>
      </c>
      <c r="J441">
        <f t="shared" si="71"/>
        <v>-0.33724832376007974</v>
      </c>
      <c r="K441">
        <f t="shared" si="72"/>
        <v>-4.5000000000006146E-4</v>
      </c>
      <c r="L441">
        <f t="shared" si="73"/>
        <v>-2.0750000000013813E-4</v>
      </c>
      <c r="M441">
        <f t="shared" si="67"/>
        <v>-3.287500000000998E-4</v>
      </c>
      <c r="N441">
        <f t="shared" si="68"/>
        <v>-2.047115290706854E-4</v>
      </c>
      <c r="O441" s="3">
        <f t="shared" si="69"/>
        <v>-2.0471152907068539</v>
      </c>
      <c r="P441">
        <v>878</v>
      </c>
    </row>
    <row r="442" spans="1:16" x14ac:dyDescent="0.25">
      <c r="A442">
        <v>440</v>
      </c>
      <c r="B442">
        <v>3.4512999999999998</v>
      </c>
      <c r="C442" s="3">
        <v>3.3830249999999999</v>
      </c>
      <c r="D442" s="8">
        <f t="shared" si="74"/>
        <v>-6.8274999999999864E-2</v>
      </c>
      <c r="E442" s="8">
        <f t="shared" si="65"/>
        <v>-6.8337499999999718E-2</v>
      </c>
      <c r="F442" s="3">
        <v>17.860000000000007</v>
      </c>
      <c r="G442" s="9">
        <v>3619.0000000000005</v>
      </c>
      <c r="H442">
        <f t="shared" si="66"/>
        <v>-1.2205077499999955</v>
      </c>
      <c r="I442">
        <f t="shared" si="70"/>
        <v>-1.2205077499999955</v>
      </c>
      <c r="J442">
        <f t="shared" si="71"/>
        <v>-0.33724999999999866</v>
      </c>
      <c r="K442">
        <f t="shared" si="72"/>
        <v>-1.9999999999997797E-4</v>
      </c>
      <c r="L442">
        <f t="shared" si="73"/>
        <v>-2.1999999999966491E-4</v>
      </c>
      <c r="M442">
        <f t="shared" si="67"/>
        <v>-2.0999999999982144E-4</v>
      </c>
      <c r="N442">
        <f t="shared" si="68"/>
        <v>-3.2047261752748648E-4</v>
      </c>
      <c r="O442" s="3">
        <f t="shared" si="69"/>
        <v>-3.2047261752748648</v>
      </c>
      <c r="P442">
        <v>880</v>
      </c>
    </row>
    <row r="443" spans="1:16" x14ac:dyDescent="0.25">
      <c r="A443">
        <v>441</v>
      </c>
      <c r="B443">
        <v>3.4512</v>
      </c>
      <c r="C443" s="3">
        <v>3.3828000000000005</v>
      </c>
      <c r="D443" s="8">
        <f t="shared" si="74"/>
        <v>-6.8399999999999572E-2</v>
      </c>
      <c r="E443" s="8">
        <f t="shared" si="65"/>
        <v>-6.8432499999999896E-2</v>
      </c>
      <c r="F443" s="3">
        <v>17.844000000000005</v>
      </c>
      <c r="G443" s="9">
        <v>3616.8</v>
      </c>
      <c r="H443">
        <f t="shared" si="66"/>
        <v>-1.2211095299999986</v>
      </c>
      <c r="I443">
        <f t="shared" si="70"/>
        <v>-1.2211095299999986</v>
      </c>
      <c r="J443">
        <f t="shared" si="71"/>
        <v>-0.33762152455208982</v>
      </c>
      <c r="K443">
        <f t="shared" si="72"/>
        <v>-9.9999999999988987E-5</v>
      </c>
      <c r="L443">
        <f t="shared" si="73"/>
        <v>-1.9500000000016726E-4</v>
      </c>
      <c r="M443">
        <f t="shared" si="67"/>
        <v>-1.4750000000007812E-4</v>
      </c>
      <c r="N443">
        <f t="shared" si="68"/>
        <v>-4.5676873572947244E-4</v>
      </c>
      <c r="O443" s="3">
        <f t="shared" si="69"/>
        <v>-4.5676873572947247</v>
      </c>
      <c r="P443">
        <v>882</v>
      </c>
    </row>
    <row r="444" spans="1:16" x14ac:dyDescent="0.25">
      <c r="A444">
        <v>442</v>
      </c>
      <c r="B444">
        <v>3.4510999999999998</v>
      </c>
      <c r="C444" s="3">
        <v>3.3826349999999996</v>
      </c>
      <c r="D444" s="8">
        <f t="shared" si="74"/>
        <v>-6.846500000000022E-2</v>
      </c>
      <c r="E444" s="8">
        <f t="shared" si="65"/>
        <v>-6.841750000000002E-2</v>
      </c>
      <c r="F444" s="3">
        <v>17.828000000000007</v>
      </c>
      <c r="G444" s="9">
        <v>3614.6000000000004</v>
      </c>
      <c r="H444">
        <f t="shared" si="66"/>
        <v>-1.2197471900000008</v>
      </c>
      <c r="I444">
        <f t="shared" si="70"/>
        <v>-1.2197471900000008</v>
      </c>
      <c r="J444">
        <f t="shared" si="71"/>
        <v>-0.33745011619542986</v>
      </c>
      <c r="K444">
        <f t="shared" si="72"/>
        <v>-1.9999999999997797E-4</v>
      </c>
      <c r="L444">
        <f t="shared" si="73"/>
        <v>-1.8500000000010175E-4</v>
      </c>
      <c r="M444">
        <f t="shared" si="67"/>
        <v>-1.9250000000003986E-4</v>
      </c>
      <c r="N444">
        <f t="shared" si="68"/>
        <v>-3.4981394009404388E-4</v>
      </c>
      <c r="O444" s="3">
        <f t="shared" si="69"/>
        <v>-3.4981394009404387</v>
      </c>
      <c r="P444">
        <v>884</v>
      </c>
    </row>
    <row r="445" spans="1:16" x14ac:dyDescent="0.25">
      <c r="A445">
        <v>443</v>
      </c>
      <c r="B445">
        <v>3.4508000000000001</v>
      </c>
      <c r="C445" s="3">
        <v>3.3824300000000003</v>
      </c>
      <c r="D445" s="8">
        <f t="shared" si="74"/>
        <v>-6.836999999999982E-2</v>
      </c>
      <c r="E445" s="8">
        <f t="shared" si="65"/>
        <v>-6.78399999999999E-2</v>
      </c>
      <c r="F445" s="3">
        <v>17.812000000000005</v>
      </c>
      <c r="G445" s="9">
        <v>3612.4000000000005</v>
      </c>
      <c r="H445">
        <f t="shared" si="66"/>
        <v>-1.2083660799999985</v>
      </c>
      <c r="I445">
        <f t="shared" si="70"/>
        <v>-1.2083660799999985</v>
      </c>
      <c r="J445">
        <f t="shared" si="71"/>
        <v>-0.33450506034769079</v>
      </c>
      <c r="K445">
        <f t="shared" si="72"/>
        <v>-7.9999999999991189E-4</v>
      </c>
      <c r="L445">
        <f t="shared" si="73"/>
        <v>-2.2249999999979231E-4</v>
      </c>
      <c r="M445">
        <f t="shared" si="67"/>
        <v>-5.112499999998521E-4</v>
      </c>
      <c r="N445">
        <f t="shared" si="68"/>
        <v>-1.3056525913895663E-4</v>
      </c>
      <c r="O445" s="3">
        <f t="shared" si="69"/>
        <v>-1.3056525913895662</v>
      </c>
      <c r="P445">
        <v>886</v>
      </c>
    </row>
    <row r="446" spans="1:16" x14ac:dyDescent="0.25">
      <c r="A446">
        <v>444</v>
      </c>
      <c r="B446">
        <v>3.4495</v>
      </c>
      <c r="C446" s="3">
        <v>3.38219</v>
      </c>
      <c r="D446" s="8">
        <f t="shared" si="74"/>
        <v>-6.7309999999999981E-2</v>
      </c>
      <c r="E446" s="8">
        <f t="shared" si="65"/>
        <v>-6.7302500000000043E-2</v>
      </c>
      <c r="F446" s="3">
        <v>17.796000000000006</v>
      </c>
      <c r="G446" s="9">
        <v>3610.2000000000003</v>
      </c>
      <c r="H446">
        <f t="shared" si="66"/>
        <v>-1.1977152900000012</v>
      </c>
      <c r="I446">
        <f t="shared" si="70"/>
        <v>-1.1977152900000012</v>
      </c>
      <c r="J446">
        <f t="shared" si="71"/>
        <v>-0.33175870865880042</v>
      </c>
      <c r="K446">
        <f t="shared" si="72"/>
        <v>-8.0000000000013394E-4</v>
      </c>
      <c r="L446">
        <f t="shared" si="73"/>
        <v>-2.625000000002764E-4</v>
      </c>
      <c r="M446">
        <f t="shared" si="67"/>
        <v>-5.3125000000020517E-4</v>
      </c>
      <c r="N446">
        <f t="shared" si="68"/>
        <v>-1.2461825131795969E-4</v>
      </c>
      <c r="O446" s="3">
        <f t="shared" si="69"/>
        <v>-1.2461825131795969</v>
      </c>
      <c r="P446">
        <v>888</v>
      </c>
    </row>
    <row r="447" spans="1:16" x14ac:dyDescent="0.25">
      <c r="A447">
        <v>445</v>
      </c>
      <c r="B447">
        <v>3.4491999999999998</v>
      </c>
      <c r="C447" s="3">
        <v>3.3819049999999997</v>
      </c>
      <c r="D447" s="8">
        <f t="shared" si="74"/>
        <v>-6.7295000000000105E-2</v>
      </c>
      <c r="E447" s="8">
        <f t="shared" si="65"/>
        <v>-6.7420000000000035E-2</v>
      </c>
      <c r="F447" s="3">
        <v>17.780000000000008</v>
      </c>
      <c r="G447" s="9">
        <v>3608</v>
      </c>
      <c r="H447">
        <f t="shared" si="66"/>
        <v>-1.1987276000000011</v>
      </c>
      <c r="I447">
        <f t="shared" si="70"/>
        <v>-1.1987276000000011</v>
      </c>
      <c r="J447">
        <f t="shared" si="71"/>
        <v>-0.33224157427937945</v>
      </c>
      <c r="K447">
        <f t="shared" si="72"/>
        <v>-1.500000000000945E-4</v>
      </c>
      <c r="L447">
        <f t="shared" si="73"/>
        <v>-2.6750000000008711E-4</v>
      </c>
      <c r="M447">
        <f t="shared" si="67"/>
        <v>-2.0875000000009081E-4</v>
      </c>
      <c r="N447">
        <f t="shared" si="68"/>
        <v>-3.1760384812676843E-4</v>
      </c>
      <c r="O447" s="3">
        <f t="shared" si="69"/>
        <v>-3.1760384812676845</v>
      </c>
      <c r="P447">
        <v>890</v>
      </c>
    </row>
    <row r="448" spans="1:16" x14ac:dyDescent="0.25">
      <c r="A448">
        <v>446</v>
      </c>
      <c r="B448">
        <v>3.4491999999999998</v>
      </c>
      <c r="C448" s="3">
        <v>3.3816549999999999</v>
      </c>
      <c r="D448" s="8">
        <f t="shared" si="74"/>
        <v>-6.7544999999999966E-2</v>
      </c>
      <c r="E448" s="8">
        <f t="shared" si="65"/>
        <v>-6.7684999999999995E-2</v>
      </c>
      <c r="F448" s="3">
        <v>17.764000000000003</v>
      </c>
      <c r="G448" s="9">
        <v>3605.8</v>
      </c>
      <c r="H448">
        <f t="shared" si="66"/>
        <v>-1.2023563400000001</v>
      </c>
      <c r="I448">
        <f t="shared" si="70"/>
        <v>-1.2023563400000001</v>
      </c>
      <c r="J448">
        <f t="shared" si="71"/>
        <v>-0.33345064618115261</v>
      </c>
      <c r="K448">
        <f t="shared" si="72"/>
        <v>0</v>
      </c>
      <c r="L448">
        <f t="shared" si="73"/>
        <v>-2.6499999999995971E-4</v>
      </c>
      <c r="M448">
        <f t="shared" si="67"/>
        <v>-1.3249999999997986E-4</v>
      </c>
      <c r="N448">
        <f t="shared" si="68"/>
        <v>-5.0219680923215514E-4</v>
      </c>
      <c r="O448" s="3">
        <f t="shared" si="69"/>
        <v>-5.0219680923215515</v>
      </c>
      <c r="P448">
        <v>892</v>
      </c>
    </row>
    <row r="449" spans="1:16" x14ac:dyDescent="0.25">
      <c r="A449">
        <v>447</v>
      </c>
      <c r="B449">
        <v>3.4491999999999998</v>
      </c>
      <c r="C449" s="3">
        <v>3.3813749999999998</v>
      </c>
      <c r="D449" s="8">
        <f t="shared" si="74"/>
        <v>-6.7825000000000024E-2</v>
      </c>
      <c r="E449" s="8">
        <f t="shared" si="65"/>
        <v>-6.7584999999999784E-2</v>
      </c>
      <c r="F449" s="3">
        <v>17.748000000000001</v>
      </c>
      <c r="G449" s="9">
        <v>3603.6000000000004</v>
      </c>
      <c r="H449">
        <f t="shared" si="66"/>
        <v>-1.1994985799999962</v>
      </c>
      <c r="I449">
        <f t="shared" si="70"/>
        <v>-1.1994985799999962</v>
      </c>
      <c r="J449">
        <f t="shared" si="71"/>
        <v>-0.3328611888111877</v>
      </c>
      <c r="K449">
        <f t="shared" si="72"/>
        <v>-2.9999999999996696E-4</v>
      </c>
      <c r="L449">
        <f t="shared" si="73"/>
        <v>-1.9999999999975593E-4</v>
      </c>
      <c r="M449">
        <f t="shared" si="67"/>
        <v>-2.4999999999986144E-4</v>
      </c>
      <c r="N449">
        <f t="shared" si="68"/>
        <v>-2.656937969439433E-4</v>
      </c>
      <c r="O449" s="3">
        <f t="shared" si="69"/>
        <v>-2.6569379694394328</v>
      </c>
      <c r="P449">
        <v>894</v>
      </c>
    </row>
    <row r="450" spans="1:16" x14ac:dyDescent="0.25">
      <c r="A450">
        <v>448</v>
      </c>
      <c r="B450">
        <v>3.4485999999999999</v>
      </c>
      <c r="C450" s="3">
        <v>3.3812550000000003</v>
      </c>
      <c r="D450" s="8">
        <f t="shared" si="74"/>
        <v>-6.7344999999999544E-2</v>
      </c>
      <c r="E450" s="8">
        <f t="shared" si="65"/>
        <v>-6.718000000000024E-2</v>
      </c>
      <c r="F450" s="3">
        <v>17.732000000000003</v>
      </c>
      <c r="G450" s="9">
        <v>3601.4</v>
      </c>
      <c r="H450">
        <f t="shared" si="66"/>
        <v>-1.1912357600000045</v>
      </c>
      <c r="I450">
        <f t="shared" si="70"/>
        <v>-1.1912357600000045</v>
      </c>
      <c r="J450">
        <f t="shared" si="71"/>
        <v>-0.33077018937080149</v>
      </c>
      <c r="K450">
        <f t="shared" si="72"/>
        <v>-5.9999999999993392E-4</v>
      </c>
      <c r="L450">
        <f t="shared" si="73"/>
        <v>-1.9500000000038931E-4</v>
      </c>
      <c r="M450">
        <f t="shared" si="67"/>
        <v>-3.9750000000016161E-4</v>
      </c>
      <c r="N450">
        <f t="shared" si="68"/>
        <v>-1.6605329313691645E-4</v>
      </c>
      <c r="O450" s="3">
        <f t="shared" si="69"/>
        <v>-1.6605329313691646</v>
      </c>
      <c r="P450">
        <v>896</v>
      </c>
    </row>
    <row r="451" spans="1:16" x14ac:dyDescent="0.25">
      <c r="A451">
        <v>449</v>
      </c>
      <c r="B451">
        <v>3.448</v>
      </c>
      <c r="C451" s="3">
        <v>3.380984999999999</v>
      </c>
      <c r="D451" s="8">
        <f t="shared" si="74"/>
        <v>-6.7015000000000935E-2</v>
      </c>
      <c r="E451" s="8">
        <f t="shared" si="65"/>
        <v>-6.6925000000000789E-2</v>
      </c>
      <c r="F451" s="3">
        <v>17.716000000000001</v>
      </c>
      <c r="G451" s="9">
        <v>3599.2</v>
      </c>
      <c r="H451">
        <f t="shared" si="66"/>
        <v>-1.1856433000000142</v>
      </c>
      <c r="I451">
        <f t="shared" si="70"/>
        <v>-1.1856433000000142</v>
      </c>
      <c r="J451">
        <f t="shared" si="71"/>
        <v>-0.32941856523672319</v>
      </c>
      <c r="K451">
        <f t="shared" si="72"/>
        <v>-4.9999999999994493E-4</v>
      </c>
      <c r="L451">
        <f t="shared" si="73"/>
        <v>-2.4500000000049482E-4</v>
      </c>
      <c r="M451">
        <f t="shared" si="67"/>
        <v>-3.7250000000021988E-4</v>
      </c>
      <c r="N451">
        <f t="shared" si="68"/>
        <v>-1.7647372716606279E-4</v>
      </c>
      <c r="O451" s="3">
        <f t="shared" si="69"/>
        <v>-1.7647372716606278</v>
      </c>
      <c r="P451">
        <v>898</v>
      </c>
    </row>
    <row r="452" spans="1:16" x14ac:dyDescent="0.25">
      <c r="A452">
        <v>450</v>
      </c>
      <c r="B452">
        <v>3.4476</v>
      </c>
      <c r="C452" s="3">
        <v>3.3807649999999994</v>
      </c>
      <c r="D452" s="8">
        <f t="shared" si="74"/>
        <v>-6.6835000000000644E-2</v>
      </c>
      <c r="E452" s="8">
        <f t="shared" ref="E452:E515" si="75">(D452+D453)/2</f>
        <v>-6.6837500000000327E-2</v>
      </c>
      <c r="F452" s="3">
        <v>17.7</v>
      </c>
      <c r="G452">
        <v>3597</v>
      </c>
      <c r="H452">
        <f t="shared" ref="H452:H515" si="76">E452*F452</f>
        <v>-1.1830237500000058</v>
      </c>
      <c r="I452">
        <f t="shared" si="70"/>
        <v>-1.1830237500000058</v>
      </c>
      <c r="J452">
        <f t="shared" si="71"/>
        <v>-0.32889178482068554</v>
      </c>
      <c r="K452">
        <f t="shared" si="72"/>
        <v>-2.9999999999996696E-4</v>
      </c>
      <c r="L452">
        <f t="shared" si="73"/>
        <v>-2.1249999999950475E-4</v>
      </c>
      <c r="M452">
        <f t="shared" si="67"/>
        <v>-2.5624999999973586E-4</v>
      </c>
      <c r="N452">
        <f t="shared" si="68"/>
        <v>-2.5612231319582638E-4</v>
      </c>
      <c r="O452" s="3">
        <f t="shared" si="69"/>
        <v>-2.5612231319582639</v>
      </c>
      <c r="P452">
        <v>900</v>
      </c>
    </row>
    <row r="453" spans="1:16" x14ac:dyDescent="0.25">
      <c r="A453">
        <v>451</v>
      </c>
      <c r="B453">
        <v>3.4474</v>
      </c>
      <c r="C453" s="3">
        <v>3.38056</v>
      </c>
      <c r="D453" s="8">
        <f t="shared" si="74"/>
        <v>-6.6840000000000011E-2</v>
      </c>
      <c r="E453" s="8">
        <f t="shared" si="75"/>
        <v>-6.6745000000000054E-2</v>
      </c>
      <c r="F453" s="3">
        <v>17.68</v>
      </c>
      <c r="G453" s="9">
        <v>3472.32</v>
      </c>
      <c r="H453">
        <f t="shared" si="76"/>
        <v>-1.180051600000001</v>
      </c>
      <c r="I453">
        <f t="shared" si="70"/>
        <v>-1.180051600000001</v>
      </c>
      <c r="J453">
        <f t="shared" si="71"/>
        <v>-0.33984529075661257</v>
      </c>
      <c r="K453">
        <f t="shared" si="72"/>
        <v>-2.9999999999996696E-4</v>
      </c>
      <c r="L453">
        <f t="shared" si="73"/>
        <v>-2.0749999999969404E-4</v>
      </c>
      <c r="M453">
        <f t="shared" ref="M453:M516" si="77">(K453+L453)/2</f>
        <v>-2.537499999998305E-4</v>
      </c>
      <c r="N453">
        <f t="shared" ref="N453:N516" si="78">-J453/(M453*86400*58)</f>
        <v>-2.672596955287856E-4</v>
      </c>
      <c r="O453" s="3">
        <f t="shared" ref="O453:O516" si="79">N453*10000</f>
        <v>-2.6725969552878559</v>
      </c>
      <c r="P453">
        <v>902</v>
      </c>
    </row>
    <row r="454" spans="1:16" x14ac:dyDescent="0.25">
      <c r="A454">
        <v>452</v>
      </c>
      <c r="B454">
        <v>3.4470000000000001</v>
      </c>
      <c r="C454" s="3">
        <v>3.38035</v>
      </c>
      <c r="D454" s="8">
        <f t="shared" si="74"/>
        <v>-6.6650000000000098E-2</v>
      </c>
      <c r="E454" s="8">
        <f t="shared" si="75"/>
        <v>-6.6507499999999942E-2</v>
      </c>
      <c r="F454" s="3">
        <v>17.660000000000004</v>
      </c>
      <c r="G454" s="9">
        <v>3347.6400000000003</v>
      </c>
      <c r="H454">
        <f t="shared" si="76"/>
        <v>-1.1745224499999991</v>
      </c>
      <c r="I454">
        <f t="shared" si="70"/>
        <v>-1.1745224499999991</v>
      </c>
      <c r="J454">
        <f t="shared" si="71"/>
        <v>-0.35085088301012024</v>
      </c>
      <c r="K454">
        <f t="shared" si="72"/>
        <v>-4.5000000000006146E-4</v>
      </c>
      <c r="L454">
        <f t="shared" si="73"/>
        <v>-2.1249999999994884E-4</v>
      </c>
      <c r="M454">
        <f t="shared" si="77"/>
        <v>-3.3125000000000515E-4</v>
      </c>
      <c r="N454">
        <f t="shared" si="78"/>
        <v>-2.1136104665781994E-4</v>
      </c>
      <c r="O454" s="3">
        <f t="shared" si="79"/>
        <v>-2.1136104665781992</v>
      </c>
      <c r="P454">
        <v>904</v>
      </c>
    </row>
    <row r="455" spans="1:16" x14ac:dyDescent="0.25">
      <c r="A455">
        <v>453</v>
      </c>
      <c r="B455">
        <v>3.4464999999999999</v>
      </c>
      <c r="C455" s="3">
        <v>3.3801350000000001</v>
      </c>
      <c r="D455" s="8">
        <f t="shared" si="74"/>
        <v>-6.6364999999999785E-2</v>
      </c>
      <c r="E455" s="8">
        <f t="shared" si="75"/>
        <v>-6.6460000000000186E-2</v>
      </c>
      <c r="F455" s="3">
        <v>17.640000000000004</v>
      </c>
      <c r="G455" s="9">
        <v>3222.9600000000005</v>
      </c>
      <c r="H455">
        <f t="shared" si="76"/>
        <v>-1.1723544000000035</v>
      </c>
      <c r="I455">
        <f t="shared" si="70"/>
        <v>-1.1723544000000035</v>
      </c>
      <c r="J455">
        <f t="shared" si="71"/>
        <v>-0.36375083773922212</v>
      </c>
      <c r="K455">
        <f t="shared" si="72"/>
        <v>-2.5000000000008349E-4</v>
      </c>
      <c r="L455">
        <f t="shared" si="73"/>
        <v>-2.0250000000032742E-4</v>
      </c>
      <c r="M455">
        <f t="shared" si="77"/>
        <v>-2.2625000000020545E-4</v>
      </c>
      <c r="N455">
        <f t="shared" si="78"/>
        <v>-3.2082904480826313E-4</v>
      </c>
      <c r="O455" s="3">
        <f t="shared" si="79"/>
        <v>-3.2082904480826313</v>
      </c>
      <c r="P455">
        <v>906</v>
      </c>
    </row>
    <row r="456" spans="1:16" x14ac:dyDescent="0.25">
      <c r="A456">
        <v>454</v>
      </c>
      <c r="B456">
        <v>3.4464999999999999</v>
      </c>
      <c r="C456" s="3">
        <v>3.3799449999999993</v>
      </c>
      <c r="D456" s="8">
        <f t="shared" si="74"/>
        <v>-6.6555000000000586E-2</v>
      </c>
      <c r="E456" s="8">
        <f t="shared" si="75"/>
        <v>-6.6537500000000582E-2</v>
      </c>
      <c r="F456" s="3">
        <v>17.620000000000005</v>
      </c>
      <c r="G456" s="9">
        <v>3098.2800000000007</v>
      </c>
      <c r="H456">
        <f t="shared" si="76"/>
        <v>-1.1723907500000106</v>
      </c>
      <c r="I456">
        <f t="shared" si="70"/>
        <v>-1.1723907500000106</v>
      </c>
      <c r="J456">
        <f t="shared" si="71"/>
        <v>-0.37840051577004347</v>
      </c>
      <c r="K456">
        <f t="shared" si="72"/>
        <v>-1.4999999999987246E-4</v>
      </c>
      <c r="L456">
        <f t="shared" si="73"/>
        <v>-2.2750000000026915E-4</v>
      </c>
      <c r="M456">
        <f t="shared" si="77"/>
        <v>-1.8875000000007081E-4</v>
      </c>
      <c r="N456">
        <f t="shared" si="78"/>
        <v>-4.0005805884345052E-4</v>
      </c>
      <c r="O456" s="3">
        <f t="shared" si="79"/>
        <v>-4.0005805884345049</v>
      </c>
      <c r="P456">
        <v>908</v>
      </c>
    </row>
    <row r="457" spans="1:16" x14ac:dyDescent="0.25">
      <c r="A457">
        <v>455</v>
      </c>
      <c r="B457">
        <v>3.4462000000000002</v>
      </c>
      <c r="C457" s="3">
        <v>3.3796799999999996</v>
      </c>
      <c r="D457" s="8">
        <f t="shared" si="74"/>
        <v>-6.6520000000000579E-2</v>
      </c>
      <c r="E457" s="8">
        <f t="shared" si="75"/>
        <v>-6.6515000000000546E-2</v>
      </c>
      <c r="F457" s="3">
        <v>17.600000000000005</v>
      </c>
      <c r="G457" s="9">
        <v>2973.6000000000008</v>
      </c>
      <c r="H457">
        <f t="shared" si="76"/>
        <v>-1.1706640000000099</v>
      </c>
      <c r="I457">
        <f t="shared" si="70"/>
        <v>-1.1706640000000099</v>
      </c>
      <c r="J457">
        <f t="shared" si="71"/>
        <v>-0.39368576809255101</v>
      </c>
      <c r="K457">
        <f t="shared" si="72"/>
        <v>-1.9999999999997797E-4</v>
      </c>
      <c r="L457">
        <f t="shared" si="73"/>
        <v>-1.7749999999994159E-4</v>
      </c>
      <c r="M457">
        <f t="shared" si="77"/>
        <v>-1.8874999999995978E-4</v>
      </c>
      <c r="N457">
        <f t="shared" si="78"/>
        <v>-4.1621815408201911E-4</v>
      </c>
      <c r="O457" s="3">
        <f t="shared" si="79"/>
        <v>-4.1621815408201908</v>
      </c>
      <c r="P457">
        <v>910</v>
      </c>
    </row>
    <row r="458" spans="1:16" x14ac:dyDescent="0.25">
      <c r="A458">
        <v>456</v>
      </c>
      <c r="B458">
        <v>3.4460999999999999</v>
      </c>
      <c r="C458" s="3">
        <v>3.3795899999999994</v>
      </c>
      <c r="D458" s="8">
        <f t="shared" si="74"/>
        <v>-6.6510000000000513E-2</v>
      </c>
      <c r="E458" s="8">
        <f t="shared" si="75"/>
        <v>-6.6610000000000502E-2</v>
      </c>
      <c r="F458" s="3">
        <v>17.580000000000005</v>
      </c>
      <c r="G458" s="9">
        <v>2848.920000000001</v>
      </c>
      <c r="H458">
        <f t="shared" si="76"/>
        <v>-1.1710038000000091</v>
      </c>
      <c r="I458">
        <f t="shared" si="70"/>
        <v>-1.1710038000000091</v>
      </c>
      <c r="J458">
        <f t="shared" si="71"/>
        <v>-0.41103428667705966</v>
      </c>
      <c r="K458">
        <f t="shared" si="72"/>
        <v>-5.0000000000105516E-5</v>
      </c>
      <c r="L458">
        <f t="shared" si="73"/>
        <v>-1.4500000000006175E-4</v>
      </c>
      <c r="M458">
        <f t="shared" si="77"/>
        <v>-9.7500000000083631E-5</v>
      </c>
      <c r="N458">
        <f t="shared" si="78"/>
        <v>-8.4126282599123012E-4</v>
      </c>
      <c r="O458" s="3">
        <f t="shared" si="79"/>
        <v>-8.4126282599123012</v>
      </c>
      <c r="P458">
        <v>912</v>
      </c>
    </row>
    <row r="459" spans="1:16" x14ac:dyDescent="0.25">
      <c r="A459">
        <v>457</v>
      </c>
      <c r="B459">
        <v>3.4460999999999999</v>
      </c>
      <c r="C459" s="3">
        <v>3.3793899999999994</v>
      </c>
      <c r="D459" s="8">
        <f t="shared" si="74"/>
        <v>-6.6710000000000491E-2</v>
      </c>
      <c r="E459" s="8">
        <f t="shared" si="75"/>
        <v>-6.658500000000056E-2</v>
      </c>
      <c r="F459" s="3">
        <v>17.560000000000006</v>
      </c>
      <c r="G459" s="9">
        <v>2724.2400000000011</v>
      </c>
      <c r="H459">
        <f t="shared" si="76"/>
        <v>-1.1692326000000102</v>
      </c>
      <c r="I459">
        <f t="shared" si="70"/>
        <v>-1.1692326000000102</v>
      </c>
      <c r="J459">
        <f t="shared" si="71"/>
        <v>-0.42919588582504098</v>
      </c>
      <c r="K459">
        <f t="shared" si="72"/>
        <v>-1.9999999999997797E-4</v>
      </c>
      <c r="L459">
        <f t="shared" si="73"/>
        <v>-1.7500000000003624E-4</v>
      </c>
      <c r="M459">
        <f t="shared" si="77"/>
        <v>-1.8750000000000711E-4</v>
      </c>
      <c r="N459">
        <f t="shared" si="78"/>
        <v>-4.5678574481164825E-4</v>
      </c>
      <c r="O459" s="3">
        <f t="shared" si="79"/>
        <v>-4.5678574481164826</v>
      </c>
      <c r="P459">
        <v>914</v>
      </c>
    </row>
    <row r="460" spans="1:16" x14ac:dyDescent="0.25">
      <c r="A460">
        <v>458</v>
      </c>
      <c r="B460">
        <v>3.4457</v>
      </c>
      <c r="C460" s="3">
        <v>3.3792399999999994</v>
      </c>
      <c r="D460" s="8">
        <f t="shared" si="74"/>
        <v>-6.646000000000063E-2</v>
      </c>
      <c r="E460" s="8">
        <f t="shared" si="75"/>
        <v>-6.6450000000000786E-2</v>
      </c>
      <c r="F460" s="3">
        <v>17.540000000000003</v>
      </c>
      <c r="G460" s="9">
        <v>2599.5600000000013</v>
      </c>
      <c r="H460">
        <f t="shared" si="76"/>
        <v>-1.1655330000000139</v>
      </c>
      <c r="I460">
        <f t="shared" si="70"/>
        <v>-1.1655330000000139</v>
      </c>
      <c r="J460">
        <f t="shared" si="71"/>
        <v>-0.44835779901214567</v>
      </c>
      <c r="K460">
        <f t="shared" si="72"/>
        <v>-2.9999999999996696E-4</v>
      </c>
      <c r="L460">
        <f t="shared" si="73"/>
        <v>-1.6500000000019277E-4</v>
      </c>
      <c r="M460">
        <f t="shared" si="77"/>
        <v>-2.3250000000007987E-4</v>
      </c>
      <c r="N460">
        <f t="shared" si="78"/>
        <v>-3.8482212661873248E-4</v>
      </c>
      <c r="O460" s="3">
        <f t="shared" si="79"/>
        <v>-3.8482212661873247</v>
      </c>
      <c r="P460">
        <v>916</v>
      </c>
    </row>
    <row r="461" spans="1:16" x14ac:dyDescent="0.25">
      <c r="A461">
        <v>459</v>
      </c>
      <c r="B461">
        <v>3.4455</v>
      </c>
      <c r="C461" s="3">
        <v>3.3790599999999991</v>
      </c>
      <c r="D461" s="8">
        <f t="shared" si="74"/>
        <v>-6.6440000000000943E-2</v>
      </c>
      <c r="E461" s="8">
        <f t="shared" si="75"/>
        <v>-6.6280000000000339E-2</v>
      </c>
      <c r="F461" s="3">
        <v>17.520000000000003</v>
      </c>
      <c r="G461" s="9">
        <v>2474.880000000001</v>
      </c>
      <c r="H461">
        <f t="shared" si="76"/>
        <v>-1.1612256000000061</v>
      </c>
      <c r="I461">
        <f t="shared" si="70"/>
        <v>-1.1612256000000061</v>
      </c>
      <c r="J461">
        <f t="shared" si="71"/>
        <v>-0.46920480993018066</v>
      </c>
      <c r="K461">
        <f t="shared" si="72"/>
        <v>-3.5000000000007248E-4</v>
      </c>
      <c r="L461">
        <f t="shared" si="73"/>
        <v>-1.799999999996249E-4</v>
      </c>
      <c r="M461">
        <f t="shared" si="77"/>
        <v>-2.6499999999984869E-4</v>
      </c>
      <c r="N461">
        <f t="shared" si="78"/>
        <v>-3.5332538881241757E-4</v>
      </c>
      <c r="O461" s="3">
        <f t="shared" si="79"/>
        <v>-3.5332538881241757</v>
      </c>
      <c r="P461">
        <v>918</v>
      </c>
    </row>
    <row r="462" spans="1:16" x14ac:dyDescent="0.25">
      <c r="A462">
        <v>460</v>
      </c>
      <c r="B462">
        <v>3.4449999999999998</v>
      </c>
      <c r="C462" s="3">
        <v>3.3788800000000001</v>
      </c>
      <c r="D462" s="8">
        <f t="shared" si="74"/>
        <v>-6.6119999999999735E-2</v>
      </c>
      <c r="E462" s="8">
        <f t="shared" si="75"/>
        <v>-6.6149999999999931E-2</v>
      </c>
      <c r="F462" s="3">
        <v>17.500000000000007</v>
      </c>
      <c r="G462" s="9">
        <v>2350.2000000000007</v>
      </c>
      <c r="H462">
        <f t="shared" si="76"/>
        <v>-1.1576249999999992</v>
      </c>
      <c r="I462">
        <f t="shared" si="70"/>
        <v>-1.1576249999999992</v>
      </c>
      <c r="J462">
        <f t="shared" si="71"/>
        <v>-0.49256446259892728</v>
      </c>
      <c r="K462">
        <f t="shared" si="72"/>
        <v>-2.9999999999996696E-4</v>
      </c>
      <c r="L462">
        <f t="shared" si="73"/>
        <v>-1.6999999999955939E-4</v>
      </c>
      <c r="M462">
        <f t="shared" si="77"/>
        <v>-2.3499999999976318E-4</v>
      </c>
      <c r="N462">
        <f t="shared" si="78"/>
        <v>-4.1826688014543059E-4</v>
      </c>
      <c r="O462" s="3">
        <f t="shared" si="79"/>
        <v>-4.1826688014543061</v>
      </c>
      <c r="P462">
        <v>920</v>
      </c>
    </row>
    <row r="463" spans="1:16" x14ac:dyDescent="0.25">
      <c r="A463">
        <v>461</v>
      </c>
      <c r="B463">
        <v>3.4449000000000001</v>
      </c>
      <c r="C463" s="3">
        <v>3.3787199999999999</v>
      </c>
      <c r="D463" s="8">
        <f t="shared" si="74"/>
        <v>-6.6180000000000128E-2</v>
      </c>
      <c r="E463" s="8">
        <f t="shared" si="75"/>
        <v>-6.6227499999999662E-2</v>
      </c>
      <c r="F463" s="3">
        <v>17.480000000000004</v>
      </c>
      <c r="G463" s="9">
        <v>2225.5200000000009</v>
      </c>
      <c r="H463">
        <f t="shared" si="76"/>
        <v>-1.1576566999999944</v>
      </c>
      <c r="I463">
        <f t="shared" si="70"/>
        <v>-1.1576566999999944</v>
      </c>
      <c r="J463">
        <f t="shared" si="71"/>
        <v>-0.52017357741111925</v>
      </c>
      <c r="K463">
        <f t="shared" si="72"/>
        <v>-9.9999999999988987E-5</v>
      </c>
      <c r="L463">
        <f t="shared" si="73"/>
        <v>-1.7749999999971955E-4</v>
      </c>
      <c r="M463">
        <f t="shared" si="77"/>
        <v>-1.3874999999985427E-4</v>
      </c>
      <c r="N463">
        <f t="shared" si="78"/>
        <v>-7.4812395356803005E-4</v>
      </c>
      <c r="O463" s="3">
        <f t="shared" si="79"/>
        <v>-7.4812395356803005</v>
      </c>
      <c r="P463">
        <v>922</v>
      </c>
    </row>
    <row r="464" spans="1:16" x14ac:dyDescent="0.25">
      <c r="A464">
        <v>462</v>
      </c>
      <c r="B464">
        <v>3.4447999999999999</v>
      </c>
      <c r="C464" s="3">
        <v>3.3785250000000007</v>
      </c>
      <c r="D464" s="8">
        <f t="shared" si="74"/>
        <v>-6.6274999999999196E-2</v>
      </c>
      <c r="E464" s="8">
        <f t="shared" si="75"/>
        <v>-6.6172499999999745E-2</v>
      </c>
      <c r="F464" s="3">
        <v>17.46</v>
      </c>
      <c r="G464" s="9">
        <v>2100.8400000000011</v>
      </c>
      <c r="H464">
        <f t="shared" si="76"/>
        <v>-1.1553718499999956</v>
      </c>
      <c r="I464">
        <f t="shared" si="70"/>
        <v>-1.1553718499999956</v>
      </c>
      <c r="J464">
        <f t="shared" si="71"/>
        <v>-0.54995708859313186</v>
      </c>
      <c r="K464">
        <f t="shared" si="72"/>
        <v>-2.5000000000008349E-4</v>
      </c>
      <c r="L464">
        <f t="shared" si="73"/>
        <v>-1.9500000000016726E-4</v>
      </c>
      <c r="M464">
        <f t="shared" si="77"/>
        <v>-2.2250000000012538E-4</v>
      </c>
      <c r="N464">
        <f t="shared" si="78"/>
        <v>-4.9323859596555133E-4</v>
      </c>
      <c r="O464" s="3">
        <f t="shared" si="79"/>
        <v>-4.9323859596555133</v>
      </c>
      <c r="P464">
        <v>924</v>
      </c>
    </row>
    <row r="465" spans="1:16" x14ac:dyDescent="0.25">
      <c r="A465">
        <v>463</v>
      </c>
      <c r="B465">
        <v>3.4443999999999999</v>
      </c>
      <c r="C465" s="3">
        <v>3.3783299999999996</v>
      </c>
      <c r="D465" s="8">
        <f t="shared" si="74"/>
        <v>-6.6070000000000295E-2</v>
      </c>
      <c r="E465" s="8">
        <f t="shared" si="75"/>
        <v>-6.6097500000000586E-2</v>
      </c>
      <c r="F465" s="3">
        <v>17.440000000000005</v>
      </c>
      <c r="G465" s="9">
        <v>1976.160000000001</v>
      </c>
      <c r="H465">
        <f t="shared" si="76"/>
        <v>-1.1527404000000105</v>
      </c>
      <c r="I465">
        <f t="shared" si="70"/>
        <v>-1.1527404000000105</v>
      </c>
      <c r="J465">
        <f t="shared" si="71"/>
        <v>-0.58332341510809349</v>
      </c>
      <c r="K465">
        <f t="shared" si="72"/>
        <v>-2.9999999999996696E-4</v>
      </c>
      <c r="L465">
        <f t="shared" si="73"/>
        <v>-2.2500000000080789E-4</v>
      </c>
      <c r="M465">
        <f t="shared" si="77"/>
        <v>-2.6250000000038742E-4</v>
      </c>
      <c r="N465">
        <f t="shared" si="78"/>
        <v>-4.4344357409477635E-4</v>
      </c>
      <c r="O465" s="3">
        <f t="shared" si="79"/>
        <v>-4.4344357409477633</v>
      </c>
      <c r="P465">
        <v>926</v>
      </c>
    </row>
    <row r="466" spans="1:16" x14ac:dyDescent="0.25">
      <c r="A466">
        <v>464</v>
      </c>
      <c r="B466">
        <v>3.4441999999999999</v>
      </c>
      <c r="C466" s="3">
        <v>3.3780749999999991</v>
      </c>
      <c r="D466" s="8">
        <f t="shared" si="74"/>
        <v>-6.6125000000000878E-2</v>
      </c>
      <c r="E466" s="8">
        <f t="shared" si="75"/>
        <v>-6.6155000000000408E-2</v>
      </c>
      <c r="F466" s="3">
        <v>17.420000000000005</v>
      </c>
      <c r="G466" s="9">
        <v>1851.4800000000009</v>
      </c>
      <c r="H466">
        <f t="shared" si="76"/>
        <v>-1.1524201000000074</v>
      </c>
      <c r="I466">
        <f t="shared" si="70"/>
        <v>-1.1524201000000074</v>
      </c>
      <c r="J466">
        <f t="shared" si="71"/>
        <v>-0.62243183831313686</v>
      </c>
      <c r="K466">
        <f t="shared" si="72"/>
        <v>-1.4999999999987246E-4</v>
      </c>
      <c r="L466">
        <f t="shared" si="73"/>
        <v>-2.0749999999969404E-4</v>
      </c>
      <c r="M466">
        <f t="shared" si="77"/>
        <v>-1.7874999999978325E-4</v>
      </c>
      <c r="N466">
        <f t="shared" si="78"/>
        <v>-6.9487072126424689E-4</v>
      </c>
      <c r="O466" s="3">
        <f t="shared" si="79"/>
        <v>-6.9487072126424687</v>
      </c>
      <c r="P466">
        <v>928</v>
      </c>
    </row>
    <row r="467" spans="1:16" x14ac:dyDescent="0.25">
      <c r="A467">
        <v>465</v>
      </c>
      <c r="B467">
        <v>3.4441000000000002</v>
      </c>
      <c r="C467" s="3">
        <v>3.3779150000000002</v>
      </c>
      <c r="D467" s="8">
        <f t="shared" si="74"/>
        <v>-6.6184999999999938E-2</v>
      </c>
      <c r="E467" s="8">
        <f t="shared" si="75"/>
        <v>-6.6135000000000055E-2</v>
      </c>
      <c r="F467" s="3">
        <v>17.400000000000002</v>
      </c>
      <c r="G467" s="9">
        <v>1726.8000000000009</v>
      </c>
      <c r="H467">
        <f t="shared" si="76"/>
        <v>-1.1507490000000011</v>
      </c>
      <c r="I467">
        <f t="shared" si="70"/>
        <v>-1.1507490000000011</v>
      </c>
      <c r="J467">
        <f t="shared" si="71"/>
        <v>-0.6664054899235583</v>
      </c>
      <c r="K467">
        <f t="shared" si="72"/>
        <v>-1.9999999999997797E-4</v>
      </c>
      <c r="L467">
        <f t="shared" si="73"/>
        <v>-1.799999999996249E-4</v>
      </c>
      <c r="M467">
        <f t="shared" si="77"/>
        <v>-1.8999999999980144E-4</v>
      </c>
      <c r="N467">
        <f t="shared" si="78"/>
        <v>-6.9991166095761785E-4</v>
      </c>
      <c r="O467" s="3">
        <f t="shared" si="79"/>
        <v>-6.9991166095761788</v>
      </c>
      <c r="P467">
        <v>930</v>
      </c>
    </row>
    <row r="468" spans="1:16" x14ac:dyDescent="0.25">
      <c r="A468">
        <v>466</v>
      </c>
      <c r="B468">
        <v>3.4438</v>
      </c>
      <c r="C468" s="3">
        <v>3.3777149999999998</v>
      </c>
      <c r="D468" s="8">
        <f t="shared" si="74"/>
        <v>-6.6085000000000171E-2</v>
      </c>
      <c r="E468" s="8">
        <f t="shared" si="75"/>
        <v>-6.6045000000000131E-2</v>
      </c>
      <c r="F468" s="3">
        <v>17.380000000000003</v>
      </c>
      <c r="G468" s="9">
        <v>1602.1200000000008</v>
      </c>
      <c r="H468">
        <f t="shared" si="76"/>
        <v>-1.1478621000000024</v>
      </c>
      <c r="I468">
        <f t="shared" si="70"/>
        <v>-1.1478621000000024</v>
      </c>
      <c r="J468">
        <f t="shared" si="71"/>
        <v>-0.71646449704142123</v>
      </c>
      <c r="K468">
        <f t="shared" si="72"/>
        <v>-3.00000000000189E-4</v>
      </c>
      <c r="L468">
        <f t="shared" si="73"/>
        <v>-2.1000000000026553E-4</v>
      </c>
      <c r="M468">
        <f t="shared" si="77"/>
        <v>-2.5500000000022727E-4</v>
      </c>
      <c r="N468">
        <f t="shared" si="78"/>
        <v>-5.6067702232550666E-4</v>
      </c>
      <c r="O468" s="3">
        <f t="shared" si="79"/>
        <v>-5.6067702232550669</v>
      </c>
      <c r="P468">
        <v>932</v>
      </c>
    </row>
    <row r="469" spans="1:16" x14ac:dyDescent="0.25">
      <c r="A469">
        <v>467</v>
      </c>
      <c r="B469">
        <v>3.4434999999999998</v>
      </c>
      <c r="C469" s="3">
        <v>3.3774949999999997</v>
      </c>
      <c r="D469" s="8">
        <f t="shared" si="74"/>
        <v>-6.6005000000000091E-2</v>
      </c>
      <c r="E469" s="8">
        <f t="shared" si="75"/>
        <v>-6.5780000000000172E-2</v>
      </c>
      <c r="F469" s="3">
        <v>17.360000000000003</v>
      </c>
      <c r="G469" s="9">
        <v>1477.4400000000007</v>
      </c>
      <c r="H469">
        <f t="shared" si="76"/>
        <v>-1.1419408000000031</v>
      </c>
      <c r="I469">
        <f t="shared" si="70"/>
        <v>-1.1419408000000031</v>
      </c>
      <c r="J469">
        <f t="shared" si="71"/>
        <v>-0.77291856183669227</v>
      </c>
      <c r="K469">
        <f t="shared" si="72"/>
        <v>-4.9999999999994493E-4</v>
      </c>
      <c r="L469">
        <f t="shared" si="73"/>
        <v>-2.3499999999998522E-4</v>
      </c>
      <c r="M469">
        <f t="shared" si="77"/>
        <v>-3.6749999999996508E-4</v>
      </c>
      <c r="N469">
        <f t="shared" si="78"/>
        <v>-4.1969583335329722E-4</v>
      </c>
      <c r="O469" s="3">
        <f t="shared" si="79"/>
        <v>-4.1969583335329723</v>
      </c>
      <c r="P469">
        <v>934</v>
      </c>
    </row>
    <row r="470" spans="1:16" x14ac:dyDescent="0.25">
      <c r="A470">
        <v>468</v>
      </c>
      <c r="B470">
        <v>3.4428000000000001</v>
      </c>
      <c r="C470" s="3">
        <v>3.3772449999999998</v>
      </c>
      <c r="D470" s="8">
        <f t="shared" si="74"/>
        <v>-6.5555000000000252E-2</v>
      </c>
      <c r="E470" s="8">
        <f t="shared" si="75"/>
        <v>-6.5327500000000205E-2</v>
      </c>
      <c r="F470" s="3">
        <v>17.340000000000003</v>
      </c>
      <c r="G470" s="9">
        <v>1352.7600000000007</v>
      </c>
      <c r="H470">
        <f t="shared" si="76"/>
        <v>-1.1327788500000038</v>
      </c>
      <c r="I470">
        <f t="shared" si="70"/>
        <v>-1.1327788500000038</v>
      </c>
      <c r="J470">
        <f t="shared" si="71"/>
        <v>-0.83738346048079715</v>
      </c>
      <c r="K470">
        <f t="shared" si="72"/>
        <v>-6.4999999999981739E-4</v>
      </c>
      <c r="L470">
        <f t="shared" si="73"/>
        <v>-1.9749999999985057E-4</v>
      </c>
      <c r="M470">
        <f t="shared" si="77"/>
        <v>-4.2374999999983398E-4</v>
      </c>
      <c r="N470">
        <f t="shared" si="78"/>
        <v>-3.94341906215564E-4</v>
      </c>
      <c r="O470" s="3">
        <f t="shared" si="79"/>
        <v>-3.9434190621556402</v>
      </c>
      <c r="P470">
        <v>936</v>
      </c>
    </row>
    <row r="471" spans="1:16" x14ac:dyDescent="0.25">
      <c r="A471">
        <v>469</v>
      </c>
      <c r="B471">
        <v>3.4422000000000001</v>
      </c>
      <c r="C471" s="3">
        <v>3.3771</v>
      </c>
      <c r="D471" s="8">
        <f t="shared" si="74"/>
        <v>-6.5100000000000158E-2</v>
      </c>
      <c r="E471" s="8">
        <f t="shared" si="75"/>
        <v>-6.5092499999999998E-2</v>
      </c>
      <c r="F471" s="3">
        <v>17.32</v>
      </c>
      <c r="G471" s="9">
        <v>1228.0800000000006</v>
      </c>
      <c r="H471">
        <f t="shared" si="76"/>
        <v>-1.1274021000000001</v>
      </c>
      <c r="I471">
        <f t="shared" si="70"/>
        <v>-1.1274021000000001</v>
      </c>
      <c r="J471">
        <f t="shared" si="71"/>
        <v>-0.91802008012507286</v>
      </c>
      <c r="K471">
        <f t="shared" si="72"/>
        <v>-3.9999999999995595E-4</v>
      </c>
      <c r="L471">
        <f t="shared" si="73"/>
        <v>-1.6499999999974868E-4</v>
      </c>
      <c r="M471">
        <f t="shared" si="77"/>
        <v>-2.8249999999985231E-4</v>
      </c>
      <c r="N471">
        <f t="shared" si="78"/>
        <v>-6.4847314060790748E-4</v>
      </c>
      <c r="O471" s="3">
        <f t="shared" si="79"/>
        <v>-6.4847314060790744</v>
      </c>
      <c r="P471">
        <v>938</v>
      </c>
    </row>
    <row r="472" spans="1:16" x14ac:dyDescent="0.25">
      <c r="A472">
        <v>470</v>
      </c>
      <c r="B472">
        <v>3.4420000000000002</v>
      </c>
      <c r="C472" s="3">
        <v>3.3769150000000003</v>
      </c>
      <c r="D472" s="8">
        <f t="shared" si="74"/>
        <v>-6.5084999999999837E-2</v>
      </c>
      <c r="E472" s="8">
        <f t="shared" si="75"/>
        <v>-6.4729999999999732E-2</v>
      </c>
      <c r="F472" s="3">
        <v>17.3</v>
      </c>
      <c r="G472" s="9">
        <v>1103.4000000000005</v>
      </c>
      <c r="H472">
        <f t="shared" si="76"/>
        <v>-1.1198289999999955</v>
      </c>
      <c r="I472">
        <f t="shared" si="70"/>
        <v>-1.1198289999999955</v>
      </c>
      <c r="J472">
        <f t="shared" si="71"/>
        <v>-1.0148894326626745</v>
      </c>
      <c r="K472">
        <f t="shared" si="72"/>
        <v>-5.5000000000005045E-4</v>
      </c>
      <c r="L472">
        <f t="shared" si="73"/>
        <v>-1.8749999999978506E-4</v>
      </c>
      <c r="M472">
        <f t="shared" si="77"/>
        <v>-3.6874999999991775E-4</v>
      </c>
      <c r="N472">
        <f t="shared" si="78"/>
        <v>-5.4921825695548453E-4</v>
      </c>
      <c r="O472" s="3">
        <f t="shared" si="79"/>
        <v>-5.4921825695548456</v>
      </c>
      <c r="P472">
        <v>940</v>
      </c>
    </row>
    <row r="473" spans="1:16" x14ac:dyDescent="0.25">
      <c r="A473">
        <v>471</v>
      </c>
      <c r="B473">
        <v>3.4411</v>
      </c>
      <c r="C473" s="3">
        <v>3.3767250000000004</v>
      </c>
      <c r="D473" s="8">
        <f t="shared" si="74"/>
        <v>-6.4374999999999627E-2</v>
      </c>
      <c r="E473" s="8">
        <f t="shared" si="75"/>
        <v>-6.4039999999999431E-2</v>
      </c>
      <c r="F473" s="3">
        <v>17.28</v>
      </c>
      <c r="G473" s="9">
        <v>978.72000000000048</v>
      </c>
      <c r="H473">
        <f t="shared" si="76"/>
        <v>-1.1066111999999901</v>
      </c>
      <c r="I473">
        <f t="shared" ref="I473:I536" si="80">H473</f>
        <v>-1.1066111999999901</v>
      </c>
      <c r="J473">
        <f t="shared" ref="J473:J536" si="81">(I473/G473)*1000</f>
        <v>-1.1306718979891996</v>
      </c>
      <c r="K473">
        <f t="shared" ref="K473:K536" si="82">(B474-B472)/(A474-A472)</f>
        <v>-9.0000000000012292E-4</v>
      </c>
      <c r="L473">
        <f t="shared" ref="L473:L536" si="83">(C474-C472)/(A474-A472)</f>
        <v>-2.0999999999982144E-4</v>
      </c>
      <c r="M473">
        <f t="shared" si="77"/>
        <v>-5.5499999999997218E-4</v>
      </c>
      <c r="N473">
        <f t="shared" si="78"/>
        <v>-4.0653868595220803E-4</v>
      </c>
      <c r="O473" s="3">
        <f t="shared" si="79"/>
        <v>-4.0653868595220803</v>
      </c>
      <c r="P473">
        <v>942</v>
      </c>
    </row>
    <row r="474" spans="1:16" x14ac:dyDescent="0.25">
      <c r="A474">
        <v>472</v>
      </c>
      <c r="B474">
        <v>3.4401999999999999</v>
      </c>
      <c r="C474" s="3">
        <v>3.3764950000000007</v>
      </c>
      <c r="D474" s="8">
        <f t="shared" ref="D474:D537" si="84">C474-B474</f>
        <v>-6.3704999999999234E-2</v>
      </c>
      <c r="E474" s="8">
        <f t="shared" si="75"/>
        <v>-6.3690000000000024E-2</v>
      </c>
      <c r="F474" s="3">
        <v>17.260000000000002</v>
      </c>
      <c r="G474" s="9">
        <v>854.04000000000042</v>
      </c>
      <c r="H474">
        <f t="shared" si="76"/>
        <v>-1.0992894000000004</v>
      </c>
      <c r="I474">
        <f t="shared" si="80"/>
        <v>-1.0992894000000004</v>
      </c>
      <c r="J474">
        <f t="shared" si="81"/>
        <v>-1.287163833075734</v>
      </c>
      <c r="K474">
        <f t="shared" si="82"/>
        <v>-5.5000000000005045E-4</v>
      </c>
      <c r="L474">
        <f t="shared" si="83"/>
        <v>-2.0000000000064411E-4</v>
      </c>
      <c r="M474">
        <f t="shared" si="77"/>
        <v>-3.7500000000034728E-4</v>
      </c>
      <c r="N474">
        <f t="shared" si="78"/>
        <v>-6.8495308273443061E-4</v>
      </c>
      <c r="O474" s="3">
        <f t="shared" si="79"/>
        <v>-6.8495308273443056</v>
      </c>
      <c r="P474">
        <v>944</v>
      </c>
    </row>
    <row r="475" spans="1:16" x14ac:dyDescent="0.25">
      <c r="A475">
        <v>473</v>
      </c>
      <c r="B475">
        <v>3.44</v>
      </c>
      <c r="C475" s="3">
        <v>3.3763249999999991</v>
      </c>
      <c r="D475" s="8">
        <f t="shared" si="84"/>
        <v>-6.3675000000000814E-2</v>
      </c>
      <c r="E475" s="8">
        <f t="shared" si="75"/>
        <v>-6.3755000000000672E-2</v>
      </c>
      <c r="F475" s="3">
        <v>17.240000000000002</v>
      </c>
      <c r="G475" s="9">
        <v>729.36000000000024</v>
      </c>
      <c r="H475">
        <f t="shared" si="76"/>
        <v>-1.0991362000000118</v>
      </c>
      <c r="I475">
        <f t="shared" si="80"/>
        <v>-1.0991362000000118</v>
      </c>
      <c r="J475">
        <f t="shared" si="81"/>
        <v>-1.5069872216738118</v>
      </c>
      <c r="K475">
        <f t="shared" si="82"/>
        <v>-1.4999999999987246E-4</v>
      </c>
      <c r="L475">
        <f t="shared" si="83"/>
        <v>-2.1500000000052033E-4</v>
      </c>
      <c r="M475">
        <f t="shared" si="77"/>
        <v>-1.8250000000019639E-4</v>
      </c>
      <c r="N475">
        <f t="shared" si="78"/>
        <v>-1.6478017697040166E-3</v>
      </c>
      <c r="O475" s="3">
        <f t="shared" si="79"/>
        <v>-16.478017697040166</v>
      </c>
      <c r="P475">
        <v>946</v>
      </c>
    </row>
    <row r="476" spans="1:16" x14ac:dyDescent="0.25">
      <c r="A476">
        <v>474</v>
      </c>
      <c r="B476">
        <v>3.4399000000000002</v>
      </c>
      <c r="C476" s="3">
        <v>3.3760649999999996</v>
      </c>
      <c r="D476" s="8">
        <f t="shared" si="84"/>
        <v>-6.383500000000053E-2</v>
      </c>
      <c r="E476" s="8">
        <f t="shared" si="75"/>
        <v>-6.3595000000000068E-2</v>
      </c>
      <c r="F476" s="3">
        <v>17.22</v>
      </c>
      <c r="G476" s="9">
        <v>604.68000000000006</v>
      </c>
      <c r="H476">
        <f t="shared" si="76"/>
        <v>-1.0951059000000012</v>
      </c>
      <c r="I476">
        <f t="shared" si="80"/>
        <v>-1.0951059000000012</v>
      </c>
      <c r="J476">
        <f t="shared" si="81"/>
        <v>-1.8110503076007163</v>
      </c>
      <c r="K476">
        <f t="shared" si="82"/>
        <v>-3.5000000000007248E-4</v>
      </c>
      <c r="L476">
        <f t="shared" si="83"/>
        <v>-1.8999999999946837E-4</v>
      </c>
      <c r="M476">
        <f t="shared" si="77"/>
        <v>-2.6999999999977042E-4</v>
      </c>
      <c r="N476">
        <f t="shared" si="78"/>
        <v>-1.338520460540431E-3</v>
      </c>
      <c r="O476" s="3">
        <f t="shared" si="79"/>
        <v>-13.38520460540431</v>
      </c>
      <c r="P476">
        <v>948</v>
      </c>
    </row>
    <row r="477" spans="1:16" x14ac:dyDescent="0.25">
      <c r="A477">
        <v>475</v>
      </c>
      <c r="B477">
        <v>3.4392999999999998</v>
      </c>
      <c r="C477" s="3">
        <v>3.3759450000000002</v>
      </c>
      <c r="D477" s="8">
        <f t="shared" si="84"/>
        <v>-6.3354999999999606E-2</v>
      </c>
      <c r="E477" s="8">
        <f t="shared" si="75"/>
        <v>-6.333999999999973E-2</v>
      </c>
      <c r="F477" s="3">
        <v>17.2</v>
      </c>
      <c r="G477">
        <v>480</v>
      </c>
      <c r="H477">
        <f t="shared" si="76"/>
        <v>-1.0894479999999953</v>
      </c>
      <c r="I477">
        <f t="shared" si="80"/>
        <v>-1.0894479999999953</v>
      </c>
      <c r="J477">
        <f t="shared" si="81"/>
        <v>-2.2696833333333233</v>
      </c>
      <c r="K477">
        <f t="shared" si="82"/>
        <v>-4.5000000000006146E-4</v>
      </c>
      <c r="L477">
        <f t="shared" si="83"/>
        <v>-1.9499999999972317E-4</v>
      </c>
      <c r="M477">
        <f t="shared" si="77"/>
        <v>-3.2249999999989232E-4</v>
      </c>
      <c r="N477">
        <f t="shared" si="78"/>
        <v>-1.4044096778775736E-3</v>
      </c>
      <c r="O477" s="3">
        <f t="shared" si="79"/>
        <v>-14.044096778775737</v>
      </c>
      <c r="P477">
        <v>950</v>
      </c>
    </row>
    <row r="478" spans="1:16" x14ac:dyDescent="0.25">
      <c r="A478">
        <v>476</v>
      </c>
      <c r="B478">
        <v>3.4390000000000001</v>
      </c>
      <c r="C478" s="3">
        <v>3.3756750000000002</v>
      </c>
      <c r="D478" s="8">
        <f t="shared" si="84"/>
        <v>-6.3324999999999854E-2</v>
      </c>
      <c r="E478" s="8">
        <f t="shared" si="75"/>
        <v>-6.3099999999999712E-2</v>
      </c>
      <c r="F478" s="3">
        <v>17.18</v>
      </c>
      <c r="G478" s="9">
        <v>596.08000000000004</v>
      </c>
      <c r="H478">
        <f t="shared" si="76"/>
        <v>-1.0840579999999951</v>
      </c>
      <c r="I478">
        <f t="shared" si="80"/>
        <v>-1.0840579999999951</v>
      </c>
      <c r="J478">
        <f t="shared" si="81"/>
        <v>-1.818645148302233</v>
      </c>
      <c r="K478">
        <f t="shared" si="82"/>
        <v>-4.4999999999983942E-4</v>
      </c>
      <c r="L478">
        <f t="shared" si="83"/>
        <v>-2.0999999999982144E-4</v>
      </c>
      <c r="M478">
        <f t="shared" si="77"/>
        <v>-3.2999999999983043E-4</v>
      </c>
      <c r="N478">
        <f t="shared" si="78"/>
        <v>-1.0997457503091061E-3</v>
      </c>
      <c r="O478" s="3">
        <f t="shared" si="79"/>
        <v>-10.997457503091061</v>
      </c>
      <c r="P478">
        <v>952</v>
      </c>
    </row>
    <row r="479" spans="1:16" x14ac:dyDescent="0.25">
      <c r="A479">
        <v>477</v>
      </c>
      <c r="B479">
        <v>3.4384000000000001</v>
      </c>
      <c r="C479" s="3">
        <v>3.3755250000000006</v>
      </c>
      <c r="D479" s="8">
        <f t="shared" si="84"/>
        <v>-6.287499999999957E-2</v>
      </c>
      <c r="E479" s="8">
        <f t="shared" si="75"/>
        <v>-6.3009999999999788E-2</v>
      </c>
      <c r="F479" s="3">
        <v>17.160000000000004</v>
      </c>
      <c r="G479" s="9">
        <v>712.16000000000008</v>
      </c>
      <c r="H479">
        <f t="shared" si="76"/>
        <v>-1.0812515999999965</v>
      </c>
      <c r="I479">
        <f t="shared" si="80"/>
        <v>-1.0812515999999965</v>
      </c>
      <c r="J479">
        <f t="shared" si="81"/>
        <v>-1.5182706133453108</v>
      </c>
      <c r="K479">
        <f t="shared" si="82"/>
        <v>-2.9999999999996696E-4</v>
      </c>
      <c r="L479">
        <f t="shared" si="83"/>
        <v>-2.1000000000004349E-4</v>
      </c>
      <c r="M479">
        <f t="shared" si="77"/>
        <v>-2.5500000000000522E-4</v>
      </c>
      <c r="N479">
        <f t="shared" si="78"/>
        <v>-1.188139049584053E-3</v>
      </c>
      <c r="O479" s="3">
        <f t="shared" si="79"/>
        <v>-11.881390495840529</v>
      </c>
      <c r="P479">
        <v>954</v>
      </c>
    </row>
    <row r="480" spans="1:16" x14ac:dyDescent="0.25">
      <c r="A480">
        <v>478</v>
      </c>
      <c r="B480">
        <v>3.4384000000000001</v>
      </c>
      <c r="C480" s="3">
        <v>3.3752550000000001</v>
      </c>
      <c r="D480" s="8">
        <f t="shared" si="84"/>
        <v>-6.3145000000000007E-2</v>
      </c>
      <c r="E480" s="8">
        <f t="shared" si="75"/>
        <v>-6.3217500000000149E-2</v>
      </c>
      <c r="F480" s="3">
        <v>17.140000000000004</v>
      </c>
      <c r="G480" s="9">
        <v>828.24000000000012</v>
      </c>
      <c r="H480">
        <f t="shared" si="76"/>
        <v>-1.0835479500000027</v>
      </c>
      <c r="I480">
        <f t="shared" si="80"/>
        <v>-1.0835479500000027</v>
      </c>
      <c r="J480">
        <f t="shared" si="81"/>
        <v>-1.3082535859171285</v>
      </c>
      <c r="K480">
        <f t="shared" si="82"/>
        <v>-5.0000000000105516E-5</v>
      </c>
      <c r="L480">
        <f t="shared" si="83"/>
        <v>-2.5750000000046569E-4</v>
      </c>
      <c r="M480">
        <f t="shared" si="77"/>
        <v>-1.537500000002856E-4</v>
      </c>
      <c r="N480">
        <f t="shared" si="78"/>
        <v>-1.6979897853714326E-3</v>
      </c>
      <c r="O480" s="3">
        <f t="shared" si="79"/>
        <v>-16.979897853714327</v>
      </c>
      <c r="P480">
        <v>956</v>
      </c>
    </row>
    <row r="481" spans="1:16" x14ac:dyDescent="0.25">
      <c r="A481">
        <v>479</v>
      </c>
      <c r="B481">
        <v>3.4382999999999999</v>
      </c>
      <c r="C481" s="3">
        <v>3.3750099999999996</v>
      </c>
      <c r="D481" s="8">
        <f t="shared" si="84"/>
        <v>-6.329000000000029E-2</v>
      </c>
      <c r="E481" s="8">
        <f t="shared" si="75"/>
        <v>-6.3200000000000589E-2</v>
      </c>
      <c r="F481" s="3">
        <v>17.120000000000005</v>
      </c>
      <c r="G481" s="9">
        <v>944.32000000000016</v>
      </c>
      <c r="H481">
        <f t="shared" si="76"/>
        <v>-1.0819840000000103</v>
      </c>
      <c r="I481">
        <f t="shared" si="80"/>
        <v>-1.0819840000000103</v>
      </c>
      <c r="J481">
        <f t="shared" si="81"/>
        <v>-1.1457810911555513</v>
      </c>
      <c r="K481">
        <f t="shared" si="82"/>
        <v>-1.9999999999997797E-4</v>
      </c>
      <c r="L481">
        <f t="shared" si="83"/>
        <v>-1.8250000000041844E-4</v>
      </c>
      <c r="M481">
        <f t="shared" si="77"/>
        <v>-1.9125000000019821E-4</v>
      </c>
      <c r="N481">
        <f t="shared" si="78"/>
        <v>-1.1955244734454834E-3</v>
      </c>
      <c r="O481" s="3">
        <f t="shared" si="79"/>
        <v>-11.955244734454835</v>
      </c>
      <c r="P481">
        <v>958</v>
      </c>
    </row>
    <row r="482" spans="1:16" x14ac:dyDescent="0.25">
      <c r="A482">
        <v>480</v>
      </c>
      <c r="B482">
        <v>3.4380000000000002</v>
      </c>
      <c r="C482" s="3">
        <v>3.3748899999999993</v>
      </c>
      <c r="D482" s="8">
        <f t="shared" si="84"/>
        <v>-6.3110000000000888E-2</v>
      </c>
      <c r="E482" s="8">
        <f t="shared" si="75"/>
        <v>-6.2652500000000666E-2</v>
      </c>
      <c r="F482" s="3">
        <v>17.100000000000005</v>
      </c>
      <c r="G482" s="9">
        <v>1060.4000000000001</v>
      </c>
      <c r="H482">
        <f t="shared" si="76"/>
        <v>-1.0713577500000118</v>
      </c>
      <c r="I482">
        <f t="shared" si="80"/>
        <v>-1.0713577500000118</v>
      </c>
      <c r="J482">
        <f t="shared" si="81"/>
        <v>-1.0103336005281136</v>
      </c>
      <c r="K482">
        <f t="shared" si="82"/>
        <v>-6.9999999999992291E-4</v>
      </c>
      <c r="L482">
        <f t="shared" si="83"/>
        <v>-1.5249999999999986E-4</v>
      </c>
      <c r="M482">
        <f t="shared" si="77"/>
        <v>-4.2624999999996138E-4</v>
      </c>
      <c r="N482">
        <f t="shared" si="78"/>
        <v>-4.7299730739364587E-4</v>
      </c>
      <c r="O482" s="3">
        <f t="shared" si="79"/>
        <v>-4.7299730739364589</v>
      </c>
      <c r="P482">
        <v>960</v>
      </c>
    </row>
    <row r="483" spans="1:16" x14ac:dyDescent="0.25">
      <c r="A483">
        <v>481</v>
      </c>
      <c r="B483">
        <v>3.4369000000000001</v>
      </c>
      <c r="C483" s="3">
        <v>3.3747049999999996</v>
      </c>
      <c r="D483" s="8">
        <f t="shared" si="84"/>
        <v>-6.2195000000000444E-2</v>
      </c>
      <c r="E483" s="8">
        <f t="shared" si="75"/>
        <v>-6.2410000000000521E-2</v>
      </c>
      <c r="F483" s="3">
        <v>17.080000000000005</v>
      </c>
      <c r="G483" s="9">
        <v>1176.48</v>
      </c>
      <c r="H483">
        <f t="shared" si="76"/>
        <v>-1.0659628000000092</v>
      </c>
      <c r="I483">
        <f t="shared" si="80"/>
        <v>-1.0659628000000092</v>
      </c>
      <c r="J483">
        <f t="shared" si="81"/>
        <v>-0.9060611315109558</v>
      </c>
      <c r="K483">
        <f t="shared" si="82"/>
        <v>-4.5000000000006146E-4</v>
      </c>
      <c r="L483">
        <f t="shared" si="83"/>
        <v>-2.0749999999991608E-4</v>
      </c>
      <c r="M483">
        <f t="shared" si="77"/>
        <v>-3.2874999999998877E-4</v>
      </c>
      <c r="N483">
        <f t="shared" si="78"/>
        <v>-5.4998393348616921E-4</v>
      </c>
      <c r="O483" s="3">
        <f t="shared" si="79"/>
        <v>-5.4998393348616919</v>
      </c>
      <c r="P483">
        <v>962</v>
      </c>
    </row>
    <row r="484" spans="1:16" x14ac:dyDescent="0.25">
      <c r="A484">
        <v>482</v>
      </c>
      <c r="B484">
        <v>3.4371</v>
      </c>
      <c r="C484" s="3">
        <v>3.3744749999999994</v>
      </c>
      <c r="D484" s="8">
        <f t="shared" si="84"/>
        <v>-6.2625000000000597E-2</v>
      </c>
      <c r="E484" s="8">
        <f t="shared" si="75"/>
        <v>-6.2555000000000582E-2</v>
      </c>
      <c r="F484" s="3">
        <v>17.060000000000006</v>
      </c>
      <c r="G484" s="9">
        <v>1292.56</v>
      </c>
      <c r="H484">
        <f t="shared" si="76"/>
        <v>-1.0671883000000102</v>
      </c>
      <c r="I484">
        <f t="shared" si="80"/>
        <v>-1.0671883000000102</v>
      </c>
      <c r="J484">
        <f t="shared" si="81"/>
        <v>-0.82563927399889381</v>
      </c>
      <c r="K484">
        <f t="shared" si="82"/>
        <v>-5.0000000000105516E-5</v>
      </c>
      <c r="L484">
        <f t="shared" si="83"/>
        <v>-1.9500000000016726E-4</v>
      </c>
      <c r="M484">
        <f t="shared" si="77"/>
        <v>-1.2250000000013639E-4</v>
      </c>
      <c r="N484">
        <f t="shared" si="78"/>
        <v>-1.3449697559067275E-3</v>
      </c>
      <c r="O484" s="3">
        <f t="shared" si="79"/>
        <v>-13.449697559067275</v>
      </c>
      <c r="P484">
        <v>964</v>
      </c>
    </row>
    <row r="485" spans="1:16" x14ac:dyDescent="0.25">
      <c r="A485">
        <v>483</v>
      </c>
      <c r="B485">
        <v>3.4367999999999999</v>
      </c>
      <c r="C485" s="3">
        <v>3.3743149999999993</v>
      </c>
      <c r="D485" s="8">
        <f t="shared" si="84"/>
        <v>-6.2485000000000568E-2</v>
      </c>
      <c r="E485" s="8">
        <f t="shared" si="75"/>
        <v>-6.2345000000000539E-2</v>
      </c>
      <c r="F485" s="3">
        <v>17.040000000000003</v>
      </c>
      <c r="G485" s="9">
        <v>1408.6399999999999</v>
      </c>
      <c r="H485">
        <f t="shared" si="76"/>
        <v>-1.0623588000000093</v>
      </c>
      <c r="I485">
        <f t="shared" si="80"/>
        <v>-1.0623588000000093</v>
      </c>
      <c r="J485">
        <f t="shared" si="81"/>
        <v>-0.75417338709678083</v>
      </c>
      <c r="K485">
        <f t="shared" si="82"/>
        <v>-3.5000000000007248E-4</v>
      </c>
      <c r="L485">
        <f t="shared" si="83"/>
        <v>-1.4000000000002899E-4</v>
      </c>
      <c r="M485">
        <f t="shared" si="77"/>
        <v>-2.4500000000005073E-4</v>
      </c>
      <c r="N485">
        <f t="shared" si="78"/>
        <v>-6.1427576685092712E-4</v>
      </c>
      <c r="O485" s="3">
        <f t="shared" si="79"/>
        <v>-6.1427576685092715</v>
      </c>
      <c r="P485">
        <v>966</v>
      </c>
    </row>
    <row r="486" spans="1:16" x14ac:dyDescent="0.25">
      <c r="A486">
        <v>484</v>
      </c>
      <c r="B486">
        <v>3.4363999999999999</v>
      </c>
      <c r="C486" s="3">
        <v>3.3741949999999994</v>
      </c>
      <c r="D486" s="8">
        <f t="shared" si="84"/>
        <v>-6.220500000000051E-2</v>
      </c>
      <c r="E486" s="8">
        <f t="shared" si="75"/>
        <v>-6.2115000000000364E-2</v>
      </c>
      <c r="F486" s="3">
        <v>17.020000000000003</v>
      </c>
      <c r="G486" s="9">
        <v>1524.7199999999998</v>
      </c>
      <c r="H486">
        <f t="shared" si="76"/>
        <v>-1.0571973000000063</v>
      </c>
      <c r="I486">
        <f t="shared" si="80"/>
        <v>-1.0571973000000063</v>
      </c>
      <c r="J486">
        <f t="shared" si="81"/>
        <v>-0.69337143869038675</v>
      </c>
      <c r="K486">
        <f t="shared" si="82"/>
        <v>-3.4999999999985043E-4</v>
      </c>
      <c r="L486">
        <f t="shared" si="83"/>
        <v>-1.1999999999967592E-4</v>
      </c>
      <c r="M486">
        <f t="shared" si="77"/>
        <v>-2.3499999999976318E-4</v>
      </c>
      <c r="N486">
        <f t="shared" si="78"/>
        <v>-5.8878447485384696E-4</v>
      </c>
      <c r="O486" s="3">
        <f t="shared" si="79"/>
        <v>-5.8878447485384697</v>
      </c>
      <c r="P486">
        <v>968</v>
      </c>
    </row>
    <row r="487" spans="1:16" x14ac:dyDescent="0.25">
      <c r="A487">
        <v>485</v>
      </c>
      <c r="B487">
        <v>3.4361000000000002</v>
      </c>
      <c r="C487" s="3">
        <v>3.3740749999999999</v>
      </c>
      <c r="D487" s="8">
        <f t="shared" si="84"/>
        <v>-6.2025000000000219E-2</v>
      </c>
      <c r="E487" s="8">
        <f t="shared" si="75"/>
        <v>-6.1952500000000299E-2</v>
      </c>
      <c r="F487" s="3">
        <v>17.000000000000007</v>
      </c>
      <c r="G487" s="9">
        <v>1640.7999999999997</v>
      </c>
      <c r="H487">
        <f t="shared" si="76"/>
        <v>-1.0531925000000055</v>
      </c>
      <c r="I487">
        <f t="shared" si="80"/>
        <v>-1.0531925000000055</v>
      </c>
      <c r="J487">
        <f t="shared" si="81"/>
        <v>-0.64187743783520579</v>
      </c>
      <c r="K487">
        <f t="shared" si="82"/>
        <v>-2.9999999999996696E-4</v>
      </c>
      <c r="L487">
        <f t="shared" si="83"/>
        <v>-1.3749999999990159E-4</v>
      </c>
      <c r="M487">
        <f t="shared" si="77"/>
        <v>-2.1874999999993427E-4</v>
      </c>
      <c r="N487">
        <f t="shared" si="78"/>
        <v>-5.8554774478689899E-4</v>
      </c>
      <c r="O487" s="3">
        <f t="shared" si="79"/>
        <v>-5.8554774478689895</v>
      </c>
      <c r="P487">
        <v>970</v>
      </c>
    </row>
    <row r="488" spans="1:16" x14ac:dyDescent="0.25">
      <c r="A488">
        <v>486</v>
      </c>
      <c r="B488">
        <v>3.4358</v>
      </c>
      <c r="C488" s="3">
        <v>3.3739199999999996</v>
      </c>
      <c r="D488" s="8">
        <f t="shared" si="84"/>
        <v>-6.1880000000000379E-2</v>
      </c>
      <c r="E488" s="8">
        <f t="shared" si="75"/>
        <v>-6.2072500000000419E-2</v>
      </c>
      <c r="F488" s="3">
        <v>16.980000000000004</v>
      </c>
      <c r="G488" s="9">
        <v>1756.8799999999997</v>
      </c>
      <c r="H488">
        <f t="shared" si="76"/>
        <v>-1.0539910500000074</v>
      </c>
      <c r="I488">
        <f t="shared" si="80"/>
        <v>-1.0539910500000074</v>
      </c>
      <c r="J488">
        <f t="shared" si="81"/>
        <v>-0.5999220493146985</v>
      </c>
      <c r="K488">
        <f t="shared" si="82"/>
        <v>0</v>
      </c>
      <c r="L488">
        <f t="shared" si="83"/>
        <v>-1.2000000000012001E-4</v>
      </c>
      <c r="M488">
        <f t="shared" si="77"/>
        <v>-6.0000000000060005E-5</v>
      </c>
      <c r="N488">
        <f t="shared" si="78"/>
        <v>-1.9952707578826711E-3</v>
      </c>
      <c r="O488" s="3">
        <f t="shared" si="79"/>
        <v>-19.952707578826711</v>
      </c>
      <c r="P488">
        <v>972</v>
      </c>
    </row>
    <row r="489" spans="1:16" x14ac:dyDescent="0.25">
      <c r="A489">
        <v>487</v>
      </c>
      <c r="B489">
        <v>3.4361000000000002</v>
      </c>
      <c r="C489" s="3">
        <v>3.3738349999999997</v>
      </c>
      <c r="D489" s="8">
        <f t="shared" si="84"/>
        <v>-6.2265000000000459E-2</v>
      </c>
      <c r="E489" s="8">
        <f t="shared" si="75"/>
        <v>-6.2512500000000415E-2</v>
      </c>
      <c r="F489" s="3">
        <v>16.96</v>
      </c>
      <c r="G489" s="9">
        <v>1872.9599999999996</v>
      </c>
      <c r="H489">
        <f t="shared" si="76"/>
        <v>-1.060212000000007</v>
      </c>
      <c r="I489">
        <f t="shared" si="80"/>
        <v>-1.060212000000007</v>
      </c>
      <c r="J489">
        <f t="shared" si="81"/>
        <v>-0.56606227575602641</v>
      </c>
      <c r="K489">
        <f t="shared" si="82"/>
        <v>2.5000000000008349E-4</v>
      </c>
      <c r="L489">
        <f t="shared" si="83"/>
        <v>-1.8999999999991246E-4</v>
      </c>
      <c r="M489">
        <f t="shared" si="77"/>
        <v>3.0000000000085514E-5</v>
      </c>
      <c r="N489">
        <f t="shared" si="78"/>
        <v>3.7653142012186894E-3</v>
      </c>
      <c r="O489" s="3">
        <f t="shared" si="79"/>
        <v>37.65314201218689</v>
      </c>
      <c r="P489">
        <v>974</v>
      </c>
    </row>
    <row r="490" spans="1:16" x14ac:dyDescent="0.25">
      <c r="A490">
        <v>488</v>
      </c>
      <c r="B490">
        <v>3.4363000000000001</v>
      </c>
      <c r="C490" s="3">
        <v>3.3735399999999998</v>
      </c>
      <c r="D490" s="8">
        <f t="shared" si="84"/>
        <v>-6.2760000000000371E-2</v>
      </c>
      <c r="E490" s="8">
        <f t="shared" si="75"/>
        <v>-6.3047500000000367E-2</v>
      </c>
      <c r="F490" s="3">
        <v>16.940000000000005</v>
      </c>
      <c r="G490" s="9">
        <v>1989.0399999999995</v>
      </c>
      <c r="H490">
        <f t="shared" si="76"/>
        <v>-1.0680246500000066</v>
      </c>
      <c r="I490">
        <f t="shared" si="80"/>
        <v>-1.0680246500000066</v>
      </c>
      <c r="J490">
        <f t="shared" si="81"/>
        <v>-0.53695483750955586</v>
      </c>
      <c r="K490">
        <f t="shared" si="82"/>
        <v>9.9999999999988987E-5</v>
      </c>
      <c r="L490">
        <f t="shared" si="83"/>
        <v>-4.3499999999996319E-4</v>
      </c>
      <c r="M490">
        <f t="shared" si="77"/>
        <v>-1.674999999999871E-4</v>
      </c>
      <c r="N490">
        <f t="shared" si="78"/>
        <v>-6.3970716044966396E-4</v>
      </c>
      <c r="O490" s="3">
        <f t="shared" si="79"/>
        <v>-6.3970716044966398</v>
      </c>
      <c r="P490">
        <v>976</v>
      </c>
    </row>
    <row r="491" spans="1:16" x14ac:dyDescent="0.25">
      <c r="A491">
        <v>489</v>
      </c>
      <c r="B491">
        <v>3.4363000000000001</v>
      </c>
      <c r="C491" s="3">
        <v>3.3729649999999998</v>
      </c>
      <c r="D491" s="8">
        <f t="shared" si="84"/>
        <v>-6.3335000000000363E-2</v>
      </c>
      <c r="E491" s="8">
        <f t="shared" si="75"/>
        <v>-6.3095000000000345E-2</v>
      </c>
      <c r="F491" s="3">
        <v>16.920000000000005</v>
      </c>
      <c r="G491" s="9">
        <v>2105.1199999999994</v>
      </c>
      <c r="H491">
        <f t="shared" si="76"/>
        <v>-1.0675674000000062</v>
      </c>
      <c r="I491">
        <f t="shared" si="80"/>
        <v>-1.0675674000000062</v>
      </c>
      <c r="J491">
        <f t="shared" si="81"/>
        <v>-0.50712899977198755</v>
      </c>
      <c r="K491">
        <f t="shared" si="82"/>
        <v>-3.5000000000007248E-4</v>
      </c>
      <c r="L491">
        <f t="shared" si="83"/>
        <v>-3.9750000000005059E-4</v>
      </c>
      <c r="M491">
        <f t="shared" si="77"/>
        <v>-3.7375000000006153E-4</v>
      </c>
      <c r="N491">
        <f t="shared" si="78"/>
        <v>-2.7076686003787851E-4</v>
      </c>
      <c r="O491" s="3">
        <f t="shared" si="79"/>
        <v>-2.7076686003787849</v>
      </c>
      <c r="P491">
        <v>978</v>
      </c>
    </row>
    <row r="492" spans="1:16" x14ac:dyDescent="0.25">
      <c r="A492">
        <v>490</v>
      </c>
      <c r="B492">
        <v>3.4356</v>
      </c>
      <c r="C492" s="3">
        <v>3.3727449999999997</v>
      </c>
      <c r="D492" s="8">
        <f t="shared" si="84"/>
        <v>-6.2855000000000327E-2</v>
      </c>
      <c r="E492" s="8">
        <f t="shared" si="75"/>
        <v>-6.2677500000000164E-2</v>
      </c>
      <c r="F492" s="3">
        <v>16.900000000000002</v>
      </c>
      <c r="G492" s="9">
        <v>2221.1999999999994</v>
      </c>
      <c r="H492">
        <f t="shared" si="76"/>
        <v>-1.0592497500000029</v>
      </c>
      <c r="I492">
        <f t="shared" si="80"/>
        <v>-1.0592497500000029</v>
      </c>
      <c r="J492">
        <f t="shared" si="81"/>
        <v>-0.47688175310643038</v>
      </c>
      <c r="K492">
        <f t="shared" si="82"/>
        <v>-7.0000000000014495E-4</v>
      </c>
      <c r="L492">
        <f t="shared" si="83"/>
        <v>-2.8249999999996334E-4</v>
      </c>
      <c r="M492">
        <f t="shared" si="77"/>
        <v>-4.9125000000005414E-4</v>
      </c>
      <c r="N492">
        <f t="shared" si="78"/>
        <v>-1.937164073011326E-4</v>
      </c>
      <c r="O492" s="3">
        <f t="shared" si="79"/>
        <v>-1.937164073011326</v>
      </c>
      <c r="P492">
        <v>980</v>
      </c>
    </row>
    <row r="493" spans="1:16" x14ac:dyDescent="0.25">
      <c r="A493">
        <v>491</v>
      </c>
      <c r="B493">
        <v>3.4348999999999998</v>
      </c>
      <c r="C493" s="3">
        <v>3.3723999999999998</v>
      </c>
      <c r="D493" s="8">
        <f t="shared" si="84"/>
        <v>-6.25E-2</v>
      </c>
      <c r="E493" s="8">
        <f t="shared" si="75"/>
        <v>-6.2522499999999814E-2</v>
      </c>
      <c r="F493" s="3">
        <v>16.880000000000003</v>
      </c>
      <c r="G493" s="9">
        <v>2337.2799999999993</v>
      </c>
      <c r="H493">
        <f t="shared" si="76"/>
        <v>-1.055379799999997</v>
      </c>
      <c r="I493">
        <f t="shared" si="80"/>
        <v>-1.055379799999997</v>
      </c>
      <c r="J493">
        <f t="shared" si="81"/>
        <v>-0.45154187773822446</v>
      </c>
      <c r="K493">
        <f t="shared" si="82"/>
        <v>-4.5000000000006146E-4</v>
      </c>
      <c r="L493">
        <f t="shared" si="83"/>
        <v>-2.9499999999971216E-4</v>
      </c>
      <c r="M493">
        <f t="shared" si="77"/>
        <v>-3.7249999999988681E-4</v>
      </c>
      <c r="N493">
        <f t="shared" si="78"/>
        <v>-2.4189674336914127E-4</v>
      </c>
      <c r="O493" s="3">
        <f t="shared" si="79"/>
        <v>-2.4189674336914129</v>
      </c>
      <c r="P493">
        <v>982</v>
      </c>
    </row>
    <row r="494" spans="1:16" x14ac:dyDescent="0.25">
      <c r="A494">
        <v>492</v>
      </c>
      <c r="B494">
        <v>3.4346999999999999</v>
      </c>
      <c r="C494" s="3">
        <v>3.3721550000000002</v>
      </c>
      <c r="D494" s="8">
        <f t="shared" si="84"/>
        <v>-6.2544999999999629E-2</v>
      </c>
      <c r="E494" s="8">
        <f t="shared" si="75"/>
        <v>-6.245999999999996E-2</v>
      </c>
      <c r="F494" s="3">
        <v>16.860000000000003</v>
      </c>
      <c r="G494" s="9">
        <v>2453.3599999999992</v>
      </c>
      <c r="H494">
        <f t="shared" si="76"/>
        <v>-1.0530755999999994</v>
      </c>
      <c r="I494">
        <f t="shared" si="80"/>
        <v>-1.0530755999999994</v>
      </c>
      <c r="J494">
        <f t="shared" si="81"/>
        <v>-0.42923810610754221</v>
      </c>
      <c r="K494">
        <f t="shared" si="82"/>
        <v>-2.4999999999986144E-4</v>
      </c>
      <c r="L494">
        <f t="shared" si="83"/>
        <v>-1.8750000000000711E-4</v>
      </c>
      <c r="M494">
        <f t="shared" si="77"/>
        <v>-2.1874999999993427E-4</v>
      </c>
      <c r="N494">
        <f t="shared" si="78"/>
        <v>-3.9156915353737566E-4</v>
      </c>
      <c r="O494" s="3">
        <f t="shared" si="79"/>
        <v>-3.9156915353737567</v>
      </c>
      <c r="P494">
        <v>984</v>
      </c>
    </row>
    <row r="495" spans="1:16" x14ac:dyDescent="0.25">
      <c r="A495">
        <v>493</v>
      </c>
      <c r="B495">
        <v>3.4344000000000001</v>
      </c>
      <c r="C495" s="3">
        <v>3.3720249999999998</v>
      </c>
      <c r="D495" s="8">
        <f t="shared" si="84"/>
        <v>-6.2375000000000291E-2</v>
      </c>
      <c r="E495" s="8">
        <f t="shared" si="75"/>
        <v>-6.2079605263158033E-2</v>
      </c>
      <c r="F495" s="3">
        <v>16.840000000000003</v>
      </c>
      <c r="G495" s="9">
        <v>2569.4399999999991</v>
      </c>
      <c r="H495">
        <f t="shared" si="76"/>
        <v>-1.0454205526315814</v>
      </c>
      <c r="I495">
        <f t="shared" si="80"/>
        <v>-1.0454205526315814</v>
      </c>
      <c r="J495">
        <f t="shared" si="81"/>
        <v>-0.40686708101048547</v>
      </c>
      <c r="K495">
        <f t="shared" si="82"/>
        <v>-1.9999999999997797E-4</v>
      </c>
      <c r="L495">
        <f t="shared" si="83"/>
        <v>1.8039473684194895E-4</v>
      </c>
      <c r="M495">
        <f t="shared" si="77"/>
        <v>-9.8026315790145091E-6</v>
      </c>
      <c r="N495">
        <f t="shared" si="78"/>
        <v>-8.2826276272920749E-3</v>
      </c>
      <c r="O495" s="3">
        <f t="shared" si="79"/>
        <v>-82.826276272920751</v>
      </c>
      <c r="P495">
        <v>986</v>
      </c>
    </row>
    <row r="496" spans="1:16" x14ac:dyDescent="0.25">
      <c r="A496">
        <v>494</v>
      </c>
      <c r="B496">
        <v>3.4342999999999999</v>
      </c>
      <c r="C496" s="3">
        <v>3.3725157894736841</v>
      </c>
      <c r="D496" s="8">
        <f t="shared" si="84"/>
        <v>-6.1784210526315775E-2</v>
      </c>
      <c r="E496" s="8">
        <f t="shared" si="75"/>
        <v>-6.1039473684210588E-2</v>
      </c>
      <c r="F496" s="3">
        <v>16.82</v>
      </c>
      <c r="G496" s="9">
        <v>2685.5199999999991</v>
      </c>
      <c r="H496">
        <f t="shared" si="76"/>
        <v>-1.0266839473684222</v>
      </c>
      <c r="I496">
        <f t="shared" si="80"/>
        <v>-1.0266839473684222</v>
      </c>
      <c r="J496">
        <f t="shared" si="81"/>
        <v>-0.38230359385460638</v>
      </c>
      <c r="K496">
        <f t="shared" si="82"/>
        <v>-8.5000000000001741E-4</v>
      </c>
      <c r="L496">
        <f t="shared" si="83"/>
        <v>1.9013157894742783E-4</v>
      </c>
      <c r="M496">
        <f t="shared" si="77"/>
        <v>-3.2993421052629479E-4</v>
      </c>
      <c r="N496">
        <f t="shared" si="78"/>
        <v>-2.3122739964136912E-4</v>
      </c>
      <c r="O496" s="3">
        <f t="shared" si="79"/>
        <v>-2.3122739964136914</v>
      </c>
      <c r="P496">
        <v>988</v>
      </c>
    </row>
    <row r="497" spans="1:16" x14ac:dyDescent="0.25">
      <c r="A497">
        <v>495</v>
      </c>
      <c r="B497">
        <v>3.4327000000000001</v>
      </c>
      <c r="C497" s="3">
        <v>3.3724052631578947</v>
      </c>
      <c r="D497" s="8">
        <f t="shared" si="84"/>
        <v>-6.0294736842105401E-2</v>
      </c>
      <c r="E497" s="8">
        <f t="shared" si="75"/>
        <v>-5.9831578947368458E-2</v>
      </c>
      <c r="F497" s="3">
        <v>16.8</v>
      </c>
      <c r="G497" s="9">
        <v>2801.5999999999995</v>
      </c>
      <c r="H497">
        <f t="shared" si="76"/>
        <v>-1.0051705263157902</v>
      </c>
      <c r="I497">
        <f t="shared" si="80"/>
        <v>-1.0051705263157902</v>
      </c>
      <c r="J497">
        <f t="shared" si="81"/>
        <v>-0.35878445399621306</v>
      </c>
      <c r="K497">
        <f t="shared" si="82"/>
        <v>-1.3499999999999623E-3</v>
      </c>
      <c r="L497">
        <f t="shared" si="83"/>
        <v>-1.4210526315783234E-4</v>
      </c>
      <c r="M497">
        <f t="shared" si="77"/>
        <v>-7.4605263157889734E-4</v>
      </c>
      <c r="N497">
        <f t="shared" si="78"/>
        <v>-9.5967109525505972E-5</v>
      </c>
      <c r="O497" s="3">
        <f t="shared" si="79"/>
        <v>-0.95967109525505967</v>
      </c>
      <c r="P497">
        <v>990</v>
      </c>
    </row>
    <row r="498" spans="1:16" x14ac:dyDescent="0.25">
      <c r="A498">
        <v>496</v>
      </c>
      <c r="B498">
        <v>3.4316</v>
      </c>
      <c r="C498" s="3">
        <v>3.3722315789473685</v>
      </c>
      <c r="D498" s="8">
        <f t="shared" si="84"/>
        <v>-5.9368421052631515E-2</v>
      </c>
      <c r="E498" s="8">
        <f t="shared" si="75"/>
        <v>-5.9221052631578841E-2</v>
      </c>
      <c r="F498" s="3">
        <v>16.78</v>
      </c>
      <c r="G498" s="9">
        <v>2917.6799999999994</v>
      </c>
      <c r="H498">
        <f t="shared" si="76"/>
        <v>-0.99372926315789301</v>
      </c>
      <c r="I498">
        <f t="shared" si="80"/>
        <v>-0.99372926315789301</v>
      </c>
      <c r="J498">
        <f t="shared" si="81"/>
        <v>-0.34058884564376263</v>
      </c>
      <c r="K498">
        <f t="shared" si="82"/>
        <v>-8.0000000000013394E-4</v>
      </c>
      <c r="L498">
        <f t="shared" si="83"/>
        <v>-1.8947368421051713E-4</v>
      </c>
      <c r="M498">
        <f t="shared" si="77"/>
        <v>-4.9473684210532554E-4</v>
      </c>
      <c r="N498">
        <f t="shared" si="78"/>
        <v>-1.3737712772815859E-4</v>
      </c>
      <c r="O498" s="3">
        <f t="shared" si="79"/>
        <v>-1.3737712772815858</v>
      </c>
      <c r="P498">
        <v>992</v>
      </c>
    </row>
    <row r="499" spans="1:16" x14ac:dyDescent="0.25">
      <c r="A499">
        <v>497</v>
      </c>
      <c r="B499">
        <v>3.4310999999999998</v>
      </c>
      <c r="C499" s="3">
        <v>3.3720263157894736</v>
      </c>
      <c r="D499" s="8">
        <f t="shared" si="84"/>
        <v>-5.9073684210526167E-2</v>
      </c>
      <c r="E499" s="8">
        <f t="shared" si="75"/>
        <v>-5.8871052631578547E-2</v>
      </c>
      <c r="F499" s="3">
        <v>16.760000000000002</v>
      </c>
      <c r="G499" s="9">
        <v>3033.7599999999993</v>
      </c>
      <c r="H499">
        <f t="shared" si="76"/>
        <v>-0.98667884210525658</v>
      </c>
      <c r="I499">
        <f t="shared" si="80"/>
        <v>-0.98667884210525658</v>
      </c>
      <c r="J499">
        <f t="shared" si="81"/>
        <v>-0.32523299209735007</v>
      </c>
      <c r="K499">
        <f t="shared" si="82"/>
        <v>-4.9999999999994493E-4</v>
      </c>
      <c r="L499">
        <f t="shared" si="83"/>
        <v>-1.4999999999965041E-4</v>
      </c>
      <c r="M499">
        <f t="shared" si="77"/>
        <v>-3.2499999999979767E-4</v>
      </c>
      <c r="N499">
        <f t="shared" si="78"/>
        <v>-1.9969606057664835E-4</v>
      </c>
      <c r="O499" s="3">
        <f t="shared" si="79"/>
        <v>-1.9969606057664835</v>
      </c>
      <c r="P499">
        <v>994</v>
      </c>
    </row>
    <row r="500" spans="1:16" x14ac:dyDescent="0.25">
      <c r="A500">
        <v>498</v>
      </c>
      <c r="B500">
        <v>3.4306000000000001</v>
      </c>
      <c r="C500" s="3">
        <v>3.3719315789473692</v>
      </c>
      <c r="D500" s="8">
        <f t="shared" si="84"/>
        <v>-5.8668421052630926E-2</v>
      </c>
      <c r="E500" s="8">
        <f t="shared" si="75"/>
        <v>-5.8697368421051888E-2</v>
      </c>
      <c r="F500" s="3">
        <v>16.740000000000002</v>
      </c>
      <c r="G500" s="9">
        <v>3149.8399999999997</v>
      </c>
      <c r="H500">
        <f t="shared" si="76"/>
        <v>-0.98259394736840866</v>
      </c>
      <c r="I500">
        <f t="shared" si="80"/>
        <v>-0.98259394736840866</v>
      </c>
      <c r="J500">
        <f t="shared" si="81"/>
        <v>-0.31195043156744751</v>
      </c>
      <c r="K500">
        <f t="shared" si="82"/>
        <v>-2.9999999999996696E-4</v>
      </c>
      <c r="L500">
        <f t="shared" si="83"/>
        <v>-1.2631578947330802E-4</v>
      </c>
      <c r="M500">
        <f t="shared" si="77"/>
        <v>-2.1315789473663749E-4</v>
      </c>
      <c r="N500">
        <f t="shared" si="78"/>
        <v>-2.9204006234859555E-4</v>
      </c>
      <c r="O500" s="3">
        <f t="shared" si="79"/>
        <v>-2.9204006234859556</v>
      </c>
      <c r="P500">
        <v>996</v>
      </c>
    </row>
    <row r="501" spans="1:16" x14ac:dyDescent="0.25">
      <c r="A501">
        <v>499</v>
      </c>
      <c r="B501">
        <v>3.4304999999999999</v>
      </c>
      <c r="C501" s="3">
        <v>3.371773684210527</v>
      </c>
      <c r="D501" s="8">
        <f t="shared" si="84"/>
        <v>-5.8726315789472849E-2</v>
      </c>
      <c r="E501" s="8">
        <f t="shared" si="75"/>
        <v>-5.8663157894736528E-2</v>
      </c>
      <c r="F501" s="3">
        <v>16.72</v>
      </c>
      <c r="G501" s="9">
        <v>3265.92</v>
      </c>
      <c r="H501">
        <f t="shared" si="76"/>
        <v>-0.98084799999999472</v>
      </c>
      <c r="I501">
        <f t="shared" si="80"/>
        <v>-0.98084799999999472</v>
      </c>
      <c r="J501">
        <f t="shared" si="81"/>
        <v>-0.30032823829119965</v>
      </c>
      <c r="K501">
        <f t="shared" si="82"/>
        <v>-1.9999999999997797E-4</v>
      </c>
      <c r="L501">
        <f t="shared" si="83"/>
        <v>-1.6578947368461883E-4</v>
      </c>
      <c r="M501">
        <f t="shared" si="77"/>
        <v>-1.828947368422984E-4</v>
      </c>
      <c r="N501">
        <f t="shared" si="78"/>
        <v>-3.2768248203315323E-4</v>
      </c>
      <c r="O501" s="3">
        <f t="shared" si="79"/>
        <v>-3.2768248203315324</v>
      </c>
      <c r="P501">
        <v>998</v>
      </c>
    </row>
    <row r="502" spans="1:16" x14ac:dyDescent="0.25">
      <c r="A502">
        <v>500</v>
      </c>
      <c r="B502">
        <v>3.4302000000000001</v>
      </c>
      <c r="C502" s="3">
        <v>3.3715999999999999</v>
      </c>
      <c r="D502" s="8">
        <f t="shared" si="84"/>
        <v>-5.8600000000000207E-2</v>
      </c>
      <c r="E502" s="8">
        <f t="shared" si="75"/>
        <v>-5.8763157894736961E-2</v>
      </c>
      <c r="F502" s="3">
        <v>16.7</v>
      </c>
      <c r="G502">
        <v>3382</v>
      </c>
      <c r="H502">
        <f t="shared" si="76"/>
        <v>-0.98134473684210721</v>
      </c>
      <c r="I502">
        <f t="shared" si="80"/>
        <v>-0.98134473684210721</v>
      </c>
      <c r="J502">
        <f t="shared" si="81"/>
        <v>-0.29016698309938121</v>
      </c>
      <c r="K502">
        <f t="shared" si="82"/>
        <v>-9.9999999999988987E-5</v>
      </c>
      <c r="L502">
        <f t="shared" si="83"/>
        <v>-2.0000000000042206E-4</v>
      </c>
      <c r="M502">
        <f t="shared" si="77"/>
        <v>-1.5000000000020552E-4</v>
      </c>
      <c r="N502">
        <f t="shared" si="78"/>
        <v>-3.8602461565956738E-4</v>
      </c>
      <c r="O502" s="3">
        <f t="shared" si="79"/>
        <v>-3.8602461565956738</v>
      </c>
      <c r="P502">
        <v>1000</v>
      </c>
    </row>
    <row r="503" spans="1:16" x14ac:dyDescent="0.25">
      <c r="A503">
        <v>501</v>
      </c>
      <c r="B503">
        <v>3.4302999999999999</v>
      </c>
      <c r="C503" s="3">
        <v>3.3713736842105262</v>
      </c>
      <c r="D503" s="8">
        <f t="shared" si="84"/>
        <v>-5.8926315789473716E-2</v>
      </c>
      <c r="E503" s="8">
        <f t="shared" si="75"/>
        <v>-5.9005263157894339E-2</v>
      </c>
      <c r="F503" s="3">
        <v>16.672000000000001</v>
      </c>
      <c r="G503" s="9">
        <v>3378.64</v>
      </c>
      <c r="H503">
        <f t="shared" si="76"/>
        <v>-0.9837357473684144</v>
      </c>
      <c r="I503">
        <f t="shared" si="80"/>
        <v>-0.9837357473684144</v>
      </c>
      <c r="J503">
        <f t="shared" si="81"/>
        <v>-0.29116323354024531</v>
      </c>
      <c r="K503">
        <f t="shared" si="82"/>
        <v>4.9999999999883471E-5</v>
      </c>
      <c r="L503">
        <f t="shared" si="83"/>
        <v>-1.9210526315749377E-4</v>
      </c>
      <c r="M503">
        <f t="shared" si="77"/>
        <v>-7.1052631578805148E-5</v>
      </c>
      <c r="N503">
        <f t="shared" si="78"/>
        <v>-8.1773884827996161E-4</v>
      </c>
      <c r="O503" s="3">
        <f t="shared" si="79"/>
        <v>-8.1773884827996159</v>
      </c>
      <c r="P503">
        <v>1002</v>
      </c>
    </row>
    <row r="504" spans="1:16" x14ac:dyDescent="0.25">
      <c r="A504">
        <v>502</v>
      </c>
      <c r="B504">
        <v>3.4302999999999999</v>
      </c>
      <c r="C504" s="3">
        <v>3.3712157894736849</v>
      </c>
      <c r="D504" s="8">
        <f t="shared" si="84"/>
        <v>-5.9084210526314962E-2</v>
      </c>
      <c r="E504" s="8">
        <f t="shared" si="75"/>
        <v>-5.9005263157894561E-2</v>
      </c>
      <c r="F504" s="3">
        <v>16.643999999999998</v>
      </c>
      <c r="G504" s="9">
        <v>3375.2799999999997</v>
      </c>
      <c r="H504">
        <f t="shared" si="76"/>
        <v>-0.98208359999999695</v>
      </c>
      <c r="I504">
        <f t="shared" si="80"/>
        <v>-0.98208359999999695</v>
      </c>
      <c r="J504">
        <f t="shared" si="81"/>
        <v>-0.29096359413144895</v>
      </c>
      <c r="K504">
        <f t="shared" si="82"/>
        <v>-1.4999999999987246E-4</v>
      </c>
      <c r="L504">
        <f t="shared" si="83"/>
        <v>-1.500000000000945E-4</v>
      </c>
      <c r="M504">
        <f t="shared" si="77"/>
        <v>-1.4999999999998348E-4</v>
      </c>
      <c r="N504">
        <f t="shared" si="78"/>
        <v>-3.8708438980880296E-4</v>
      </c>
      <c r="O504" s="3">
        <f t="shared" si="79"/>
        <v>-3.8708438980880295</v>
      </c>
      <c r="P504">
        <v>1004</v>
      </c>
    </row>
    <row r="505" spans="1:16" x14ac:dyDescent="0.25">
      <c r="A505">
        <v>503</v>
      </c>
      <c r="B505">
        <v>3.43</v>
      </c>
      <c r="C505" s="3">
        <v>3.371073684210526</v>
      </c>
      <c r="D505" s="8">
        <f t="shared" si="84"/>
        <v>-5.892631578947416E-2</v>
      </c>
      <c r="E505" s="8">
        <f t="shared" si="75"/>
        <v>-5.8957894736842098E-2</v>
      </c>
      <c r="F505" s="3">
        <v>16.616</v>
      </c>
      <c r="G505" s="9">
        <v>3371.9199999999996</v>
      </c>
      <c r="H505">
        <f t="shared" si="76"/>
        <v>-0.97964437894736833</v>
      </c>
      <c r="I505">
        <f t="shared" si="80"/>
        <v>-0.97964437894736833</v>
      </c>
      <c r="J505">
        <f t="shared" si="81"/>
        <v>-0.29053013682037782</v>
      </c>
      <c r="K505">
        <f t="shared" si="82"/>
        <v>-1.9999999999997797E-4</v>
      </c>
      <c r="L505">
        <f t="shared" si="83"/>
        <v>-1.5263157894751522E-4</v>
      </c>
      <c r="M505">
        <f t="shared" si="77"/>
        <v>-1.763157894737466E-4</v>
      </c>
      <c r="N505">
        <f t="shared" si="78"/>
        <v>-3.2882001627311395E-4</v>
      </c>
      <c r="O505" s="3">
        <f t="shared" si="79"/>
        <v>-3.2882001627311395</v>
      </c>
      <c r="P505">
        <v>1006</v>
      </c>
    </row>
    <row r="506" spans="1:16" x14ac:dyDescent="0.25">
      <c r="A506">
        <v>504</v>
      </c>
      <c r="B506">
        <v>3.4298999999999999</v>
      </c>
      <c r="C506" s="3">
        <v>3.3709105263157899</v>
      </c>
      <c r="D506" s="8">
        <f t="shared" si="84"/>
        <v>-5.8989473684210036E-2</v>
      </c>
      <c r="E506" s="8">
        <f t="shared" si="75"/>
        <v>-5.9181578947368418E-2</v>
      </c>
      <c r="F506" s="3">
        <v>16.588000000000001</v>
      </c>
      <c r="G506" s="9">
        <v>3368.5599999999995</v>
      </c>
      <c r="H506">
        <f t="shared" si="76"/>
        <v>-0.98170403157894737</v>
      </c>
      <c r="I506">
        <f t="shared" si="80"/>
        <v>-0.98170403157894737</v>
      </c>
      <c r="J506">
        <f t="shared" si="81"/>
        <v>-0.29143136283128324</v>
      </c>
      <c r="K506">
        <f t="shared" si="82"/>
        <v>4.9999999999883471E-5</v>
      </c>
      <c r="L506">
        <f t="shared" si="83"/>
        <v>-1.736842105264369E-4</v>
      </c>
      <c r="M506">
        <f t="shared" si="77"/>
        <v>-6.1842105263276714E-5</v>
      </c>
      <c r="N506">
        <f t="shared" si="78"/>
        <v>-9.4039494405446578E-4</v>
      </c>
      <c r="O506" s="3">
        <f t="shared" si="79"/>
        <v>-9.4039494405446575</v>
      </c>
      <c r="P506">
        <v>1008</v>
      </c>
    </row>
    <row r="507" spans="1:16" x14ac:dyDescent="0.25">
      <c r="A507">
        <v>505</v>
      </c>
      <c r="B507">
        <v>3.4300999999999999</v>
      </c>
      <c r="C507" s="3">
        <v>3.3707263157894731</v>
      </c>
      <c r="D507" s="8">
        <f t="shared" si="84"/>
        <v>-5.93736842105268E-2</v>
      </c>
      <c r="E507" s="8">
        <f t="shared" si="75"/>
        <v>-5.9478947368421631E-2</v>
      </c>
      <c r="F507" s="3">
        <v>16.559999999999999</v>
      </c>
      <c r="G507" s="9">
        <v>3365.1999999999994</v>
      </c>
      <c r="H507">
        <f t="shared" si="76"/>
        <v>-0.98497136842106214</v>
      </c>
      <c r="I507">
        <f t="shared" si="80"/>
        <v>-0.98497136842106214</v>
      </c>
      <c r="J507">
        <f t="shared" si="81"/>
        <v>-0.29269326293268227</v>
      </c>
      <c r="K507">
        <f t="shared" si="82"/>
        <v>1.500000000000945E-4</v>
      </c>
      <c r="L507">
        <f t="shared" si="83"/>
        <v>-1.4736842105311787E-4</v>
      </c>
      <c r="M507">
        <f t="shared" si="77"/>
        <v>1.3157894734883158E-6</v>
      </c>
      <c r="N507">
        <f t="shared" si="78"/>
        <v>4.438994250118862E-2</v>
      </c>
      <c r="O507" s="3">
        <f t="shared" si="79"/>
        <v>443.89942501188619</v>
      </c>
      <c r="P507">
        <v>1010</v>
      </c>
    </row>
    <row r="508" spans="1:16" x14ac:dyDescent="0.25">
      <c r="A508">
        <v>506</v>
      </c>
      <c r="B508">
        <v>3.4302000000000001</v>
      </c>
      <c r="C508" s="3">
        <v>3.3706157894736837</v>
      </c>
      <c r="D508" s="8">
        <f t="shared" si="84"/>
        <v>-5.9584210526316461E-2</v>
      </c>
      <c r="E508" s="8">
        <f t="shared" si="75"/>
        <v>-5.952105263157903E-2</v>
      </c>
      <c r="F508" s="3">
        <v>16.532</v>
      </c>
      <c r="G508" s="9">
        <v>3361.8399999999992</v>
      </c>
      <c r="H508">
        <f t="shared" si="76"/>
        <v>-0.98400204210526454</v>
      </c>
      <c r="I508">
        <f t="shared" si="80"/>
        <v>-0.98400204210526454</v>
      </c>
      <c r="J508">
        <f t="shared" si="81"/>
        <v>-0.2926974639201344</v>
      </c>
      <c r="K508">
        <f t="shared" si="82"/>
        <v>-9.9999999999988987E-5</v>
      </c>
      <c r="L508">
        <f t="shared" si="83"/>
        <v>-1.4210526315738825E-4</v>
      </c>
      <c r="M508">
        <f t="shared" si="77"/>
        <v>-1.2105263157868862E-4</v>
      </c>
      <c r="N508">
        <f t="shared" si="78"/>
        <v>-4.8250630019143562E-4</v>
      </c>
      <c r="O508" s="3">
        <f t="shared" si="79"/>
        <v>-4.8250630019143559</v>
      </c>
      <c r="P508">
        <v>1012</v>
      </c>
    </row>
    <row r="509" spans="1:16" x14ac:dyDescent="0.25">
      <c r="A509">
        <v>507</v>
      </c>
      <c r="B509">
        <v>3.4298999999999999</v>
      </c>
      <c r="C509" s="3">
        <v>3.3704421052631583</v>
      </c>
      <c r="D509" s="8">
        <f t="shared" si="84"/>
        <v>-5.9457894736841599E-2</v>
      </c>
      <c r="E509" s="8">
        <f t="shared" si="75"/>
        <v>-5.9486842105263005E-2</v>
      </c>
      <c r="F509" s="3">
        <v>16.503999999999998</v>
      </c>
      <c r="G509" s="9">
        <v>3358.4799999999991</v>
      </c>
      <c r="H509">
        <f t="shared" si="76"/>
        <v>-0.98177084210526044</v>
      </c>
      <c r="I509">
        <f t="shared" si="80"/>
        <v>-0.98177084210526044</v>
      </c>
      <c r="J509">
        <f t="shared" si="81"/>
        <v>-0.29232594569723824</v>
      </c>
      <c r="K509">
        <f t="shared" si="82"/>
        <v>-1.9999999999997797E-4</v>
      </c>
      <c r="L509">
        <f t="shared" si="83"/>
        <v>-1.6578947368395269E-4</v>
      </c>
      <c r="M509">
        <f t="shared" si="77"/>
        <v>-1.8289473684196533E-4</v>
      </c>
      <c r="N509">
        <f t="shared" si="78"/>
        <v>-3.1895133136317246E-4</v>
      </c>
      <c r="O509" s="3">
        <f t="shared" si="79"/>
        <v>-3.1895133136317244</v>
      </c>
      <c r="P509">
        <v>1014</v>
      </c>
    </row>
    <row r="510" spans="1:16" x14ac:dyDescent="0.25">
      <c r="A510">
        <v>508</v>
      </c>
      <c r="B510">
        <v>3.4298000000000002</v>
      </c>
      <c r="C510" s="3">
        <v>3.3702842105263158</v>
      </c>
      <c r="D510" s="8">
        <f t="shared" si="84"/>
        <v>-5.9515789473684411E-2</v>
      </c>
      <c r="E510" s="8">
        <f t="shared" si="75"/>
        <v>-5.9523684210526895E-2</v>
      </c>
      <c r="F510" s="3">
        <v>16.475999999999999</v>
      </c>
      <c r="G510" s="9">
        <v>3355.119999999999</v>
      </c>
      <c r="H510">
        <f t="shared" si="76"/>
        <v>-0.98071222105264111</v>
      </c>
      <c r="I510">
        <f t="shared" si="80"/>
        <v>-0.98071222105264111</v>
      </c>
      <c r="J510">
        <f t="shared" si="81"/>
        <v>-0.29230317277851209</v>
      </c>
      <c r="K510">
        <f t="shared" si="82"/>
        <v>-1.4999999999987246E-4</v>
      </c>
      <c r="L510">
        <f t="shared" si="83"/>
        <v>-1.8684210526376255E-4</v>
      </c>
      <c r="M510">
        <f t="shared" si="77"/>
        <v>-1.684210526318175E-4</v>
      </c>
      <c r="N510">
        <f t="shared" si="78"/>
        <v>-3.4633422900102914E-4</v>
      </c>
      <c r="O510" s="3">
        <f t="shared" si="79"/>
        <v>-3.4633422900102913</v>
      </c>
      <c r="P510">
        <v>1016</v>
      </c>
    </row>
    <row r="511" spans="1:16" x14ac:dyDescent="0.25">
      <c r="A511">
        <v>509</v>
      </c>
      <c r="B511">
        <v>3.4296000000000002</v>
      </c>
      <c r="C511" s="3">
        <v>3.3700684210526308</v>
      </c>
      <c r="D511" s="8">
        <f t="shared" si="84"/>
        <v>-5.9531578947369379E-2</v>
      </c>
      <c r="E511" s="8">
        <f t="shared" si="75"/>
        <v>-5.9607894736842582E-2</v>
      </c>
      <c r="F511" s="3">
        <v>16.448</v>
      </c>
      <c r="G511" s="9">
        <v>3351.7599999999989</v>
      </c>
      <c r="H511">
        <f t="shared" si="76"/>
        <v>-0.9804306526315868</v>
      </c>
      <c r="I511">
        <f t="shared" si="80"/>
        <v>-0.9804306526315868</v>
      </c>
      <c r="J511">
        <f t="shared" si="81"/>
        <v>-0.29251218841193494</v>
      </c>
      <c r="K511">
        <f t="shared" si="82"/>
        <v>-9.9999999999988987E-5</v>
      </c>
      <c r="L511">
        <f t="shared" si="83"/>
        <v>-1.8421052631567569E-4</v>
      </c>
      <c r="M511">
        <f t="shared" si="77"/>
        <v>-1.4210526315783234E-4</v>
      </c>
      <c r="N511">
        <f t="shared" si="78"/>
        <v>-4.1076371001764963E-4</v>
      </c>
      <c r="O511" s="3">
        <f t="shared" si="79"/>
        <v>-4.107637100176496</v>
      </c>
      <c r="P511">
        <v>1018</v>
      </c>
    </row>
    <row r="512" spans="1:16" x14ac:dyDescent="0.25">
      <c r="A512">
        <v>510</v>
      </c>
      <c r="B512">
        <v>3.4296000000000002</v>
      </c>
      <c r="C512" s="3">
        <v>3.3699157894736844</v>
      </c>
      <c r="D512" s="8">
        <f t="shared" si="84"/>
        <v>-5.9684210526315784E-2</v>
      </c>
      <c r="E512" s="8">
        <f t="shared" si="75"/>
        <v>-5.9626315789473638E-2</v>
      </c>
      <c r="F512" s="3">
        <v>16.419999999999998</v>
      </c>
      <c r="G512" s="9">
        <v>3348.3999999999987</v>
      </c>
      <c r="H512">
        <f t="shared" si="76"/>
        <v>-0.97906410526315701</v>
      </c>
      <c r="I512">
        <f t="shared" si="80"/>
        <v>-0.97906410526315701</v>
      </c>
      <c r="J512">
        <f t="shared" si="81"/>
        <v>-0.29239759445202407</v>
      </c>
      <c r="K512">
        <f t="shared" si="82"/>
        <v>-1.500000000000945E-4</v>
      </c>
      <c r="L512">
        <f t="shared" si="83"/>
        <v>-1.6842105263115137E-4</v>
      </c>
      <c r="M512">
        <f t="shared" si="77"/>
        <v>-1.5921052631562294E-4</v>
      </c>
      <c r="N512">
        <f t="shared" si="78"/>
        <v>-3.6648844074194586E-4</v>
      </c>
      <c r="O512" s="3">
        <f t="shared" si="79"/>
        <v>-3.6648844074194584</v>
      </c>
      <c r="P512">
        <v>1020</v>
      </c>
    </row>
    <row r="513" spans="1:16" x14ac:dyDescent="0.25">
      <c r="A513">
        <v>511</v>
      </c>
      <c r="B513">
        <v>3.4293</v>
      </c>
      <c r="C513" s="3">
        <v>3.3697315789473685</v>
      </c>
      <c r="D513" s="8">
        <f t="shared" si="84"/>
        <v>-5.9568421052631493E-2</v>
      </c>
      <c r="E513" s="8">
        <f t="shared" si="75"/>
        <v>-5.9499999999999886E-2</v>
      </c>
      <c r="F513" s="3">
        <v>16.391999999999999</v>
      </c>
      <c r="G513" s="9">
        <v>3345.0399999999986</v>
      </c>
      <c r="H513">
        <f t="shared" si="76"/>
        <v>-0.97532399999999808</v>
      </c>
      <c r="I513">
        <f t="shared" si="80"/>
        <v>-0.97532399999999808</v>
      </c>
      <c r="J513">
        <f t="shared" si="81"/>
        <v>-0.29157319493937245</v>
      </c>
      <c r="K513">
        <f t="shared" si="82"/>
        <v>-3.00000000000189E-4</v>
      </c>
      <c r="L513">
        <f t="shared" si="83"/>
        <v>-1.736842105264369E-4</v>
      </c>
      <c r="M513">
        <f t="shared" si="77"/>
        <v>-2.3684210526331295E-4</v>
      </c>
      <c r="N513">
        <f t="shared" si="78"/>
        <v>-2.4566707037766288E-4</v>
      </c>
      <c r="O513" s="3">
        <f t="shared" si="79"/>
        <v>-2.4566707037766289</v>
      </c>
      <c r="P513">
        <v>1022</v>
      </c>
    </row>
    <row r="514" spans="1:16" x14ac:dyDescent="0.25">
      <c r="A514">
        <v>512</v>
      </c>
      <c r="B514">
        <v>3.4289999999999998</v>
      </c>
      <c r="C514" s="3">
        <v>3.3695684210526315</v>
      </c>
      <c r="D514" s="8">
        <f t="shared" si="84"/>
        <v>-5.943157894736828E-2</v>
      </c>
      <c r="E514" s="8">
        <f t="shared" si="75"/>
        <v>-5.9434210526315701E-2</v>
      </c>
      <c r="F514" s="3">
        <v>16.363999999999997</v>
      </c>
      <c r="G514" s="9">
        <v>3341.6799999999985</v>
      </c>
      <c r="H514">
        <f t="shared" si="76"/>
        <v>-0.97258142105263001</v>
      </c>
      <c r="I514">
        <f t="shared" si="80"/>
        <v>-0.97258142105263001</v>
      </c>
      <c r="J514">
        <f t="shared" si="81"/>
        <v>-0.29104564801316413</v>
      </c>
      <c r="K514">
        <f t="shared" si="82"/>
        <v>-1.9999999999997797E-4</v>
      </c>
      <c r="L514">
        <f t="shared" si="83"/>
        <v>-1.3421052631579222E-4</v>
      </c>
      <c r="M514">
        <f t="shared" si="77"/>
        <v>-1.671052631578851E-4</v>
      </c>
      <c r="N514">
        <f t="shared" si="78"/>
        <v>-3.4755956498391241E-4</v>
      </c>
      <c r="O514" s="3">
        <f t="shared" si="79"/>
        <v>-3.4755956498391241</v>
      </c>
      <c r="P514">
        <v>1024</v>
      </c>
    </row>
    <row r="515" spans="1:16" x14ac:dyDescent="0.25">
      <c r="A515">
        <v>513</v>
      </c>
      <c r="B515">
        <v>3.4289000000000001</v>
      </c>
      <c r="C515" s="3">
        <v>3.3694631578947369</v>
      </c>
      <c r="D515" s="8">
        <f t="shared" si="84"/>
        <v>-5.9436842105263121E-2</v>
      </c>
      <c r="E515" s="8">
        <f t="shared" si="75"/>
        <v>-5.9360526315789919E-2</v>
      </c>
      <c r="F515" s="3">
        <v>16.335999999999999</v>
      </c>
      <c r="G515" s="9">
        <v>3338.3199999999988</v>
      </c>
      <c r="H515">
        <f t="shared" si="76"/>
        <v>-0.969713557894744</v>
      </c>
      <c r="I515">
        <f t="shared" si="80"/>
        <v>-0.969713557894744</v>
      </c>
      <c r="J515">
        <f t="shared" si="81"/>
        <v>-0.29047951002143124</v>
      </c>
      <c r="K515">
        <f t="shared" si="82"/>
        <v>-1.4999999999987246E-4</v>
      </c>
      <c r="L515">
        <f t="shared" si="83"/>
        <v>-7.6315789474090678E-5</v>
      </c>
      <c r="M515">
        <f t="shared" si="77"/>
        <v>-1.1315789473698157E-4</v>
      </c>
      <c r="N515">
        <f t="shared" si="78"/>
        <v>-5.122581872791358E-4</v>
      </c>
      <c r="O515" s="3">
        <f t="shared" si="79"/>
        <v>-5.1225818727913577</v>
      </c>
      <c r="P515">
        <v>1026</v>
      </c>
    </row>
    <row r="516" spans="1:16" x14ac:dyDescent="0.25">
      <c r="A516">
        <v>514</v>
      </c>
      <c r="B516">
        <v>3.4287000000000001</v>
      </c>
      <c r="C516" s="3">
        <v>3.3694157894736834</v>
      </c>
      <c r="D516" s="8">
        <f t="shared" si="84"/>
        <v>-5.9284210526316716E-2</v>
      </c>
      <c r="E516" s="8">
        <f t="shared" ref="E516:E579" si="85">(D516+D517)/2</f>
        <v>-5.9160526315790163E-2</v>
      </c>
      <c r="F516" s="3">
        <v>16.308</v>
      </c>
      <c r="G516" s="9">
        <v>3334.9599999999991</v>
      </c>
      <c r="H516">
        <f t="shared" ref="H516:H579" si="86">E516*F516</f>
        <v>-0.96478986315790594</v>
      </c>
      <c r="I516">
        <f t="shared" si="80"/>
        <v>-0.96478986315790594</v>
      </c>
      <c r="J516">
        <f t="shared" si="81"/>
        <v>-0.28929578260546035</v>
      </c>
      <c r="K516">
        <f t="shared" si="82"/>
        <v>-2.9999999999996696E-4</v>
      </c>
      <c r="L516">
        <f t="shared" si="83"/>
        <v>-1.0000000000021103E-4</v>
      </c>
      <c r="M516">
        <f t="shared" si="77"/>
        <v>-2.00000000000089E-4</v>
      </c>
      <c r="N516">
        <f t="shared" si="78"/>
        <v>-2.8864920837856362E-4</v>
      </c>
      <c r="O516" s="3">
        <f t="shared" si="79"/>
        <v>-2.8864920837856363</v>
      </c>
      <c r="P516">
        <v>1028</v>
      </c>
    </row>
    <row r="517" spans="1:16" x14ac:dyDescent="0.25">
      <c r="A517">
        <v>515</v>
      </c>
      <c r="B517">
        <v>3.4283000000000001</v>
      </c>
      <c r="C517" s="3">
        <v>3.3692631578947365</v>
      </c>
      <c r="D517" s="8">
        <f t="shared" si="84"/>
        <v>-5.9036842105263609E-2</v>
      </c>
      <c r="E517" s="8">
        <f t="shared" si="85"/>
        <v>-5.8607309941521413E-2</v>
      </c>
      <c r="F517" s="3">
        <v>16.279999999999998</v>
      </c>
      <c r="G517" s="9">
        <v>3331.599999999999</v>
      </c>
      <c r="H517">
        <f t="shared" si="86"/>
        <v>-0.9541270058479685</v>
      </c>
      <c r="I517">
        <f t="shared" si="80"/>
        <v>-0.9541270058479685</v>
      </c>
      <c r="J517">
        <f t="shared" si="81"/>
        <v>-0.28638702300635399</v>
      </c>
      <c r="K517">
        <f t="shared" si="82"/>
        <v>-4.9999999999994493E-4</v>
      </c>
      <c r="L517">
        <f t="shared" si="83"/>
        <v>5.3216374268805211E-5</v>
      </c>
      <c r="M517">
        <f t="shared" ref="M517:M580" si="87">(K517+L517)/2</f>
        <v>-2.2339181286556986E-4</v>
      </c>
      <c r="N517">
        <f t="shared" ref="N517:N580" si="88">-J517/(M517*86400*58)</f>
        <v>-2.5582580325866173E-4</v>
      </c>
      <c r="O517" s="3">
        <f t="shared" ref="O517:O580" si="89">N517*10000</f>
        <v>-2.5582580325866173</v>
      </c>
      <c r="P517">
        <v>1030</v>
      </c>
    </row>
    <row r="518" spans="1:16" x14ac:dyDescent="0.25">
      <c r="A518">
        <v>516</v>
      </c>
      <c r="B518">
        <v>3.4277000000000002</v>
      </c>
      <c r="C518" s="3">
        <v>3.369522222222221</v>
      </c>
      <c r="D518" s="8">
        <f t="shared" si="84"/>
        <v>-5.8177777777779216E-2</v>
      </c>
      <c r="E518" s="8">
        <f t="shared" si="85"/>
        <v>-5.8069444444445395E-2</v>
      </c>
      <c r="F518" s="3">
        <v>16.251999999999999</v>
      </c>
      <c r="G518" s="9">
        <v>3328.2399999999989</v>
      </c>
      <c r="H518">
        <f t="shared" si="86"/>
        <v>-0.94374461111112651</v>
      </c>
      <c r="I518">
        <f t="shared" si="80"/>
        <v>-0.94374461111112651</v>
      </c>
      <c r="J518">
        <f t="shared" si="81"/>
        <v>-0.28355665790661932</v>
      </c>
      <c r="K518">
        <f t="shared" si="82"/>
        <v>-4.5000000000006146E-4</v>
      </c>
      <c r="L518">
        <f t="shared" si="83"/>
        <v>8.7865497075956256E-5</v>
      </c>
      <c r="M518">
        <f t="shared" si="87"/>
        <v>-1.810672514620526E-4</v>
      </c>
      <c r="N518">
        <f t="shared" si="88"/>
        <v>-3.1250588751130249E-4</v>
      </c>
      <c r="O518" s="3">
        <f t="shared" si="89"/>
        <v>-3.1250588751130248</v>
      </c>
      <c r="P518">
        <v>1032</v>
      </c>
    </row>
    <row r="519" spans="1:16" x14ac:dyDescent="0.25">
      <c r="A519">
        <v>517</v>
      </c>
      <c r="B519">
        <v>3.4274</v>
      </c>
      <c r="C519" s="3">
        <v>3.3694388888888884</v>
      </c>
      <c r="D519" s="8">
        <f t="shared" si="84"/>
        <v>-5.7961111111111574E-2</v>
      </c>
      <c r="E519" s="8">
        <f t="shared" si="85"/>
        <v>-5.7913888888889042E-2</v>
      </c>
      <c r="F519" s="3">
        <v>16.223999999999997</v>
      </c>
      <c r="G519" s="9">
        <v>3324.8799999999992</v>
      </c>
      <c r="H519">
        <f t="shared" si="86"/>
        <v>-0.93959493333333566</v>
      </c>
      <c r="I519">
        <f t="shared" si="80"/>
        <v>-0.93959493333333566</v>
      </c>
      <c r="J519">
        <f t="shared" si="81"/>
        <v>-0.2825951412782825</v>
      </c>
      <c r="K519">
        <f t="shared" si="82"/>
        <v>-2.5000000000008349E-4</v>
      </c>
      <c r="L519">
        <f t="shared" si="83"/>
        <v>-9.4444444443730902E-5</v>
      </c>
      <c r="M519">
        <f t="shared" si="87"/>
        <v>-1.722222222219072E-4</v>
      </c>
      <c r="N519">
        <f t="shared" si="88"/>
        <v>-3.2744153373980283E-4</v>
      </c>
      <c r="O519" s="3">
        <f t="shared" si="89"/>
        <v>-3.2744153373980285</v>
      </c>
      <c r="P519">
        <v>1034</v>
      </c>
    </row>
    <row r="520" spans="1:16" x14ac:dyDescent="0.25">
      <c r="A520">
        <v>518</v>
      </c>
      <c r="B520">
        <v>3.4272</v>
      </c>
      <c r="C520" s="3">
        <v>3.3693333333333335</v>
      </c>
      <c r="D520" s="8">
        <f t="shared" si="84"/>
        <v>-5.7866666666666511E-2</v>
      </c>
      <c r="E520" s="8">
        <f t="shared" si="85"/>
        <v>-5.7722222222222008E-2</v>
      </c>
      <c r="F520" s="3">
        <v>16.195999999999998</v>
      </c>
      <c r="G520" s="9">
        <v>3321.5199999999995</v>
      </c>
      <c r="H520">
        <f t="shared" si="86"/>
        <v>-0.93486911111110749</v>
      </c>
      <c r="I520">
        <f t="shared" si="80"/>
        <v>-0.93486911111110749</v>
      </c>
      <c r="J520">
        <f t="shared" si="81"/>
        <v>-0.28145822126951148</v>
      </c>
      <c r="K520">
        <f t="shared" si="82"/>
        <v>-2.5000000000008349E-4</v>
      </c>
      <c r="L520">
        <f t="shared" si="83"/>
        <v>-5.8333333333049353E-5</v>
      </c>
      <c r="M520">
        <f t="shared" si="87"/>
        <v>-1.5416666666656642E-4</v>
      </c>
      <c r="N520">
        <f t="shared" si="88"/>
        <v>-3.6431891538481735E-4</v>
      </c>
      <c r="O520" s="3">
        <f t="shared" si="89"/>
        <v>-3.6431891538481733</v>
      </c>
      <c r="P520">
        <v>1036</v>
      </c>
    </row>
    <row r="521" spans="1:16" x14ac:dyDescent="0.25">
      <c r="A521">
        <v>519</v>
      </c>
      <c r="B521">
        <v>3.4268999999999998</v>
      </c>
      <c r="C521" s="3">
        <v>3.3693222222222223</v>
      </c>
      <c r="D521" s="8">
        <f t="shared" si="84"/>
        <v>-5.7577777777777506E-2</v>
      </c>
      <c r="E521" s="8">
        <f t="shared" si="85"/>
        <v>-5.7422222222221819E-2</v>
      </c>
      <c r="F521" s="3">
        <v>16.167999999999999</v>
      </c>
      <c r="G521" s="9">
        <v>3318.1599999999994</v>
      </c>
      <c r="H521">
        <f t="shared" si="86"/>
        <v>-0.92840248888888233</v>
      </c>
      <c r="I521">
        <f t="shared" si="80"/>
        <v>-0.92840248888888233</v>
      </c>
      <c r="J521">
        <f t="shared" si="81"/>
        <v>-0.27979437064182633</v>
      </c>
      <c r="K521">
        <f t="shared" si="82"/>
        <v>-3.5000000000007248E-4</v>
      </c>
      <c r="L521">
        <f t="shared" si="83"/>
        <v>-4.9999999999883471E-5</v>
      </c>
      <c r="M521">
        <f t="shared" si="87"/>
        <v>-1.9999999999997797E-4</v>
      </c>
      <c r="N521">
        <f t="shared" si="88"/>
        <v>-2.7916903201015441E-4</v>
      </c>
      <c r="O521" s="3">
        <f t="shared" si="89"/>
        <v>-2.7916903201015439</v>
      </c>
      <c r="P521">
        <v>1038</v>
      </c>
    </row>
    <row r="522" spans="1:16" x14ac:dyDescent="0.25">
      <c r="A522">
        <v>520</v>
      </c>
      <c r="B522">
        <v>3.4264999999999999</v>
      </c>
      <c r="C522" s="3">
        <v>3.3692333333333337</v>
      </c>
      <c r="D522" s="8">
        <f t="shared" si="84"/>
        <v>-5.7266666666666133E-2</v>
      </c>
      <c r="E522" s="8">
        <f t="shared" si="85"/>
        <v>-5.7044444444444009E-2</v>
      </c>
      <c r="F522" s="3">
        <v>16.139999999999997</v>
      </c>
      <c r="G522" s="9">
        <v>3314.7999999999993</v>
      </c>
      <c r="H522">
        <f t="shared" si="86"/>
        <v>-0.92069733333332615</v>
      </c>
      <c r="I522">
        <f t="shared" si="80"/>
        <v>-0.92069733333332615</v>
      </c>
      <c r="J522">
        <f t="shared" si="81"/>
        <v>-0.27775350951288957</v>
      </c>
      <c r="K522">
        <f t="shared" si="82"/>
        <v>-4.4999999999983942E-4</v>
      </c>
      <c r="L522">
        <f t="shared" si="83"/>
        <v>-7.2222222222029231E-5</v>
      </c>
      <c r="M522">
        <f t="shared" si="87"/>
        <v>-2.6111111111093432E-4</v>
      </c>
      <c r="N522">
        <f t="shared" si="88"/>
        <v>-2.1227187997759048E-4</v>
      </c>
      <c r="O522" s="3">
        <f t="shared" si="89"/>
        <v>-2.1227187997759049</v>
      </c>
      <c r="P522">
        <v>1040</v>
      </c>
    </row>
    <row r="523" spans="1:16" x14ac:dyDescent="0.25">
      <c r="A523">
        <v>521</v>
      </c>
      <c r="B523">
        <v>3.4260000000000002</v>
      </c>
      <c r="C523" s="3">
        <v>3.3691777777777783</v>
      </c>
      <c r="D523" s="8">
        <f t="shared" si="84"/>
        <v>-5.6822222222221885E-2</v>
      </c>
      <c r="E523" s="8">
        <f t="shared" si="85"/>
        <v>-5.6763888888889058E-2</v>
      </c>
      <c r="F523" s="3">
        <v>16.111999999999998</v>
      </c>
      <c r="G523" s="9">
        <v>3311.4399999999996</v>
      </c>
      <c r="H523">
        <f t="shared" si="86"/>
        <v>-0.91457977777778043</v>
      </c>
      <c r="I523">
        <f t="shared" si="80"/>
        <v>-0.91457977777778043</v>
      </c>
      <c r="J523">
        <f t="shared" si="81"/>
        <v>-0.27618793569497879</v>
      </c>
      <c r="K523">
        <f t="shared" si="82"/>
        <v>-3.9999999999995595E-4</v>
      </c>
      <c r="L523">
        <f t="shared" si="83"/>
        <v>-1.194444444450049E-4</v>
      </c>
      <c r="M523">
        <f t="shared" si="87"/>
        <v>-2.5972222222248043E-4</v>
      </c>
      <c r="N523">
        <f t="shared" si="88"/>
        <v>-2.1220414261379327E-4</v>
      </c>
      <c r="O523" s="3">
        <f t="shared" si="89"/>
        <v>-2.1220414261379328</v>
      </c>
      <c r="P523">
        <v>1042</v>
      </c>
    </row>
    <row r="524" spans="1:16" x14ac:dyDescent="0.25">
      <c r="A524">
        <v>522</v>
      </c>
      <c r="B524">
        <v>3.4257</v>
      </c>
      <c r="C524" s="3">
        <v>3.3689944444444437</v>
      </c>
      <c r="D524" s="8">
        <f t="shared" si="84"/>
        <v>-5.6705555555556231E-2</v>
      </c>
      <c r="E524" s="8">
        <f t="shared" si="85"/>
        <v>-5.6877777777778027E-2</v>
      </c>
      <c r="F524" s="3">
        <v>16.083999999999996</v>
      </c>
      <c r="G524" s="9">
        <v>3308.08</v>
      </c>
      <c r="H524">
        <f t="shared" si="86"/>
        <v>-0.91482217777778152</v>
      </c>
      <c r="I524">
        <f t="shared" si="80"/>
        <v>-0.91482217777778152</v>
      </c>
      <c r="J524">
        <f t="shared" si="81"/>
        <v>-0.27654173350637878</v>
      </c>
      <c r="K524">
        <f t="shared" si="82"/>
        <v>-5.0000000000105516E-5</v>
      </c>
      <c r="L524">
        <f t="shared" si="83"/>
        <v>-1.6388888888907438E-4</v>
      </c>
      <c r="M524">
        <f t="shared" si="87"/>
        <v>-1.0694444444458995E-4</v>
      </c>
      <c r="N524">
        <f t="shared" si="88"/>
        <v>-5.1601308685252003E-4</v>
      </c>
      <c r="O524" s="3">
        <f t="shared" si="89"/>
        <v>-5.1601308685251999</v>
      </c>
      <c r="P524">
        <v>1044</v>
      </c>
    </row>
    <row r="525" spans="1:16" x14ac:dyDescent="0.25">
      <c r="A525">
        <v>523</v>
      </c>
      <c r="B525">
        <v>3.4258999999999999</v>
      </c>
      <c r="C525" s="3">
        <v>3.3688500000000001</v>
      </c>
      <c r="D525" s="8">
        <f t="shared" si="84"/>
        <v>-5.7049999999999823E-2</v>
      </c>
      <c r="E525" s="8">
        <f t="shared" si="85"/>
        <v>-5.7041666666666657E-2</v>
      </c>
      <c r="F525" s="3">
        <v>16.055999999999997</v>
      </c>
      <c r="G525" s="9">
        <v>3304.72</v>
      </c>
      <c r="H525">
        <f t="shared" si="86"/>
        <v>-0.9158609999999997</v>
      </c>
      <c r="I525">
        <f t="shared" si="80"/>
        <v>-0.9158609999999997</v>
      </c>
      <c r="J525">
        <f t="shared" si="81"/>
        <v>-0.27713724612070001</v>
      </c>
      <c r="K525">
        <f t="shared" si="82"/>
        <v>5.0000000000105516E-5</v>
      </c>
      <c r="L525">
        <f t="shared" si="83"/>
        <v>-1.1388888888852478E-4</v>
      </c>
      <c r="M525">
        <f t="shared" si="87"/>
        <v>-3.194444444420963E-5</v>
      </c>
      <c r="N525">
        <f t="shared" si="88"/>
        <v>-1.7312421671835155E-3</v>
      </c>
      <c r="O525" s="3">
        <f t="shared" si="89"/>
        <v>-17.312421671835157</v>
      </c>
      <c r="P525">
        <v>1046</v>
      </c>
    </row>
    <row r="526" spans="1:16" x14ac:dyDescent="0.25">
      <c r="A526">
        <v>524</v>
      </c>
      <c r="B526">
        <v>3.4258000000000002</v>
      </c>
      <c r="C526" s="3">
        <v>3.3687666666666667</v>
      </c>
      <c r="D526" s="8">
        <f t="shared" si="84"/>
        <v>-5.7033333333333491E-2</v>
      </c>
      <c r="E526" s="8">
        <f t="shared" si="85"/>
        <v>-5.6969444444444406E-2</v>
      </c>
      <c r="F526" s="3">
        <v>16.027999999999999</v>
      </c>
      <c r="G526" s="9">
        <v>3301.3599999999997</v>
      </c>
      <c r="H526">
        <f t="shared" si="86"/>
        <v>-0.91310625555555491</v>
      </c>
      <c r="I526">
        <f t="shared" si="80"/>
        <v>-0.91310625555555491</v>
      </c>
      <c r="J526">
        <f t="shared" si="81"/>
        <v>-0.27658487882434968</v>
      </c>
      <c r="K526">
        <f t="shared" si="82"/>
        <v>-1.4999999999987246E-4</v>
      </c>
      <c r="L526">
        <f t="shared" si="83"/>
        <v>-7.7777777777621182E-5</v>
      </c>
      <c r="M526">
        <f t="shared" si="87"/>
        <v>-1.1388888888874682E-4</v>
      </c>
      <c r="N526">
        <f t="shared" si="88"/>
        <v>-4.8462447228885387E-4</v>
      </c>
      <c r="O526" s="3">
        <f t="shared" si="89"/>
        <v>-4.8462447228885388</v>
      </c>
      <c r="P526">
        <v>1048</v>
      </c>
    </row>
    <row r="527" spans="1:16" x14ac:dyDescent="0.25">
      <c r="A527">
        <v>525</v>
      </c>
      <c r="B527">
        <v>3.4256000000000002</v>
      </c>
      <c r="C527" s="3">
        <v>3.3686944444444449</v>
      </c>
      <c r="D527" s="8">
        <f t="shared" si="84"/>
        <v>-5.6905555555555321E-2</v>
      </c>
      <c r="E527" s="8">
        <f t="shared" si="85"/>
        <v>-5.6711111111111157E-2</v>
      </c>
      <c r="F527" s="3">
        <v>16</v>
      </c>
      <c r="G527">
        <v>3298</v>
      </c>
      <c r="H527">
        <f t="shared" si="86"/>
        <v>-0.9073777777777785</v>
      </c>
      <c r="I527">
        <f t="shared" si="80"/>
        <v>-0.9073777777777785</v>
      </c>
      <c r="J527">
        <f t="shared" si="81"/>
        <v>-0.27512970824068483</v>
      </c>
      <c r="K527">
        <f t="shared" si="82"/>
        <v>-3.5000000000007248E-4</v>
      </c>
      <c r="L527">
        <f t="shared" si="83"/>
        <v>-9.1666666666823104E-5</v>
      </c>
      <c r="M527">
        <f t="shared" si="87"/>
        <v>-2.2083333333344779E-4</v>
      </c>
      <c r="N527">
        <f t="shared" si="88"/>
        <v>-2.4861717292031936E-4</v>
      </c>
      <c r="O527" s="3">
        <f t="shared" si="89"/>
        <v>-2.4861717292031935</v>
      </c>
      <c r="P527">
        <v>1050</v>
      </c>
    </row>
    <row r="528" spans="1:16" x14ac:dyDescent="0.25">
      <c r="A528">
        <v>526</v>
      </c>
      <c r="B528">
        <v>3.4251</v>
      </c>
      <c r="C528" s="3">
        <v>3.368583333333333</v>
      </c>
      <c r="D528" s="8">
        <f t="shared" si="84"/>
        <v>-5.6516666666666993E-2</v>
      </c>
      <c r="E528" s="8">
        <f t="shared" si="85"/>
        <v>-5.6269444444444705E-2</v>
      </c>
      <c r="F528" s="3">
        <v>15.963999999999999</v>
      </c>
      <c r="G528" s="9">
        <v>3290.92</v>
      </c>
      <c r="H528">
        <f t="shared" si="86"/>
        <v>-0.89828541111111515</v>
      </c>
      <c r="I528">
        <f t="shared" si="80"/>
        <v>-0.89828541111111515</v>
      </c>
      <c r="J528">
        <f t="shared" si="81"/>
        <v>-0.2729587504743704</v>
      </c>
      <c r="K528">
        <f t="shared" si="82"/>
        <v>-6.0000000000015596E-4</v>
      </c>
      <c r="L528">
        <f t="shared" si="83"/>
        <v>-1.5833333333370447E-4</v>
      </c>
      <c r="M528">
        <f t="shared" si="87"/>
        <v>-3.7916666666693022E-4</v>
      </c>
      <c r="N528">
        <f t="shared" si="88"/>
        <v>-1.4365645155687166E-4</v>
      </c>
      <c r="O528" s="3">
        <f t="shared" si="89"/>
        <v>-1.4365645155687166</v>
      </c>
      <c r="P528">
        <v>1052</v>
      </c>
    </row>
    <row r="529" spans="1:16" x14ac:dyDescent="0.25">
      <c r="A529">
        <v>527</v>
      </c>
      <c r="B529">
        <v>3.4243999999999999</v>
      </c>
      <c r="C529" s="3">
        <v>3.3683777777777775</v>
      </c>
      <c r="D529" s="8">
        <f t="shared" si="84"/>
        <v>-5.6022222222222418E-2</v>
      </c>
      <c r="E529" s="8">
        <f t="shared" si="85"/>
        <v>-5.5722222222222451E-2</v>
      </c>
      <c r="F529" s="3">
        <v>15.927999999999997</v>
      </c>
      <c r="G529" s="9">
        <v>3283.84</v>
      </c>
      <c r="H529">
        <f t="shared" si="86"/>
        <v>-0.88754355555555908</v>
      </c>
      <c r="I529">
        <f t="shared" si="80"/>
        <v>-0.88754355555555908</v>
      </c>
      <c r="J529">
        <f t="shared" si="81"/>
        <v>-0.27027612659434047</v>
      </c>
      <c r="K529">
        <f t="shared" si="82"/>
        <v>-6.9999999999992291E-4</v>
      </c>
      <c r="L529">
        <f t="shared" si="83"/>
        <v>-1.5277777777766843E-4</v>
      </c>
      <c r="M529">
        <f t="shared" si="87"/>
        <v>-4.2638888888879567E-4</v>
      </c>
      <c r="N529">
        <f t="shared" si="88"/>
        <v>-1.2649112967276927E-4</v>
      </c>
      <c r="O529" s="3">
        <f t="shared" si="89"/>
        <v>-1.2649112967276928</v>
      </c>
      <c r="P529">
        <v>1054</v>
      </c>
    </row>
    <row r="530" spans="1:16" x14ac:dyDescent="0.25">
      <c r="A530">
        <v>528</v>
      </c>
      <c r="B530">
        <v>3.4237000000000002</v>
      </c>
      <c r="C530" s="3">
        <v>3.3682777777777777</v>
      </c>
      <c r="D530" s="8">
        <f t="shared" si="84"/>
        <v>-5.5422222222222484E-2</v>
      </c>
      <c r="E530" s="8">
        <f t="shared" si="85"/>
        <v>-5.539722222222232E-2</v>
      </c>
      <c r="F530" s="3">
        <v>15.891999999999999</v>
      </c>
      <c r="G530" s="9">
        <v>3276.76</v>
      </c>
      <c r="H530">
        <f t="shared" si="86"/>
        <v>-0.8803726555555571</v>
      </c>
      <c r="I530">
        <f t="shared" si="80"/>
        <v>-0.8803726555555571</v>
      </c>
      <c r="J530">
        <f t="shared" si="81"/>
        <v>-0.26867169263405227</v>
      </c>
      <c r="K530">
        <f t="shared" si="82"/>
        <v>-4.9999999999994493E-4</v>
      </c>
      <c r="L530">
        <f t="shared" si="83"/>
        <v>-1.7499999999981419E-4</v>
      </c>
      <c r="M530">
        <f t="shared" si="87"/>
        <v>-3.3749999999987956E-4</v>
      </c>
      <c r="N530">
        <f t="shared" si="88"/>
        <v>-1.5885701518030611E-4</v>
      </c>
      <c r="O530" s="3">
        <f t="shared" si="89"/>
        <v>-1.588570151803061</v>
      </c>
      <c r="P530">
        <v>1056</v>
      </c>
    </row>
    <row r="531" spans="1:16" x14ac:dyDescent="0.25">
      <c r="A531">
        <v>529</v>
      </c>
      <c r="B531">
        <v>3.4234</v>
      </c>
      <c r="C531" s="3">
        <v>3.3680277777777778</v>
      </c>
      <c r="D531" s="8">
        <f t="shared" si="84"/>
        <v>-5.5372222222222156E-2</v>
      </c>
      <c r="E531" s="8">
        <f t="shared" si="85"/>
        <v>-5.5344444444444418E-2</v>
      </c>
      <c r="F531" s="3">
        <v>15.856</v>
      </c>
      <c r="G531" s="9">
        <v>3269.6800000000003</v>
      </c>
      <c r="H531">
        <f t="shared" si="86"/>
        <v>-0.87754151111111067</v>
      </c>
      <c r="I531">
        <f t="shared" si="80"/>
        <v>-0.87754151111111067</v>
      </c>
      <c r="J531">
        <f t="shared" si="81"/>
        <v>-0.26838758261087031</v>
      </c>
      <c r="K531">
        <f t="shared" si="82"/>
        <v>-2.5000000000008349E-4</v>
      </c>
      <c r="L531">
        <f t="shared" si="83"/>
        <v>-1.97222222222182E-4</v>
      </c>
      <c r="M531">
        <f t="shared" si="87"/>
        <v>-2.2361111111113274E-4</v>
      </c>
      <c r="N531">
        <f t="shared" si="88"/>
        <v>-2.3951201418116329E-4</v>
      </c>
      <c r="O531" s="3">
        <f t="shared" si="89"/>
        <v>-2.395120141811633</v>
      </c>
      <c r="P531">
        <v>1058</v>
      </c>
    </row>
    <row r="532" spans="1:16" x14ac:dyDescent="0.25">
      <c r="A532">
        <v>530</v>
      </c>
      <c r="B532">
        <v>3.4232</v>
      </c>
      <c r="C532" s="3">
        <v>3.3678833333333333</v>
      </c>
      <c r="D532" s="8">
        <f t="shared" si="84"/>
        <v>-5.5316666666666681E-2</v>
      </c>
      <c r="E532" s="8">
        <f t="shared" si="85"/>
        <v>-5.5027777777777898E-2</v>
      </c>
      <c r="F532" s="3">
        <v>15.819999999999999</v>
      </c>
      <c r="G532" s="9">
        <v>3262.6000000000004</v>
      </c>
      <c r="H532">
        <f t="shared" si="86"/>
        <v>-0.87053944444444631</v>
      </c>
      <c r="I532">
        <f t="shared" si="80"/>
        <v>-0.87053944444444631</v>
      </c>
      <c r="J532">
        <f t="shared" si="81"/>
        <v>-0.26682383511446278</v>
      </c>
      <c r="K532">
        <f t="shared" si="82"/>
        <v>-4.5000000000006146E-4</v>
      </c>
      <c r="L532">
        <f t="shared" si="83"/>
        <v>-1.3333333333354069E-4</v>
      </c>
      <c r="M532">
        <f t="shared" si="87"/>
        <v>-2.9166666666680108E-4</v>
      </c>
      <c r="N532">
        <f t="shared" si="88"/>
        <v>-1.8255599008917611E-4</v>
      </c>
      <c r="O532" s="3">
        <f t="shared" si="89"/>
        <v>-1.8255599008917611</v>
      </c>
      <c r="P532">
        <v>1060</v>
      </c>
    </row>
    <row r="533" spans="1:16" x14ac:dyDescent="0.25">
      <c r="A533">
        <v>531</v>
      </c>
      <c r="B533">
        <v>3.4224999999999999</v>
      </c>
      <c r="C533" s="3">
        <v>3.3677611111111108</v>
      </c>
      <c r="D533" s="8">
        <f t="shared" si="84"/>
        <v>-5.4738888888889115E-2</v>
      </c>
      <c r="E533" s="8">
        <f t="shared" si="85"/>
        <v>-5.4325000000000401E-2</v>
      </c>
      <c r="F533" s="3">
        <v>15.783999999999997</v>
      </c>
      <c r="G533" s="9">
        <v>3255.5200000000004</v>
      </c>
      <c r="H533">
        <f t="shared" si="86"/>
        <v>-0.85746580000000616</v>
      </c>
      <c r="I533">
        <f t="shared" si="80"/>
        <v>-0.85746580000000616</v>
      </c>
      <c r="J533">
        <f t="shared" si="81"/>
        <v>-0.26338827591291281</v>
      </c>
      <c r="K533">
        <f t="shared" si="82"/>
        <v>-8.5000000000001741E-4</v>
      </c>
      <c r="L533">
        <f t="shared" si="83"/>
        <v>-1.4722222222252057E-4</v>
      </c>
      <c r="M533">
        <f t="shared" si="87"/>
        <v>-4.9861111111126899E-4</v>
      </c>
      <c r="N533">
        <f t="shared" si="88"/>
        <v>-1.0541265484936983E-4</v>
      </c>
      <c r="O533" s="3">
        <f t="shared" si="89"/>
        <v>-1.0541265484936984</v>
      </c>
      <c r="P533">
        <v>1062</v>
      </c>
    </row>
    <row r="534" spans="1:16" x14ac:dyDescent="0.25">
      <c r="A534">
        <v>532</v>
      </c>
      <c r="B534">
        <v>3.4215</v>
      </c>
      <c r="C534" s="3">
        <v>3.3675888888888883</v>
      </c>
      <c r="D534" s="8">
        <f t="shared" si="84"/>
        <v>-5.3911111111111687E-2</v>
      </c>
      <c r="E534" s="8">
        <f t="shared" si="85"/>
        <v>-5.3861111111111581E-2</v>
      </c>
      <c r="F534" s="3">
        <v>15.747999999999999</v>
      </c>
      <c r="G534" s="9">
        <v>3248.4400000000005</v>
      </c>
      <c r="H534">
        <f t="shared" si="86"/>
        <v>-0.84820477777778513</v>
      </c>
      <c r="I534">
        <f t="shared" si="80"/>
        <v>-0.84820477777778513</v>
      </c>
      <c r="J534">
        <f t="shared" si="81"/>
        <v>-0.26111141895118423</v>
      </c>
      <c r="K534">
        <f t="shared" si="82"/>
        <v>-5.9999999999993392E-4</v>
      </c>
      <c r="L534">
        <f t="shared" si="83"/>
        <v>-1.3611111111111462E-4</v>
      </c>
      <c r="M534">
        <f t="shared" si="87"/>
        <v>-3.6805555555552427E-4</v>
      </c>
      <c r="N534">
        <f t="shared" si="88"/>
        <v>-1.4156984328302235E-4</v>
      </c>
      <c r="O534" s="3">
        <f t="shared" si="89"/>
        <v>-1.4156984328302236</v>
      </c>
      <c r="P534">
        <v>1064</v>
      </c>
    </row>
    <row r="535" spans="1:16" x14ac:dyDescent="0.25">
      <c r="A535">
        <v>533</v>
      </c>
      <c r="B535">
        <v>3.4213</v>
      </c>
      <c r="C535" s="3">
        <v>3.3674888888888885</v>
      </c>
      <c r="D535" s="8">
        <f t="shared" si="84"/>
        <v>-5.3811111111111476E-2</v>
      </c>
      <c r="E535" s="8">
        <f t="shared" si="85"/>
        <v>-5.3936111111111185E-2</v>
      </c>
      <c r="F535" s="3">
        <v>15.712</v>
      </c>
      <c r="G535" s="9">
        <v>3241.3600000000006</v>
      </c>
      <c r="H535">
        <f t="shared" si="86"/>
        <v>-0.84744417777777892</v>
      </c>
      <c r="I535">
        <f t="shared" si="80"/>
        <v>-0.84744417777777892</v>
      </c>
      <c r="J535">
        <f t="shared" si="81"/>
        <v>-0.26144710176524016</v>
      </c>
      <c r="K535">
        <f t="shared" si="82"/>
        <v>-4.9999999999883471E-5</v>
      </c>
      <c r="L535">
        <f t="shared" si="83"/>
        <v>-1.2499999999948663E-4</v>
      </c>
      <c r="M535">
        <f t="shared" si="87"/>
        <v>-8.7499999999685052E-5</v>
      </c>
      <c r="N535">
        <f t="shared" si="88"/>
        <v>-5.9625775808744123E-4</v>
      </c>
      <c r="O535" s="3">
        <f t="shared" si="89"/>
        <v>-5.9625775808744121</v>
      </c>
      <c r="P535">
        <v>1066</v>
      </c>
    </row>
    <row r="536" spans="1:16" x14ac:dyDescent="0.25">
      <c r="A536">
        <v>534</v>
      </c>
      <c r="B536">
        <v>3.4214000000000002</v>
      </c>
      <c r="C536" s="3">
        <v>3.3673388888888893</v>
      </c>
      <c r="D536" s="8">
        <f t="shared" si="84"/>
        <v>-5.4061111111110893E-2</v>
      </c>
      <c r="E536" s="8">
        <f t="shared" si="85"/>
        <v>-5.4069444444444503E-2</v>
      </c>
      <c r="F536" s="3">
        <v>15.675999999999998</v>
      </c>
      <c r="G536" s="9">
        <v>3234.2800000000007</v>
      </c>
      <c r="H536">
        <f t="shared" si="86"/>
        <v>-0.84759261111111195</v>
      </c>
      <c r="I536">
        <f t="shared" si="80"/>
        <v>-0.84759261111111195</v>
      </c>
      <c r="J536">
        <f t="shared" si="81"/>
        <v>-0.26206531627166224</v>
      </c>
      <c r="K536">
        <f t="shared" si="82"/>
        <v>0</v>
      </c>
      <c r="L536">
        <f t="shared" si="83"/>
        <v>-1.3333333333331865E-4</v>
      </c>
      <c r="M536">
        <f t="shared" si="87"/>
        <v>-6.6666666666659324E-5</v>
      </c>
      <c r="N536">
        <f t="shared" si="88"/>
        <v>-7.8443880588987993E-4</v>
      </c>
      <c r="O536" s="3">
        <f t="shared" si="89"/>
        <v>-7.8443880588987991</v>
      </c>
      <c r="P536">
        <v>1068</v>
      </c>
    </row>
    <row r="537" spans="1:16" x14ac:dyDescent="0.25">
      <c r="A537">
        <v>535</v>
      </c>
      <c r="B537">
        <v>3.4213</v>
      </c>
      <c r="C537" s="3">
        <v>3.3672222222222219</v>
      </c>
      <c r="D537" s="8">
        <f t="shared" si="84"/>
        <v>-5.4077777777778113E-2</v>
      </c>
      <c r="E537" s="8">
        <f t="shared" si="85"/>
        <v>-5.4077777777777891E-2</v>
      </c>
      <c r="F537" s="3">
        <v>15.639999999999997</v>
      </c>
      <c r="G537" s="9">
        <v>3227.2000000000007</v>
      </c>
      <c r="H537">
        <f t="shared" si="86"/>
        <v>-0.84577644444444611</v>
      </c>
      <c r="I537">
        <f t="shared" ref="I537:I600" si="90">H537</f>
        <v>-0.84577644444444611</v>
      </c>
      <c r="J537">
        <f t="shared" ref="J537:J600" si="91">(I537/G537)*1000</f>
        <v>-0.26207748030628591</v>
      </c>
      <c r="K537">
        <f t="shared" ref="K537:K600" si="92">(B538-B536)/(A538-A536)</f>
        <v>-1.0000000000021103E-4</v>
      </c>
      <c r="L537">
        <f t="shared" ref="L537:L600" si="93">(C538-C536)/(A538-A536)</f>
        <v>-1.0833333333359896E-4</v>
      </c>
      <c r="M537">
        <f t="shared" si="87"/>
        <v>-1.0416666666690499E-4</v>
      </c>
      <c r="N537">
        <f t="shared" si="88"/>
        <v>-5.0206413851664041E-4</v>
      </c>
      <c r="O537" s="3">
        <f t="shared" si="89"/>
        <v>-5.020641385166404</v>
      </c>
      <c r="P537">
        <v>1070</v>
      </c>
    </row>
    <row r="538" spans="1:16" x14ac:dyDescent="0.25">
      <c r="A538">
        <v>536</v>
      </c>
      <c r="B538">
        <v>3.4211999999999998</v>
      </c>
      <c r="C538" s="3">
        <v>3.3671222222222221</v>
      </c>
      <c r="D538" s="8">
        <f t="shared" ref="D538:D601" si="94">C538-B538</f>
        <v>-5.4077777777777669E-2</v>
      </c>
      <c r="E538" s="8">
        <f t="shared" si="85"/>
        <v>-5.4105555555555629E-2</v>
      </c>
      <c r="F538" s="3">
        <v>15.603999999999999</v>
      </c>
      <c r="G538" s="9">
        <v>3220.1200000000008</v>
      </c>
      <c r="H538">
        <f t="shared" si="86"/>
        <v>-0.84426308888889001</v>
      </c>
      <c r="I538">
        <f t="shared" si="90"/>
        <v>-0.84426308888889001</v>
      </c>
      <c r="J538">
        <f t="shared" si="91"/>
        <v>-0.26218373504369086</v>
      </c>
      <c r="K538">
        <f t="shared" si="92"/>
        <v>-9.9999999999988987E-5</v>
      </c>
      <c r="L538">
        <f t="shared" si="93"/>
        <v>-1.277777777777267E-4</v>
      </c>
      <c r="M538">
        <f t="shared" si="87"/>
        <v>-1.1388888888885784E-4</v>
      </c>
      <c r="N538">
        <f t="shared" si="88"/>
        <v>-4.5939118139150958E-4</v>
      </c>
      <c r="O538" s="3">
        <f t="shared" si="89"/>
        <v>-4.5939118139150956</v>
      </c>
      <c r="P538">
        <v>1072</v>
      </c>
    </row>
    <row r="539" spans="1:16" x14ac:dyDescent="0.25">
      <c r="A539">
        <v>537</v>
      </c>
      <c r="B539">
        <v>3.4211</v>
      </c>
      <c r="C539" s="3">
        <v>3.3669666666666664</v>
      </c>
      <c r="D539" s="8">
        <f t="shared" si="94"/>
        <v>-5.4133333333333589E-2</v>
      </c>
      <c r="E539" s="8">
        <f t="shared" si="85"/>
        <v>-5.4038888888889192E-2</v>
      </c>
      <c r="F539" s="3">
        <v>15.568000000000001</v>
      </c>
      <c r="G539" s="9">
        <v>3213.0400000000009</v>
      </c>
      <c r="H539">
        <f t="shared" si="86"/>
        <v>-0.84127742222222701</v>
      </c>
      <c r="I539">
        <f t="shared" si="90"/>
        <v>-0.84127742222222701</v>
      </c>
      <c r="J539">
        <f t="shared" si="91"/>
        <v>-0.26183222811487772</v>
      </c>
      <c r="K539">
        <f t="shared" si="92"/>
        <v>-1.9999999999997797E-4</v>
      </c>
      <c r="L539">
        <f t="shared" si="93"/>
        <v>-1.3333333333354069E-4</v>
      </c>
      <c r="M539">
        <f t="shared" si="87"/>
        <v>-1.6666666666675933E-4</v>
      </c>
      <c r="N539">
        <f t="shared" si="88"/>
        <v>-3.1349644170825208E-4</v>
      </c>
      <c r="O539" s="3">
        <f t="shared" si="89"/>
        <v>-3.1349644170825206</v>
      </c>
      <c r="P539">
        <v>1074</v>
      </c>
    </row>
    <row r="540" spans="1:16" x14ac:dyDescent="0.25">
      <c r="A540">
        <v>538</v>
      </c>
      <c r="B540">
        <v>3.4207999999999998</v>
      </c>
      <c r="C540" s="3">
        <v>3.366855555555555</v>
      </c>
      <c r="D540" s="8">
        <f t="shared" si="94"/>
        <v>-5.3944444444444795E-2</v>
      </c>
      <c r="E540" s="8">
        <f t="shared" si="85"/>
        <v>-5.3983333333333494E-2</v>
      </c>
      <c r="F540" s="3">
        <v>15.532</v>
      </c>
      <c r="G540" s="9">
        <v>3205.9600000000009</v>
      </c>
      <c r="H540">
        <f t="shared" si="86"/>
        <v>-0.83846913333333584</v>
      </c>
      <c r="I540">
        <f t="shared" si="90"/>
        <v>-0.83846913333333584</v>
      </c>
      <c r="J540">
        <f t="shared" si="91"/>
        <v>-0.26153449616755531</v>
      </c>
      <c r="K540">
        <f t="shared" si="92"/>
        <v>-1.9999999999997797E-4</v>
      </c>
      <c r="L540">
        <f t="shared" si="93"/>
        <v>-1.4444444444428051E-4</v>
      </c>
      <c r="M540">
        <f t="shared" si="87"/>
        <v>-1.7222222222212924E-4</v>
      </c>
      <c r="N540">
        <f t="shared" si="88"/>
        <v>-3.0303867279349333E-4</v>
      </c>
      <c r="O540" s="3">
        <f t="shared" si="89"/>
        <v>-3.0303867279349332</v>
      </c>
      <c r="P540">
        <v>1076</v>
      </c>
    </row>
    <row r="541" spans="1:16" x14ac:dyDescent="0.25">
      <c r="A541">
        <v>539</v>
      </c>
      <c r="B541">
        <v>3.4207000000000001</v>
      </c>
      <c r="C541" s="3">
        <v>3.3666777777777779</v>
      </c>
      <c r="D541" s="8">
        <f t="shared" si="94"/>
        <v>-5.4022222222222194E-2</v>
      </c>
      <c r="E541" s="8">
        <f t="shared" si="85"/>
        <v>-5.4094444444444223E-2</v>
      </c>
      <c r="F541" s="3">
        <v>15.495999999999999</v>
      </c>
      <c r="G541" s="9">
        <v>3198.880000000001</v>
      </c>
      <c r="H541">
        <f t="shared" si="86"/>
        <v>-0.83824751111110762</v>
      </c>
      <c r="I541">
        <f t="shared" si="90"/>
        <v>-0.83824751111110762</v>
      </c>
      <c r="J541">
        <f t="shared" si="91"/>
        <v>-0.26204406264414648</v>
      </c>
      <c r="K541">
        <f t="shared" si="92"/>
        <v>0</v>
      </c>
      <c r="L541">
        <f t="shared" si="93"/>
        <v>-1.111111111107288E-4</v>
      </c>
      <c r="M541">
        <f t="shared" si="87"/>
        <v>-5.55555555553644E-5</v>
      </c>
      <c r="N541">
        <f t="shared" si="88"/>
        <v>-9.4125022501813274E-4</v>
      </c>
      <c r="O541" s="3">
        <f t="shared" si="89"/>
        <v>-9.412502250181328</v>
      </c>
      <c r="P541">
        <v>1078</v>
      </c>
    </row>
    <row r="542" spans="1:16" x14ac:dyDescent="0.25">
      <c r="A542">
        <v>540</v>
      </c>
      <c r="B542">
        <v>3.4207999999999998</v>
      </c>
      <c r="C542" s="3">
        <v>3.3666333333333336</v>
      </c>
      <c r="D542" s="8">
        <f t="shared" si="94"/>
        <v>-5.4166666666666252E-2</v>
      </c>
      <c r="E542" s="8">
        <f t="shared" si="85"/>
        <v>-5.4099999999999593E-2</v>
      </c>
      <c r="F542" s="3">
        <v>15.459999999999999</v>
      </c>
      <c r="G542" s="9">
        <v>3191.8000000000011</v>
      </c>
      <c r="H542">
        <f t="shared" si="86"/>
        <v>-0.83638599999999363</v>
      </c>
      <c r="I542">
        <f t="shared" si="90"/>
        <v>-0.83638599999999363</v>
      </c>
      <c r="J542">
        <f t="shared" si="91"/>
        <v>-0.26204210790149551</v>
      </c>
      <c r="K542">
        <f t="shared" si="92"/>
        <v>-5.0000000000105516E-5</v>
      </c>
      <c r="L542">
        <f t="shared" si="93"/>
        <v>-5.5555555555475422E-5</v>
      </c>
      <c r="M542">
        <f t="shared" si="87"/>
        <v>-5.2777777777790469E-5</v>
      </c>
      <c r="N542">
        <f t="shared" si="88"/>
        <v>-9.9078231965151441E-4</v>
      </c>
      <c r="O542" s="3">
        <f t="shared" si="89"/>
        <v>-9.9078231965151442</v>
      </c>
      <c r="P542">
        <v>1080</v>
      </c>
    </row>
    <row r="543" spans="1:16" x14ac:dyDescent="0.25">
      <c r="A543">
        <v>541</v>
      </c>
      <c r="B543">
        <v>3.4205999999999999</v>
      </c>
      <c r="C543" s="3">
        <v>3.3665666666666669</v>
      </c>
      <c r="D543" s="8">
        <f t="shared" si="94"/>
        <v>-5.4033333333332934E-2</v>
      </c>
      <c r="E543" s="8">
        <f t="shared" si="85"/>
        <v>-5.3999999999999604E-2</v>
      </c>
      <c r="F543" s="3">
        <v>15.424000000000001</v>
      </c>
      <c r="G543" s="9">
        <v>3184.7200000000012</v>
      </c>
      <c r="H543">
        <f t="shared" si="86"/>
        <v>-0.83289599999999397</v>
      </c>
      <c r="I543">
        <f t="shared" si="90"/>
        <v>-0.83289599999999397</v>
      </c>
      <c r="J543">
        <f t="shared" si="91"/>
        <v>-0.26152880002009399</v>
      </c>
      <c r="K543">
        <f t="shared" si="92"/>
        <v>-1.9999999999997797E-4</v>
      </c>
      <c r="L543">
        <f t="shared" si="93"/>
        <v>-9.9999999999988987E-5</v>
      </c>
      <c r="M543">
        <f t="shared" si="87"/>
        <v>-1.4999999999998348E-4</v>
      </c>
      <c r="N543">
        <f t="shared" si="88"/>
        <v>-3.4792571309616167E-4</v>
      </c>
      <c r="O543" s="3">
        <f t="shared" si="89"/>
        <v>-3.4792571309616167</v>
      </c>
      <c r="P543">
        <v>1082</v>
      </c>
    </row>
    <row r="544" spans="1:16" x14ac:dyDescent="0.25">
      <c r="A544">
        <v>542</v>
      </c>
      <c r="B544">
        <v>3.4203999999999999</v>
      </c>
      <c r="C544" s="3">
        <v>3.3664333333333336</v>
      </c>
      <c r="D544" s="8">
        <f t="shared" si="94"/>
        <v>-5.3966666666666274E-2</v>
      </c>
      <c r="E544" s="8">
        <f t="shared" si="85"/>
        <v>-5.3922222222221761E-2</v>
      </c>
      <c r="F544" s="3">
        <v>15.388</v>
      </c>
      <c r="G544" s="9">
        <v>3177.6400000000012</v>
      </c>
      <c r="H544">
        <f t="shared" si="86"/>
        <v>-0.82975515555554846</v>
      </c>
      <c r="I544">
        <f t="shared" si="90"/>
        <v>-0.82975515555554846</v>
      </c>
      <c r="J544">
        <f t="shared" si="91"/>
        <v>-0.26112308365817027</v>
      </c>
      <c r="K544">
        <f t="shared" si="92"/>
        <v>-1.9999999999997797E-4</v>
      </c>
      <c r="L544">
        <f t="shared" si="93"/>
        <v>-1.2222222222213475E-4</v>
      </c>
      <c r="M544">
        <f t="shared" si="87"/>
        <v>-1.6111111111105636E-4</v>
      </c>
      <c r="N544">
        <f t="shared" si="88"/>
        <v>-3.2342831408325778E-4</v>
      </c>
      <c r="O544" s="3">
        <f t="shared" si="89"/>
        <v>-3.2342831408325776</v>
      </c>
      <c r="P544">
        <v>1084</v>
      </c>
    </row>
    <row r="545" spans="1:16" x14ac:dyDescent="0.25">
      <c r="A545">
        <v>543</v>
      </c>
      <c r="B545">
        <v>3.4201999999999999</v>
      </c>
      <c r="C545" s="3">
        <v>3.3663222222222227</v>
      </c>
      <c r="D545" s="8">
        <f t="shared" si="94"/>
        <v>-5.3877777777777247E-2</v>
      </c>
      <c r="E545" s="8">
        <f t="shared" si="85"/>
        <v>-5.3827777777777586E-2</v>
      </c>
      <c r="F545" s="3">
        <v>15.351999999999999</v>
      </c>
      <c r="G545" s="9">
        <v>3170.5600000000013</v>
      </c>
      <c r="H545">
        <f t="shared" si="86"/>
        <v>-0.82636404444444145</v>
      </c>
      <c r="I545">
        <f t="shared" si="90"/>
        <v>-0.82636404444444145</v>
      </c>
      <c r="J545">
        <f t="shared" si="91"/>
        <v>-0.26063662080025013</v>
      </c>
      <c r="K545">
        <f t="shared" si="92"/>
        <v>-1.9999999999997797E-4</v>
      </c>
      <c r="L545">
        <f t="shared" si="93"/>
        <v>-1.0555555555580298E-4</v>
      </c>
      <c r="M545">
        <f t="shared" si="87"/>
        <v>-1.5277777777789048E-4</v>
      </c>
      <c r="N545">
        <f t="shared" si="88"/>
        <v>-3.4043445768032639E-4</v>
      </c>
      <c r="O545" s="3">
        <f t="shared" si="89"/>
        <v>-3.4043445768032639</v>
      </c>
      <c r="P545">
        <v>1086</v>
      </c>
    </row>
    <row r="546" spans="1:16" x14ac:dyDescent="0.25">
      <c r="A546">
        <v>544</v>
      </c>
      <c r="B546">
        <v>3.42</v>
      </c>
      <c r="C546" s="3">
        <v>3.366222222222222</v>
      </c>
      <c r="D546" s="8">
        <f t="shared" si="94"/>
        <v>-5.3777777777777924E-2</v>
      </c>
      <c r="E546" s="8">
        <f t="shared" si="85"/>
        <v>-5.3719444444444431E-2</v>
      </c>
      <c r="F546" s="3">
        <v>15.315999999999999</v>
      </c>
      <c r="G546" s="9">
        <v>3163.4800000000009</v>
      </c>
      <c r="H546">
        <f t="shared" si="86"/>
        <v>-0.82276701111111084</v>
      </c>
      <c r="I546">
        <f t="shared" si="90"/>
        <v>-0.82276701111111084</v>
      </c>
      <c r="J546">
        <f t="shared" si="91"/>
        <v>-0.26008288691918729</v>
      </c>
      <c r="K546">
        <f t="shared" si="92"/>
        <v>-1.9999999999997797E-4</v>
      </c>
      <c r="L546">
        <f t="shared" si="93"/>
        <v>-9.1666666666823104E-5</v>
      </c>
      <c r="M546">
        <f t="shared" si="87"/>
        <v>-1.4583333333340054E-4</v>
      </c>
      <c r="N546">
        <f t="shared" si="88"/>
        <v>-3.5588791313501291E-4</v>
      </c>
      <c r="O546" s="3">
        <f t="shared" si="89"/>
        <v>-3.5588791313501291</v>
      </c>
      <c r="P546">
        <v>1088</v>
      </c>
    </row>
    <row r="547" spans="1:16" x14ac:dyDescent="0.25">
      <c r="A547">
        <v>545</v>
      </c>
      <c r="B547">
        <v>3.4198</v>
      </c>
      <c r="C547" s="3">
        <v>3.366138888888889</v>
      </c>
      <c r="D547" s="8">
        <f t="shared" si="94"/>
        <v>-5.3661111111110937E-2</v>
      </c>
      <c r="E547" s="8">
        <f t="shared" si="85"/>
        <v>-5.3708333333333025E-2</v>
      </c>
      <c r="F547" s="3">
        <v>15.280000000000001</v>
      </c>
      <c r="G547" s="9">
        <v>3156.4000000000005</v>
      </c>
      <c r="H547">
        <f t="shared" si="86"/>
        <v>-0.82066333333332864</v>
      </c>
      <c r="I547">
        <f t="shared" si="90"/>
        <v>-0.82066333333332864</v>
      </c>
      <c r="J547">
        <f t="shared" si="91"/>
        <v>-0.25999978878891411</v>
      </c>
      <c r="K547">
        <f t="shared" si="92"/>
        <v>-9.9999999999988987E-5</v>
      </c>
      <c r="L547">
        <f t="shared" si="93"/>
        <v>-8.888888888858304E-5</v>
      </c>
      <c r="M547">
        <f t="shared" si="87"/>
        <v>-9.4444444444286013E-5</v>
      </c>
      <c r="N547">
        <f t="shared" si="88"/>
        <v>-5.4935722783415789E-4</v>
      </c>
      <c r="O547" s="3">
        <f t="shared" si="89"/>
        <v>-5.4935722783415786</v>
      </c>
      <c r="P547">
        <v>1090</v>
      </c>
    </row>
    <row r="548" spans="1:16" x14ac:dyDescent="0.25">
      <c r="A548">
        <v>546</v>
      </c>
      <c r="B548">
        <v>3.4198</v>
      </c>
      <c r="C548" s="3">
        <v>3.3660444444444448</v>
      </c>
      <c r="D548" s="8">
        <f t="shared" si="94"/>
        <v>-5.3755555555555112E-2</v>
      </c>
      <c r="E548" s="8">
        <f t="shared" si="85"/>
        <v>-5.3713888888888395E-2</v>
      </c>
      <c r="F548" s="3">
        <v>15.244</v>
      </c>
      <c r="G548" s="9">
        <v>3149.3200000000006</v>
      </c>
      <c r="H548">
        <f t="shared" si="86"/>
        <v>-0.81881452222221462</v>
      </c>
      <c r="I548">
        <f t="shared" si="90"/>
        <v>-0.81881452222221462</v>
      </c>
      <c r="J548">
        <f t="shared" si="91"/>
        <v>-0.25999724455508316</v>
      </c>
      <c r="K548">
        <f t="shared" si="92"/>
        <v>-9.9999999999988987E-5</v>
      </c>
      <c r="L548">
        <f t="shared" si="93"/>
        <v>-1.0555555555535889E-4</v>
      </c>
      <c r="M548">
        <f t="shared" si="87"/>
        <v>-1.0277777777767394E-4</v>
      </c>
      <c r="N548">
        <f t="shared" si="88"/>
        <v>-5.0480981002513567E-4</v>
      </c>
      <c r="O548" s="3">
        <f t="shared" si="89"/>
        <v>-5.048098100251357</v>
      </c>
      <c r="P548">
        <v>1092</v>
      </c>
    </row>
    <row r="549" spans="1:16" x14ac:dyDescent="0.25">
      <c r="A549">
        <v>547</v>
      </c>
      <c r="B549">
        <v>3.4196</v>
      </c>
      <c r="C549" s="3">
        <v>3.3659277777777783</v>
      </c>
      <c r="D549" s="8">
        <f t="shared" si="94"/>
        <v>-5.3672222222221677E-2</v>
      </c>
      <c r="E549" s="8">
        <f t="shared" si="85"/>
        <v>-5.3574999999999262E-2</v>
      </c>
      <c r="F549" s="3">
        <v>15.207999999999998</v>
      </c>
      <c r="G549" s="9">
        <v>3142.2400000000007</v>
      </c>
      <c r="H549">
        <f t="shared" si="86"/>
        <v>-0.81476859999998874</v>
      </c>
      <c r="I549">
        <f t="shared" si="90"/>
        <v>-0.81476859999998874</v>
      </c>
      <c r="J549">
        <f t="shared" si="91"/>
        <v>-0.2592954707469794</v>
      </c>
      <c r="K549">
        <f t="shared" si="92"/>
        <v>-2.5000000000008349E-4</v>
      </c>
      <c r="L549">
        <f t="shared" si="93"/>
        <v>-1.1111111111095084E-4</v>
      </c>
      <c r="M549">
        <f t="shared" si="87"/>
        <v>-1.8055555555551717E-4</v>
      </c>
      <c r="N549">
        <f t="shared" si="88"/>
        <v>-2.8657766439769511E-4</v>
      </c>
      <c r="O549" s="3">
        <f t="shared" si="89"/>
        <v>-2.8657766439769512</v>
      </c>
      <c r="P549">
        <v>1094</v>
      </c>
    </row>
    <row r="550" spans="1:16" x14ac:dyDescent="0.25">
      <c r="A550">
        <v>548</v>
      </c>
      <c r="B550">
        <v>3.4192999999999998</v>
      </c>
      <c r="C550" s="3">
        <v>3.3658222222222229</v>
      </c>
      <c r="D550" s="8">
        <f t="shared" si="94"/>
        <v>-5.3477777777776847E-2</v>
      </c>
      <c r="E550" s="8">
        <f t="shared" si="85"/>
        <v>-5.332124183006437E-2</v>
      </c>
      <c r="F550" s="3">
        <v>15.172000000000001</v>
      </c>
      <c r="G550" s="9">
        <v>3135.1600000000003</v>
      </c>
      <c r="H550">
        <f t="shared" si="86"/>
        <v>-0.80898988104573666</v>
      </c>
      <c r="I550">
        <f t="shared" si="90"/>
        <v>-0.80898988104573666</v>
      </c>
      <c r="J550">
        <f t="shared" si="91"/>
        <v>-0.25803782934387287</v>
      </c>
      <c r="K550">
        <f t="shared" si="92"/>
        <v>-2.5000000000008349E-4</v>
      </c>
      <c r="L550">
        <f t="shared" si="93"/>
        <v>3.7581699348088193E-6</v>
      </c>
      <c r="M550">
        <f t="shared" si="87"/>
        <v>-1.2312091503263733E-4</v>
      </c>
      <c r="N550">
        <f t="shared" si="88"/>
        <v>-4.1822482617968155E-4</v>
      </c>
      <c r="O550" s="3">
        <f t="shared" si="89"/>
        <v>-4.1822482617968157</v>
      </c>
      <c r="P550">
        <v>1096</v>
      </c>
    </row>
    <row r="551" spans="1:16" x14ac:dyDescent="0.25">
      <c r="A551">
        <v>549</v>
      </c>
      <c r="B551">
        <v>3.4190999999999998</v>
      </c>
      <c r="C551" s="3">
        <v>3.3659352941176479</v>
      </c>
      <c r="D551" s="8">
        <f t="shared" si="94"/>
        <v>-5.3164705882351893E-2</v>
      </c>
      <c r="E551" s="8">
        <f t="shared" si="85"/>
        <v>-5.313235294117602E-2</v>
      </c>
      <c r="F551" s="3">
        <v>15.136000000000001</v>
      </c>
      <c r="G551" s="9">
        <v>3128.08</v>
      </c>
      <c r="H551">
        <f t="shared" si="86"/>
        <v>-0.80421129411764025</v>
      </c>
      <c r="I551">
        <f t="shared" si="90"/>
        <v>-0.80421129411764025</v>
      </c>
      <c r="J551">
        <f t="shared" si="91"/>
        <v>-0.25709422205239008</v>
      </c>
      <c r="K551">
        <f t="shared" si="92"/>
        <v>-1.4999999999987246E-4</v>
      </c>
      <c r="L551">
        <f t="shared" si="93"/>
        <v>3.8888888888477524E-5</v>
      </c>
      <c r="M551">
        <f t="shared" si="87"/>
        <v>-5.5555555555697467E-5</v>
      </c>
      <c r="N551">
        <f t="shared" si="88"/>
        <v>-9.2347062518582381E-4</v>
      </c>
      <c r="O551" s="3">
        <f t="shared" si="89"/>
        <v>-9.2347062518582383</v>
      </c>
      <c r="P551">
        <v>1098</v>
      </c>
    </row>
    <row r="552" spans="1:16" x14ac:dyDescent="0.25">
      <c r="A552">
        <v>550</v>
      </c>
      <c r="B552">
        <v>3.419</v>
      </c>
      <c r="C552" s="3">
        <v>3.3658999999999999</v>
      </c>
      <c r="D552" s="8">
        <f t="shared" si="94"/>
        <v>-5.3100000000000147E-2</v>
      </c>
      <c r="E552" s="8">
        <f t="shared" si="85"/>
        <v>-5.3202941176470953E-2</v>
      </c>
      <c r="F552" s="3">
        <v>15.1</v>
      </c>
      <c r="G552">
        <v>3121</v>
      </c>
      <c r="H552">
        <f t="shared" si="86"/>
        <v>-0.80336441176471141</v>
      </c>
      <c r="I552">
        <f t="shared" si="90"/>
        <v>-0.80336441176471141</v>
      </c>
      <c r="J552">
        <f t="shared" si="91"/>
        <v>-0.25740609156190686</v>
      </c>
      <c r="K552">
        <f t="shared" si="92"/>
        <v>-4.9999999999883471E-5</v>
      </c>
      <c r="L552">
        <f t="shared" si="93"/>
        <v>-1.2058823529481622E-4</v>
      </c>
      <c r="M552">
        <f t="shared" si="87"/>
        <v>-8.5294117647349843E-5</v>
      </c>
      <c r="N552">
        <f t="shared" si="88"/>
        <v>-6.0222392276300895E-4</v>
      </c>
      <c r="O552" s="3">
        <f t="shared" si="89"/>
        <v>-6.0222392276300898</v>
      </c>
      <c r="P552">
        <v>1100</v>
      </c>
    </row>
    <row r="553" spans="1:16" x14ac:dyDescent="0.25">
      <c r="A553">
        <v>551</v>
      </c>
      <c r="B553">
        <v>3.419</v>
      </c>
      <c r="C553" s="3">
        <v>3.3656941176470583</v>
      </c>
      <c r="D553" s="8">
        <f t="shared" si="94"/>
        <v>-5.3305882352941758E-2</v>
      </c>
      <c r="E553" s="8">
        <f t="shared" si="85"/>
        <v>-5.3270588235294403E-2</v>
      </c>
      <c r="F553" s="3">
        <v>15.075999999999999</v>
      </c>
      <c r="G553" s="9">
        <v>3113.24</v>
      </c>
      <c r="H553">
        <f t="shared" si="86"/>
        <v>-0.80310738823529837</v>
      </c>
      <c r="I553">
        <f t="shared" si="90"/>
        <v>-0.80310738823529837</v>
      </c>
      <c r="J553">
        <f t="shared" si="91"/>
        <v>-0.25796513864504456</v>
      </c>
      <c r="K553">
        <f t="shared" si="92"/>
        <v>-5.0000000000105516E-5</v>
      </c>
      <c r="L553">
        <f t="shared" si="93"/>
        <v>-1.1764705882355564E-4</v>
      </c>
      <c r="M553">
        <f t="shared" si="87"/>
        <v>-8.3823529411830577E-5</v>
      </c>
      <c r="N553">
        <f t="shared" si="88"/>
        <v>-6.1412014028398301E-4</v>
      </c>
      <c r="O553" s="3">
        <f t="shared" si="89"/>
        <v>-6.1412014028398296</v>
      </c>
      <c r="P553">
        <v>1102</v>
      </c>
    </row>
    <row r="554" spans="1:16" x14ac:dyDescent="0.25">
      <c r="A554">
        <v>552</v>
      </c>
      <c r="B554">
        <v>3.4188999999999998</v>
      </c>
      <c r="C554" s="3">
        <v>3.3656647058823528</v>
      </c>
      <c r="D554" s="8">
        <f t="shared" si="94"/>
        <v>-5.3235294117647047E-2</v>
      </c>
      <c r="E554" s="8">
        <f t="shared" si="85"/>
        <v>-5.3264705882352992E-2</v>
      </c>
      <c r="F554" s="3">
        <v>15.051999999999998</v>
      </c>
      <c r="G554" s="9">
        <v>3105.4799999999996</v>
      </c>
      <c r="H554">
        <f t="shared" si="86"/>
        <v>-0.80174035294117707</v>
      </c>
      <c r="I554">
        <f t="shared" si="90"/>
        <v>-0.80174035294117707</v>
      </c>
      <c r="J554">
        <f t="shared" si="91"/>
        <v>-0.2581695431756692</v>
      </c>
      <c r="K554">
        <f t="shared" si="92"/>
        <v>-9.9999999999988987E-5</v>
      </c>
      <c r="L554">
        <f t="shared" si="93"/>
        <v>-9.4117647058578058E-5</v>
      </c>
      <c r="M554">
        <f t="shared" si="87"/>
        <v>-9.7058823529283522E-5</v>
      </c>
      <c r="N554">
        <f t="shared" si="88"/>
        <v>-5.3079674063336621E-4</v>
      </c>
      <c r="O554" s="3">
        <f t="shared" si="89"/>
        <v>-5.3079674063336624</v>
      </c>
      <c r="P554">
        <v>1104</v>
      </c>
    </row>
    <row r="555" spans="1:16" x14ac:dyDescent="0.25">
      <c r="A555">
        <v>553</v>
      </c>
      <c r="B555">
        <v>3.4188000000000001</v>
      </c>
      <c r="C555" s="3">
        <v>3.3655058823529411</v>
      </c>
      <c r="D555" s="8">
        <f t="shared" si="94"/>
        <v>-5.3294117647058936E-2</v>
      </c>
      <c r="E555" s="8">
        <f t="shared" si="85"/>
        <v>-5.3341176470588447E-2</v>
      </c>
      <c r="F555" s="3">
        <v>15.027999999999997</v>
      </c>
      <c r="G555" s="9">
        <v>3097.72</v>
      </c>
      <c r="H555">
        <f t="shared" si="86"/>
        <v>-0.80161120000000297</v>
      </c>
      <c r="I555">
        <f t="shared" si="90"/>
        <v>-0.80161120000000297</v>
      </c>
      <c r="J555">
        <f t="shared" si="91"/>
        <v>-0.25877458259623304</v>
      </c>
      <c r="K555">
        <f t="shared" si="92"/>
        <v>-4.9999999999883471E-5</v>
      </c>
      <c r="L555">
        <f t="shared" si="93"/>
        <v>-1.2647058823533897E-4</v>
      </c>
      <c r="M555">
        <f t="shared" si="87"/>
        <v>-8.8235294117611218E-5</v>
      </c>
      <c r="N555">
        <f t="shared" si="88"/>
        <v>-5.8524477226183332E-4</v>
      </c>
      <c r="O555" s="3">
        <f t="shared" si="89"/>
        <v>-5.8524477226183329</v>
      </c>
      <c r="P555">
        <v>1106</v>
      </c>
    </row>
    <row r="556" spans="1:16" x14ac:dyDescent="0.25">
      <c r="A556">
        <v>554</v>
      </c>
      <c r="B556">
        <v>3.4188000000000001</v>
      </c>
      <c r="C556" s="3">
        <v>3.3654117647058821</v>
      </c>
      <c r="D556" s="8">
        <f t="shared" si="94"/>
        <v>-5.3388235294117958E-2</v>
      </c>
      <c r="E556" s="8">
        <f t="shared" si="85"/>
        <v>-5.3400000000000114E-2</v>
      </c>
      <c r="F556" s="3">
        <v>15.003999999999996</v>
      </c>
      <c r="G556" s="9">
        <v>3089.96</v>
      </c>
      <c r="H556">
        <f t="shared" si="86"/>
        <v>-0.80121360000000152</v>
      </c>
      <c r="I556">
        <f t="shared" si="90"/>
        <v>-0.80121360000000152</v>
      </c>
      <c r="J556">
        <f t="shared" si="91"/>
        <v>-0.2592957837641916</v>
      </c>
      <c r="K556">
        <f t="shared" si="92"/>
        <v>-5.0000000000105516E-5</v>
      </c>
      <c r="L556">
        <f t="shared" si="93"/>
        <v>-1.0882352941177231E-4</v>
      </c>
      <c r="M556">
        <f t="shared" si="87"/>
        <v>-7.9411764705938914E-5</v>
      </c>
      <c r="N556">
        <f t="shared" si="88"/>
        <v>-6.5158169019738268E-4</v>
      </c>
      <c r="O556" s="3">
        <f t="shared" si="89"/>
        <v>-6.5158169019738272</v>
      </c>
      <c r="P556">
        <v>1108</v>
      </c>
    </row>
    <row r="557" spans="1:16" x14ac:dyDescent="0.25">
      <c r="A557">
        <v>555</v>
      </c>
      <c r="B557">
        <v>3.4186999999999999</v>
      </c>
      <c r="C557" s="3">
        <v>3.3652882352941176</v>
      </c>
      <c r="D557" s="8">
        <f t="shared" si="94"/>
        <v>-5.341176470588227E-2</v>
      </c>
      <c r="E557" s="8">
        <f t="shared" si="85"/>
        <v>-5.3491176470587876E-2</v>
      </c>
      <c r="F557" s="3">
        <v>14.979999999999995</v>
      </c>
      <c r="G557" s="9">
        <v>3082.2</v>
      </c>
      <c r="H557">
        <f t="shared" si="86"/>
        <v>-0.80129782352940615</v>
      </c>
      <c r="I557">
        <f t="shared" si="90"/>
        <v>-0.80129782352940615</v>
      </c>
      <c r="J557">
        <f t="shared" si="91"/>
        <v>-0.25997593392038354</v>
      </c>
      <c r="K557">
        <f t="shared" si="92"/>
        <v>-5.0000000000105516E-5</v>
      </c>
      <c r="L557">
        <f t="shared" si="93"/>
        <v>-1.4117647058786709E-4</v>
      </c>
      <c r="M557">
        <f t="shared" si="87"/>
        <v>-9.5588235293986301E-5</v>
      </c>
      <c r="N557">
        <f t="shared" si="88"/>
        <v>-5.4273392237113086E-4</v>
      </c>
      <c r="O557" s="3">
        <f t="shared" si="89"/>
        <v>-5.4273392237113089</v>
      </c>
      <c r="P557">
        <v>1110</v>
      </c>
    </row>
    <row r="558" spans="1:16" x14ac:dyDescent="0.25">
      <c r="A558">
        <v>556</v>
      </c>
      <c r="B558">
        <v>3.4186999999999999</v>
      </c>
      <c r="C558" s="3">
        <v>3.3651294117647064</v>
      </c>
      <c r="D558" s="8">
        <f t="shared" si="94"/>
        <v>-5.3570588235293481E-2</v>
      </c>
      <c r="E558" s="8">
        <f t="shared" si="85"/>
        <v>-5.3514705882353075E-2</v>
      </c>
      <c r="F558" s="3">
        <v>14.955999999999994</v>
      </c>
      <c r="G558" s="9">
        <v>3074.4399999999996</v>
      </c>
      <c r="H558">
        <f t="shared" si="86"/>
        <v>-0.80036594117647231</v>
      </c>
      <c r="I558">
        <f t="shared" si="90"/>
        <v>-0.80036594117647231</v>
      </c>
      <c r="J558">
        <f t="shared" si="91"/>
        <v>-0.26032901639858719</v>
      </c>
      <c r="K558">
        <f t="shared" si="92"/>
        <v>-1.4999999999987246E-4</v>
      </c>
      <c r="L558">
        <f t="shared" si="93"/>
        <v>-1.7352941176507208E-4</v>
      </c>
      <c r="M558">
        <f t="shared" si="87"/>
        <v>-1.6176470588247227E-4</v>
      </c>
      <c r="N558">
        <f t="shared" si="88"/>
        <v>-3.2114197134946575E-4</v>
      </c>
      <c r="O558" s="3">
        <f t="shared" si="89"/>
        <v>-3.2114197134946574</v>
      </c>
      <c r="P558">
        <v>1112</v>
      </c>
    </row>
    <row r="559" spans="1:16" x14ac:dyDescent="0.25">
      <c r="A559">
        <v>557</v>
      </c>
      <c r="B559">
        <v>3.4184000000000001</v>
      </c>
      <c r="C559" s="3">
        <v>3.3649411764705874</v>
      </c>
      <c r="D559" s="8">
        <f t="shared" si="94"/>
        <v>-5.3458823529412669E-2</v>
      </c>
      <c r="E559" s="8">
        <f t="shared" si="85"/>
        <v>-5.3376470588235803E-2</v>
      </c>
      <c r="F559" s="3">
        <v>14.931999999999993</v>
      </c>
      <c r="G559" s="9">
        <v>3066.68</v>
      </c>
      <c r="H559">
        <f t="shared" si="86"/>
        <v>-0.7970174588235367</v>
      </c>
      <c r="I559">
        <f t="shared" si="90"/>
        <v>-0.7970174588235367</v>
      </c>
      <c r="J559">
        <f t="shared" si="91"/>
        <v>-0.2598958674604252</v>
      </c>
      <c r="K559">
        <f t="shared" si="92"/>
        <v>-2.9999999999996696E-4</v>
      </c>
      <c r="L559">
        <f t="shared" si="93"/>
        <v>-1.6176470588269432E-4</v>
      </c>
      <c r="M559">
        <f t="shared" si="87"/>
        <v>-2.3088235294133064E-4</v>
      </c>
      <c r="N559">
        <f t="shared" si="88"/>
        <v>-2.2462955574795404E-4</v>
      </c>
      <c r="O559" s="3">
        <f t="shared" si="89"/>
        <v>-2.2462955574795402</v>
      </c>
      <c r="P559">
        <v>1114</v>
      </c>
    </row>
    <row r="560" spans="1:16" x14ac:dyDescent="0.25">
      <c r="A560">
        <v>558</v>
      </c>
      <c r="B560">
        <v>3.4180999999999999</v>
      </c>
      <c r="C560" s="3">
        <v>3.364805882352941</v>
      </c>
      <c r="D560" s="8">
        <f t="shared" si="94"/>
        <v>-5.3294117647058936E-2</v>
      </c>
      <c r="E560" s="8">
        <f t="shared" si="85"/>
        <v>-5.3202941176470508E-2</v>
      </c>
      <c r="F560" s="3">
        <v>14.907999999999992</v>
      </c>
      <c r="G560" s="9">
        <v>3058.92</v>
      </c>
      <c r="H560">
        <f t="shared" si="86"/>
        <v>-0.79314944705882195</v>
      </c>
      <c r="I560">
        <f t="shared" si="90"/>
        <v>-0.79314944705882195</v>
      </c>
      <c r="J560">
        <f t="shared" si="91"/>
        <v>-0.25929068006316669</v>
      </c>
      <c r="K560">
        <f t="shared" si="92"/>
        <v>-3.5000000000007248E-4</v>
      </c>
      <c r="L560">
        <f t="shared" si="93"/>
        <v>-1.7647058823477835E-4</v>
      </c>
      <c r="M560">
        <f t="shared" si="87"/>
        <v>-2.6323529411742541E-4</v>
      </c>
      <c r="N560">
        <f t="shared" si="88"/>
        <v>-1.9656267440609215E-4</v>
      </c>
      <c r="O560" s="3">
        <f t="shared" si="89"/>
        <v>-1.9656267440609214</v>
      </c>
      <c r="P560">
        <v>1116</v>
      </c>
    </row>
    <row r="561" spans="1:16" x14ac:dyDescent="0.25">
      <c r="A561">
        <v>559</v>
      </c>
      <c r="B561">
        <v>3.4177</v>
      </c>
      <c r="C561" s="3">
        <v>3.3645882352941179</v>
      </c>
      <c r="D561" s="8">
        <f t="shared" si="94"/>
        <v>-5.3111764705882081E-2</v>
      </c>
      <c r="E561" s="8">
        <f t="shared" si="85"/>
        <v>-5.3041176470588258E-2</v>
      </c>
      <c r="F561" s="3">
        <v>14.883999999999991</v>
      </c>
      <c r="G561" s="9">
        <v>3051.16</v>
      </c>
      <c r="H561">
        <f t="shared" si="86"/>
        <v>-0.78946487058823522</v>
      </c>
      <c r="I561">
        <f t="shared" si="90"/>
        <v>-0.78946487058823522</v>
      </c>
      <c r="J561">
        <f t="shared" si="91"/>
        <v>-0.25874253417986448</v>
      </c>
      <c r="K561">
        <f t="shared" si="92"/>
        <v>-2.9999999999996696E-4</v>
      </c>
      <c r="L561">
        <f t="shared" si="93"/>
        <v>-1.3823529411771673E-4</v>
      </c>
      <c r="M561">
        <f t="shared" si="87"/>
        <v>-2.1911764705884185E-4</v>
      </c>
      <c r="N561">
        <f t="shared" si="88"/>
        <v>-2.3563984894278846E-4</v>
      </c>
      <c r="O561" s="3">
        <f t="shared" si="89"/>
        <v>-2.3563984894278844</v>
      </c>
      <c r="P561">
        <v>1118</v>
      </c>
    </row>
    <row r="562" spans="1:16" x14ac:dyDescent="0.25">
      <c r="A562">
        <v>560</v>
      </c>
      <c r="B562">
        <v>3.4175</v>
      </c>
      <c r="C562" s="3">
        <v>3.3645294117647055</v>
      </c>
      <c r="D562" s="8">
        <f t="shared" si="94"/>
        <v>-5.2970588235294436E-2</v>
      </c>
      <c r="E562" s="8">
        <f t="shared" si="85"/>
        <v>-5.2882352941176602E-2</v>
      </c>
      <c r="F562" s="3">
        <v>14.859999999999991</v>
      </c>
      <c r="G562" s="9">
        <v>3043.3999999999996</v>
      </c>
      <c r="H562">
        <f t="shared" si="86"/>
        <v>-0.78583176470588378</v>
      </c>
      <c r="I562">
        <f t="shared" si="90"/>
        <v>-0.78583176470588378</v>
      </c>
      <c r="J562">
        <f t="shared" si="91"/>
        <v>-0.25820850519349536</v>
      </c>
      <c r="K562">
        <f t="shared" si="92"/>
        <v>-2.5000000000008349E-4</v>
      </c>
      <c r="L562">
        <f t="shared" si="93"/>
        <v>-9.1176470588427705E-5</v>
      </c>
      <c r="M562">
        <f t="shared" si="87"/>
        <v>-1.705882352942556E-4</v>
      </c>
      <c r="N562">
        <f t="shared" si="88"/>
        <v>-3.0205061959733448E-4</v>
      </c>
      <c r="O562" s="3">
        <f t="shared" si="89"/>
        <v>-3.0205061959733448</v>
      </c>
      <c r="P562">
        <v>1120</v>
      </c>
    </row>
    <row r="563" spans="1:16" x14ac:dyDescent="0.25">
      <c r="A563">
        <v>561</v>
      </c>
      <c r="B563">
        <v>3.4171999999999998</v>
      </c>
      <c r="C563" s="3">
        <v>3.364405882352941</v>
      </c>
      <c r="D563" s="8">
        <f t="shared" si="94"/>
        <v>-5.2794117647058769E-2</v>
      </c>
      <c r="E563" s="8">
        <f t="shared" si="85"/>
        <v>-5.2682352941176624E-2</v>
      </c>
      <c r="F563" s="3">
        <v>14.835999999999993</v>
      </c>
      <c r="G563" s="9">
        <v>3035.64</v>
      </c>
      <c r="H563">
        <f t="shared" si="86"/>
        <v>-0.78159538823529606</v>
      </c>
      <c r="I563">
        <f t="shared" si="90"/>
        <v>-0.78159538823529606</v>
      </c>
      <c r="J563">
        <f t="shared" si="91"/>
        <v>-0.25747301664074002</v>
      </c>
      <c r="K563">
        <f t="shared" si="92"/>
        <v>-2.9999999999996696E-4</v>
      </c>
      <c r="L563">
        <f t="shared" si="93"/>
        <v>-9.9999999999988987E-5</v>
      </c>
      <c r="M563">
        <f t="shared" si="87"/>
        <v>-1.9999999999997797E-4</v>
      </c>
      <c r="N563">
        <f t="shared" si="88"/>
        <v>-2.5689756609272068E-4</v>
      </c>
      <c r="O563" s="3">
        <f t="shared" si="89"/>
        <v>-2.5689756609272068</v>
      </c>
      <c r="P563">
        <v>1122</v>
      </c>
    </row>
    <row r="564" spans="1:16" x14ac:dyDescent="0.25">
      <c r="A564">
        <v>562</v>
      </c>
      <c r="B564">
        <v>3.4169</v>
      </c>
      <c r="C564" s="3">
        <v>3.3643294117647056</v>
      </c>
      <c r="D564" s="8">
        <f t="shared" si="94"/>
        <v>-5.257058823529448E-2</v>
      </c>
      <c r="E564" s="8">
        <f t="shared" si="85"/>
        <v>-5.2600000000000202E-2</v>
      </c>
      <c r="F564" s="3">
        <v>14.811999999999994</v>
      </c>
      <c r="G564" s="9">
        <v>3027.88</v>
      </c>
      <c r="H564">
        <f t="shared" si="86"/>
        <v>-0.77911120000000267</v>
      </c>
      <c r="I564">
        <f t="shared" si="90"/>
        <v>-0.77911120000000267</v>
      </c>
      <c r="J564">
        <f t="shared" si="91"/>
        <v>-0.25731244302944722</v>
      </c>
      <c r="K564">
        <f t="shared" si="92"/>
        <v>-1.9999999999997797E-4</v>
      </c>
      <c r="L564">
        <f t="shared" si="93"/>
        <v>-1.1764705882355564E-4</v>
      </c>
      <c r="M564">
        <f t="shared" si="87"/>
        <v>-1.5882352941176681E-4</v>
      </c>
      <c r="N564">
        <f t="shared" si="88"/>
        <v>-3.2329888690078997E-4</v>
      </c>
      <c r="O564" s="3">
        <f t="shared" si="89"/>
        <v>-3.2329888690078996</v>
      </c>
      <c r="P564">
        <v>1124</v>
      </c>
    </row>
    <row r="565" spans="1:16" x14ac:dyDescent="0.25">
      <c r="A565">
        <v>563</v>
      </c>
      <c r="B565">
        <v>3.4167999999999998</v>
      </c>
      <c r="C565" s="3">
        <v>3.3641705882352939</v>
      </c>
      <c r="D565" s="8">
        <f t="shared" si="94"/>
        <v>-5.2629411764705925E-2</v>
      </c>
      <c r="E565" s="8">
        <f t="shared" si="85"/>
        <v>-5.2691176470588408E-2</v>
      </c>
      <c r="F565" s="3">
        <v>14.787999999999993</v>
      </c>
      <c r="G565" s="9">
        <v>3020.12</v>
      </c>
      <c r="H565">
        <f t="shared" si="86"/>
        <v>-0.77919711764706101</v>
      </c>
      <c r="I565">
        <f t="shared" si="90"/>
        <v>-0.77919711764706101</v>
      </c>
      <c r="J565">
        <f t="shared" si="91"/>
        <v>-0.25800203887496559</v>
      </c>
      <c r="K565">
        <f t="shared" si="92"/>
        <v>-5.0000000000105516E-5</v>
      </c>
      <c r="L565">
        <f t="shared" si="93"/>
        <v>-1.4117647058831118E-4</v>
      </c>
      <c r="M565">
        <f t="shared" si="87"/>
        <v>-9.5588235294208346E-5</v>
      </c>
      <c r="N565">
        <f t="shared" si="88"/>
        <v>-5.3861315709674985E-4</v>
      </c>
      <c r="O565" s="3">
        <f t="shared" si="89"/>
        <v>-5.3861315709674988</v>
      </c>
      <c r="P565">
        <v>1126</v>
      </c>
    </row>
    <row r="566" spans="1:16" x14ac:dyDescent="0.25">
      <c r="A566">
        <v>564</v>
      </c>
      <c r="B566">
        <v>3.4167999999999998</v>
      </c>
      <c r="C566" s="3">
        <v>3.3640470588235289</v>
      </c>
      <c r="D566" s="8">
        <f t="shared" si="94"/>
        <v>-5.2752941176470891E-2</v>
      </c>
      <c r="E566" s="8">
        <f t="shared" si="85"/>
        <v>-5.2623529411764514E-2</v>
      </c>
      <c r="F566" s="3">
        <v>14.763999999999992</v>
      </c>
      <c r="G566" s="9">
        <v>3012.3599999999997</v>
      </c>
      <c r="H566">
        <f t="shared" si="86"/>
        <v>-0.77693378823529091</v>
      </c>
      <c r="I566">
        <f t="shared" si="90"/>
        <v>-0.77693378823529091</v>
      </c>
      <c r="J566">
        <f t="shared" si="91"/>
        <v>-0.25791531830036618</v>
      </c>
      <c r="K566">
        <f t="shared" si="92"/>
        <v>-1.9999999999997797E-4</v>
      </c>
      <c r="L566">
        <f t="shared" si="93"/>
        <v>-1.3235294117608376E-4</v>
      </c>
      <c r="M566">
        <f t="shared" si="87"/>
        <v>-1.6617647058803087E-4</v>
      </c>
      <c r="N566">
        <f t="shared" si="88"/>
        <v>-3.0971758913920388E-4</v>
      </c>
      <c r="O566" s="3">
        <f t="shared" si="89"/>
        <v>-3.0971758913920389</v>
      </c>
      <c r="P566">
        <v>1128</v>
      </c>
    </row>
    <row r="567" spans="1:16" x14ac:dyDescent="0.25">
      <c r="A567">
        <v>565</v>
      </c>
      <c r="B567">
        <v>3.4163999999999999</v>
      </c>
      <c r="C567" s="3">
        <v>3.3639058823529417</v>
      </c>
      <c r="D567" s="8">
        <f t="shared" si="94"/>
        <v>-5.2494117647058136E-2</v>
      </c>
      <c r="E567" s="8">
        <f t="shared" si="85"/>
        <v>-5.2520588235293708E-2</v>
      </c>
      <c r="F567" s="3">
        <v>14.739999999999995</v>
      </c>
      <c r="G567" s="9">
        <v>3004.6</v>
      </c>
      <c r="H567">
        <f t="shared" si="86"/>
        <v>-0.77415347058822903</v>
      </c>
      <c r="I567">
        <f t="shared" si="90"/>
        <v>-0.77415347058822903</v>
      </c>
      <c r="J567">
        <f t="shared" si="91"/>
        <v>-0.25765608420030256</v>
      </c>
      <c r="K567">
        <f t="shared" si="92"/>
        <v>-2.4999999999986144E-4</v>
      </c>
      <c r="L567">
        <f t="shared" si="93"/>
        <v>-1.4705882352905597E-4</v>
      </c>
      <c r="M567">
        <f t="shared" si="87"/>
        <v>-1.9852941176445871E-4</v>
      </c>
      <c r="N567">
        <f t="shared" si="88"/>
        <v>-2.5898452245699095E-4</v>
      </c>
      <c r="O567" s="3">
        <f t="shared" si="89"/>
        <v>-2.5898452245699093</v>
      </c>
      <c r="P567">
        <v>1130</v>
      </c>
    </row>
    <row r="568" spans="1:16" x14ac:dyDescent="0.25">
      <c r="A568">
        <v>566</v>
      </c>
      <c r="B568">
        <v>3.4163000000000001</v>
      </c>
      <c r="C568" s="3">
        <v>3.3637529411764708</v>
      </c>
      <c r="D568" s="8">
        <f t="shared" si="94"/>
        <v>-5.254705882352928E-2</v>
      </c>
      <c r="E568" s="8">
        <f t="shared" si="85"/>
        <v>-5.2576470588235225E-2</v>
      </c>
      <c r="F568" s="3">
        <v>14.715999999999998</v>
      </c>
      <c r="G568" s="9">
        <v>2996.84</v>
      </c>
      <c r="H568">
        <f t="shared" si="86"/>
        <v>-0.77371534117646945</v>
      </c>
      <c r="I568">
        <f t="shared" si="90"/>
        <v>-0.77371534117646945</v>
      </c>
      <c r="J568">
        <f t="shared" si="91"/>
        <v>-0.25817706022893094</v>
      </c>
      <c r="K568">
        <f t="shared" si="92"/>
        <v>-9.9999999999988987E-5</v>
      </c>
      <c r="L568">
        <f t="shared" si="93"/>
        <v>-1.5588235294150543E-4</v>
      </c>
      <c r="M568">
        <f t="shared" si="87"/>
        <v>-1.2794117647074721E-4</v>
      </c>
      <c r="N568">
        <f t="shared" si="88"/>
        <v>-4.0268511397791913E-4</v>
      </c>
      <c r="O568" s="3">
        <f t="shared" si="89"/>
        <v>-4.0268511397791915</v>
      </c>
      <c r="P568">
        <v>1132</v>
      </c>
    </row>
    <row r="569" spans="1:16" x14ac:dyDescent="0.25">
      <c r="A569">
        <v>567</v>
      </c>
      <c r="B569">
        <v>3.4161999999999999</v>
      </c>
      <c r="C569" s="3">
        <v>3.3635941176470587</v>
      </c>
      <c r="D569" s="8">
        <f t="shared" si="94"/>
        <v>-5.2605882352941169E-2</v>
      </c>
      <c r="E569" s="8">
        <f t="shared" si="85"/>
        <v>-5.2638235294117708E-2</v>
      </c>
      <c r="F569" s="3">
        <v>14.691999999999997</v>
      </c>
      <c r="G569" s="9">
        <v>2989.08</v>
      </c>
      <c r="H569">
        <f t="shared" si="86"/>
        <v>-0.77336095294117724</v>
      </c>
      <c r="I569">
        <f t="shared" si="90"/>
        <v>-0.77336095294117724</v>
      </c>
      <c r="J569">
        <f t="shared" si="91"/>
        <v>-0.25872875698916636</v>
      </c>
      <c r="K569">
        <f t="shared" si="92"/>
        <v>-1.500000000000945E-4</v>
      </c>
      <c r="L569">
        <f t="shared" si="93"/>
        <v>-2.1176470588257779E-4</v>
      </c>
      <c r="M569">
        <f t="shared" si="87"/>
        <v>-1.8088235294133614E-4</v>
      </c>
      <c r="N569">
        <f t="shared" si="88"/>
        <v>-2.8543469904240165E-4</v>
      </c>
      <c r="O569" s="3">
        <f t="shared" si="89"/>
        <v>-2.8543469904240166</v>
      </c>
      <c r="P569">
        <v>1134</v>
      </c>
    </row>
    <row r="570" spans="1:16" x14ac:dyDescent="0.25">
      <c r="A570">
        <v>568</v>
      </c>
      <c r="B570">
        <v>3.4159999999999999</v>
      </c>
      <c r="C570" s="3">
        <v>3.3633294117647057</v>
      </c>
      <c r="D570" s="8">
        <f t="shared" si="94"/>
        <v>-5.2670588235294247E-2</v>
      </c>
      <c r="E570" s="8">
        <f t="shared" si="85"/>
        <v>-5.2641176470588302E-2</v>
      </c>
      <c r="F570" s="3">
        <v>14.667999999999996</v>
      </c>
      <c r="G570" s="9">
        <v>2981.3199999999997</v>
      </c>
      <c r="H570">
        <f t="shared" si="86"/>
        <v>-0.77214077647058899</v>
      </c>
      <c r="I570">
        <f t="shared" si="90"/>
        <v>-0.77214077647058899</v>
      </c>
      <c r="J570">
        <f t="shared" si="91"/>
        <v>-0.25899292141420216</v>
      </c>
      <c r="K570">
        <f t="shared" si="92"/>
        <v>-1.9999999999997797E-4</v>
      </c>
      <c r="L570">
        <f t="shared" si="93"/>
        <v>-2.0294117647057242E-4</v>
      </c>
      <c r="M570">
        <f t="shared" si="87"/>
        <v>-2.0147058823527519E-4</v>
      </c>
      <c r="N570">
        <f t="shared" si="88"/>
        <v>-2.5652783977273973E-4</v>
      </c>
      <c r="O570" s="3">
        <f t="shared" si="89"/>
        <v>-2.5652783977273974</v>
      </c>
      <c r="P570">
        <v>1136</v>
      </c>
    </row>
    <row r="571" spans="1:16" x14ac:dyDescent="0.25">
      <c r="A571">
        <v>569</v>
      </c>
      <c r="B571">
        <v>3.4157999999999999</v>
      </c>
      <c r="C571" s="3">
        <v>3.3631882352941176</v>
      </c>
      <c r="D571" s="8">
        <f t="shared" si="94"/>
        <v>-5.2611764705882358E-2</v>
      </c>
      <c r="E571" s="8">
        <f t="shared" si="85"/>
        <v>-5.2658823529411647E-2</v>
      </c>
      <c r="F571" s="3">
        <v>14.643999999999997</v>
      </c>
      <c r="G571" s="9">
        <v>2973.56</v>
      </c>
      <c r="H571">
        <f t="shared" si="86"/>
        <v>-0.77113581176470403</v>
      </c>
      <c r="I571">
        <f t="shared" si="90"/>
        <v>-0.77113581176470403</v>
      </c>
      <c r="J571">
        <f t="shared" si="91"/>
        <v>-0.25933083972232074</v>
      </c>
      <c r="K571">
        <f t="shared" si="92"/>
        <v>-9.9999999999988987E-5</v>
      </c>
      <c r="L571">
        <f t="shared" si="93"/>
        <v>-1.1764705882333359E-4</v>
      </c>
      <c r="M571">
        <f t="shared" si="87"/>
        <v>-1.0882352941166129E-4</v>
      </c>
      <c r="N571">
        <f t="shared" si="88"/>
        <v>-4.7554281385735328E-4</v>
      </c>
      <c r="O571" s="3">
        <f t="shared" si="89"/>
        <v>-4.7554281385735324</v>
      </c>
      <c r="P571">
        <v>1138</v>
      </c>
    </row>
    <row r="572" spans="1:16" x14ac:dyDescent="0.25">
      <c r="A572">
        <v>570</v>
      </c>
      <c r="B572">
        <v>3.4157999999999999</v>
      </c>
      <c r="C572" s="3">
        <v>3.363094117647059</v>
      </c>
      <c r="D572" s="8">
        <f t="shared" si="94"/>
        <v>-5.2705882352940936E-2</v>
      </c>
      <c r="E572" s="8">
        <f t="shared" si="85"/>
        <v>-5.2764705882352603E-2</v>
      </c>
      <c r="F572" s="3">
        <v>14.62</v>
      </c>
      <c r="G572" s="9">
        <v>2965.8</v>
      </c>
      <c r="H572">
        <f t="shared" si="86"/>
        <v>-0.771419999999995</v>
      </c>
      <c r="I572">
        <f t="shared" si="90"/>
        <v>-0.771419999999995</v>
      </c>
      <c r="J572">
        <f t="shared" si="91"/>
        <v>-0.26010519927169568</v>
      </c>
      <c r="K572">
        <f t="shared" si="92"/>
        <v>0</v>
      </c>
      <c r="L572">
        <f t="shared" si="93"/>
        <v>-1.0588235294095583E-4</v>
      </c>
      <c r="M572">
        <f t="shared" si="87"/>
        <v>-5.2941176470477913E-5</v>
      </c>
      <c r="N572">
        <f t="shared" si="88"/>
        <v>-9.8042349307064206E-4</v>
      </c>
      <c r="O572" s="3">
        <f t="shared" si="89"/>
        <v>-9.8042349307064214</v>
      </c>
      <c r="P572">
        <v>1140</v>
      </c>
    </row>
    <row r="573" spans="1:16" x14ac:dyDescent="0.25">
      <c r="A573">
        <v>571</v>
      </c>
      <c r="B573">
        <v>3.4157999999999999</v>
      </c>
      <c r="C573" s="3">
        <v>3.3629764705882357</v>
      </c>
      <c r="D573" s="8">
        <f t="shared" si="94"/>
        <v>-5.282352941176427E-2</v>
      </c>
      <c r="E573" s="8">
        <f t="shared" si="85"/>
        <v>-5.2817647058823081E-2</v>
      </c>
      <c r="F573" s="3">
        <v>14.595999999999998</v>
      </c>
      <c r="G573" s="9">
        <v>2958.04</v>
      </c>
      <c r="H573">
        <f t="shared" si="86"/>
        <v>-0.7709263764705816</v>
      </c>
      <c r="I573">
        <f t="shared" si="90"/>
        <v>-0.7709263764705816</v>
      </c>
      <c r="J573">
        <f t="shared" si="91"/>
        <v>-0.26062067330752176</v>
      </c>
      <c r="K573">
        <f t="shared" si="92"/>
        <v>-9.9999999999988987E-5</v>
      </c>
      <c r="L573">
        <f t="shared" si="93"/>
        <v>-1.529411764704669E-4</v>
      </c>
      <c r="M573">
        <f t="shared" si="87"/>
        <v>-1.2647058823522794E-4</v>
      </c>
      <c r="N573">
        <f t="shared" si="88"/>
        <v>-4.1122318065488548E-4</v>
      </c>
      <c r="O573" s="3">
        <f t="shared" si="89"/>
        <v>-4.1122318065488548</v>
      </c>
      <c r="P573">
        <v>1142</v>
      </c>
    </row>
    <row r="574" spans="1:16" x14ac:dyDescent="0.25">
      <c r="A574">
        <v>572</v>
      </c>
      <c r="B574">
        <v>3.4156</v>
      </c>
      <c r="C574" s="3">
        <v>3.3627882352941181</v>
      </c>
      <c r="D574" s="8">
        <f t="shared" si="94"/>
        <v>-5.2811764705881892E-2</v>
      </c>
      <c r="E574" s="8">
        <f t="shared" si="85"/>
        <v>-5.2811764705882114E-2</v>
      </c>
      <c r="F574" s="3">
        <v>14.571999999999997</v>
      </c>
      <c r="G574" s="9">
        <v>2950.2799999999997</v>
      </c>
      <c r="H574">
        <f t="shared" si="86"/>
        <v>-0.76957303529411403</v>
      </c>
      <c r="I574">
        <f t="shared" si="90"/>
        <v>-0.76957303529411403</v>
      </c>
      <c r="J574">
        <f t="shared" si="91"/>
        <v>-0.26084745695124334</v>
      </c>
      <c r="K574">
        <f t="shared" si="92"/>
        <v>-1.4999999999987246E-4</v>
      </c>
      <c r="L574">
        <f t="shared" si="93"/>
        <v>-1.4411764705890562E-4</v>
      </c>
      <c r="M574">
        <f t="shared" si="87"/>
        <v>-1.4705882352938904E-4</v>
      </c>
      <c r="N574">
        <f t="shared" si="88"/>
        <v>-3.5395967178893854E-4</v>
      </c>
      <c r="O574" s="3">
        <f t="shared" si="89"/>
        <v>-3.5395967178893852</v>
      </c>
      <c r="P574">
        <v>1144</v>
      </c>
    </row>
    <row r="575" spans="1:16" x14ac:dyDescent="0.25">
      <c r="A575">
        <v>573</v>
      </c>
      <c r="B575">
        <v>3.4155000000000002</v>
      </c>
      <c r="C575" s="3">
        <v>3.3626882352941179</v>
      </c>
      <c r="D575" s="8">
        <f t="shared" si="94"/>
        <v>-5.2811764705882336E-2</v>
      </c>
      <c r="E575" s="8">
        <f t="shared" si="85"/>
        <v>-5.2791176470588175E-2</v>
      </c>
      <c r="F575" s="3">
        <v>14.547999999999998</v>
      </c>
      <c r="G575" s="9">
        <v>2942.52</v>
      </c>
      <c r="H575">
        <f t="shared" si="86"/>
        <v>-0.76800603529411671</v>
      </c>
      <c r="I575">
        <f t="shared" si="90"/>
        <v>-0.76800603529411671</v>
      </c>
      <c r="J575">
        <f t="shared" si="91"/>
        <v>-0.26100282590912438</v>
      </c>
      <c r="K575">
        <f t="shared" si="92"/>
        <v>-1.500000000000945E-4</v>
      </c>
      <c r="L575">
        <f t="shared" si="93"/>
        <v>-1.2941176470615545E-4</v>
      </c>
      <c r="M575">
        <f t="shared" si="87"/>
        <v>-1.3970588235312498E-4</v>
      </c>
      <c r="N575">
        <f t="shared" si="88"/>
        <v>-3.7281105401368531E-4</v>
      </c>
      <c r="O575" s="3">
        <f t="shared" si="89"/>
        <v>-3.7281105401368531</v>
      </c>
      <c r="P575">
        <v>1146</v>
      </c>
    </row>
    <row r="576" spans="1:16" x14ac:dyDescent="0.25">
      <c r="A576">
        <v>574</v>
      </c>
      <c r="B576">
        <v>3.4152999999999998</v>
      </c>
      <c r="C576" s="3">
        <v>3.3625294117647058</v>
      </c>
      <c r="D576" s="8">
        <f t="shared" si="94"/>
        <v>-5.2770588235294014E-2</v>
      </c>
      <c r="E576" s="8">
        <f t="shared" si="85"/>
        <v>-5.2650000000000086E-2</v>
      </c>
      <c r="F576" s="3">
        <v>14.524000000000001</v>
      </c>
      <c r="G576" s="9">
        <v>2934.76</v>
      </c>
      <c r="H576">
        <f t="shared" si="86"/>
        <v>-0.76468860000000127</v>
      </c>
      <c r="I576">
        <f t="shared" si="90"/>
        <v>-0.76468860000000127</v>
      </c>
      <c r="J576">
        <f t="shared" si="91"/>
        <v>-0.26056256729681515</v>
      </c>
      <c r="K576">
        <f t="shared" si="92"/>
        <v>-2.5000000000008349E-4</v>
      </c>
      <c r="L576">
        <f t="shared" si="93"/>
        <v>-1.0882352941199436E-4</v>
      </c>
      <c r="M576">
        <f t="shared" si="87"/>
        <v>-1.7941176470603892E-4</v>
      </c>
      <c r="N576">
        <f t="shared" si="88"/>
        <v>-2.8981400639891184E-4</v>
      </c>
      <c r="O576" s="3">
        <f t="shared" si="89"/>
        <v>-2.8981400639891182</v>
      </c>
      <c r="P576">
        <v>1148</v>
      </c>
    </row>
    <row r="577" spans="1:16" x14ac:dyDescent="0.25">
      <c r="A577">
        <v>575</v>
      </c>
      <c r="B577">
        <v>3.415</v>
      </c>
      <c r="C577" s="3">
        <v>3.3624705882352939</v>
      </c>
      <c r="D577" s="8">
        <f t="shared" si="94"/>
        <v>-5.2529411764706158E-2</v>
      </c>
      <c r="E577" s="8">
        <f t="shared" si="85"/>
        <v>-5.2570588235294258E-2</v>
      </c>
      <c r="F577" s="3">
        <v>14.5</v>
      </c>
      <c r="G577">
        <v>2927</v>
      </c>
      <c r="H577">
        <f t="shared" si="86"/>
        <v>-0.76227352941176674</v>
      </c>
      <c r="I577">
        <f t="shared" si="90"/>
        <v>-0.76227352941176674</v>
      </c>
      <c r="J577">
        <f t="shared" si="91"/>
        <v>-0.26042826423360665</v>
      </c>
      <c r="K577">
        <f>(B578-B576)/(A578-A576)</f>
        <v>-1.4999999999987246E-4</v>
      </c>
      <c r="L577">
        <f>(C578-C576)/(A578-A576)</f>
        <v>-7.0588235294044566E-5</v>
      </c>
      <c r="M577">
        <f t="shared" si="87"/>
        <v>-1.1029411764695851E-4</v>
      </c>
      <c r="N577">
        <f>-J577/(M577*86400*58)</f>
        <v>-4.711877918236845E-4</v>
      </c>
      <c r="O577" s="3">
        <f t="shared" si="89"/>
        <v>-4.7118779182368451</v>
      </c>
      <c r="P577">
        <v>1150</v>
      </c>
    </row>
    <row r="578" spans="1:16" x14ac:dyDescent="0.25">
      <c r="A578">
        <v>576</v>
      </c>
      <c r="B578">
        <v>3.415</v>
      </c>
      <c r="C578" s="3">
        <v>3.3623882352941177</v>
      </c>
      <c r="D578" s="8">
        <f t="shared" si="94"/>
        <v>-5.2611764705882358E-2</v>
      </c>
      <c r="E578" s="8">
        <f t="shared" si="85"/>
        <v>-5.2564705882353513E-2</v>
      </c>
      <c r="F578" s="3">
        <v>14.468</v>
      </c>
      <c r="G578" s="9">
        <v>2925.48</v>
      </c>
      <c r="H578">
        <f t="shared" si="86"/>
        <v>-0.76050616470589061</v>
      </c>
      <c r="I578">
        <f t="shared" si="90"/>
        <v>-0.76050616470589061</v>
      </c>
      <c r="J578">
        <f t="shared" si="91"/>
        <v>-0.2599594475798469</v>
      </c>
      <c r="K578">
        <f t="shared" si="92"/>
        <v>-9.9999999999988987E-5</v>
      </c>
      <c r="L578">
        <f t="shared" si="93"/>
        <v>-9.4117647059244192E-5</v>
      </c>
      <c r="M578">
        <f t="shared" si="87"/>
        <v>-9.7058823529616589E-5</v>
      </c>
      <c r="N578">
        <f t="shared" si="88"/>
        <v>-5.3447678519486907E-4</v>
      </c>
      <c r="O578" s="3">
        <f t="shared" si="89"/>
        <v>-5.3447678519486903</v>
      </c>
      <c r="P578">
        <v>1152</v>
      </c>
    </row>
    <row r="579" spans="1:16" x14ac:dyDescent="0.25">
      <c r="A579">
        <v>577</v>
      </c>
      <c r="B579">
        <v>3.4148000000000001</v>
      </c>
      <c r="C579" s="3">
        <v>3.3622823529411754</v>
      </c>
      <c r="D579" s="8">
        <f t="shared" si="94"/>
        <v>-5.2517647058824668E-2</v>
      </c>
      <c r="E579" s="8">
        <f t="shared" si="85"/>
        <v>-5.2491176470588874E-2</v>
      </c>
      <c r="F579" s="3">
        <v>14.436000000000002</v>
      </c>
      <c r="G579" s="9">
        <v>2923.96</v>
      </c>
      <c r="H579">
        <f t="shared" si="86"/>
        <v>-0.75776262352942103</v>
      </c>
      <c r="I579">
        <f t="shared" si="90"/>
        <v>-0.75776262352942103</v>
      </c>
      <c r="J579">
        <f t="shared" si="91"/>
        <v>-0.25915628925478496</v>
      </c>
      <c r="K579">
        <f t="shared" si="92"/>
        <v>-1.500000000000945E-4</v>
      </c>
      <c r="L579">
        <f t="shared" si="93"/>
        <v>-7.6470588235455494E-5</v>
      </c>
      <c r="M579">
        <f t="shared" si="87"/>
        <v>-1.13235294117775E-4</v>
      </c>
      <c r="N579">
        <f t="shared" si="88"/>
        <v>-4.5670756387006006E-4</v>
      </c>
      <c r="O579" s="3">
        <f t="shared" si="89"/>
        <v>-4.5670756387006008</v>
      </c>
      <c r="P579">
        <v>1154</v>
      </c>
    </row>
    <row r="580" spans="1:16" x14ac:dyDescent="0.25">
      <c r="A580">
        <v>578</v>
      </c>
      <c r="B580">
        <v>3.4146999999999998</v>
      </c>
      <c r="C580" s="3">
        <v>3.3622352941176468</v>
      </c>
      <c r="D580" s="8">
        <f t="shared" si="94"/>
        <v>-5.246470588235308E-2</v>
      </c>
      <c r="E580" s="8">
        <f t="shared" ref="E580:E643" si="95">(D580+D581)/2</f>
        <v>-5.2420588235294163E-2</v>
      </c>
      <c r="F580" s="3">
        <v>14.404000000000002</v>
      </c>
      <c r="G580" s="9">
        <v>2922.44</v>
      </c>
      <c r="H580">
        <f t="shared" ref="H580:H643" si="96">E580*F580</f>
        <v>-0.75506615294117718</v>
      </c>
      <c r="I580">
        <f t="shared" si="90"/>
        <v>-0.75506615294117718</v>
      </c>
      <c r="J580">
        <f t="shared" si="91"/>
        <v>-0.25836840206853767</v>
      </c>
      <c r="K580">
        <f t="shared" si="92"/>
        <v>-1.500000000000945E-4</v>
      </c>
      <c r="L580">
        <f t="shared" si="93"/>
        <v>-7.9411764705383803E-5</v>
      </c>
      <c r="M580">
        <f t="shared" si="87"/>
        <v>-1.1470588235273915E-4</v>
      </c>
      <c r="N580">
        <f t="shared" si="88"/>
        <v>-4.4948165700347897E-4</v>
      </c>
      <c r="O580" s="3">
        <f t="shared" si="89"/>
        <v>-4.4948165700347893</v>
      </c>
      <c r="P580">
        <v>1156</v>
      </c>
    </row>
    <row r="581" spans="1:16" x14ac:dyDescent="0.25">
      <c r="A581">
        <v>579</v>
      </c>
      <c r="B581">
        <v>3.4144999999999999</v>
      </c>
      <c r="C581" s="3">
        <v>3.3621235294117646</v>
      </c>
      <c r="D581" s="8">
        <f t="shared" si="94"/>
        <v>-5.2376470588235247E-2</v>
      </c>
      <c r="E581" s="8">
        <f t="shared" si="95"/>
        <v>-5.2335294117647146E-2</v>
      </c>
      <c r="F581" s="3">
        <v>14.372000000000003</v>
      </c>
      <c r="G581" s="9">
        <v>2920.92</v>
      </c>
      <c r="H581">
        <f t="shared" si="96"/>
        <v>-0.75216284705882497</v>
      </c>
      <c r="I581">
        <f t="shared" si="90"/>
        <v>-0.75216284705882497</v>
      </c>
      <c r="J581">
        <f t="shared" si="91"/>
        <v>-0.25750888318023946</v>
      </c>
      <c r="K581">
        <f t="shared" si="92"/>
        <v>-1.4999999999987246E-4</v>
      </c>
      <c r="L581">
        <f t="shared" si="93"/>
        <v>-6.4705882352855681E-5</v>
      </c>
      <c r="M581">
        <f t="shared" ref="M581:M644" si="97">(K581+L581)/2</f>
        <v>-1.0735294117636407E-4</v>
      </c>
      <c r="N581">
        <f t="shared" ref="N581:N644" si="98">-J581/(M581*86400*58)</f>
        <v>-4.7867035528836394E-4</v>
      </c>
      <c r="O581" s="3">
        <f t="shared" ref="O581:O644" si="99">N581*10000</f>
        <v>-4.7867035528836395</v>
      </c>
      <c r="P581">
        <v>1158</v>
      </c>
    </row>
    <row r="582" spans="1:16" x14ac:dyDescent="0.25">
      <c r="A582">
        <v>580</v>
      </c>
      <c r="B582">
        <v>3.4144000000000001</v>
      </c>
      <c r="C582" s="3">
        <v>3.3621058823529411</v>
      </c>
      <c r="D582" s="8">
        <f t="shared" si="94"/>
        <v>-5.2294117647059046E-2</v>
      </c>
      <c r="E582" s="8">
        <f t="shared" si="95"/>
        <v>-5.2214705882352774E-2</v>
      </c>
      <c r="F582" s="3">
        <v>14.340000000000003</v>
      </c>
      <c r="G582" s="9">
        <v>2919.4</v>
      </c>
      <c r="H582">
        <f t="shared" si="96"/>
        <v>-0.74875888235293897</v>
      </c>
      <c r="I582">
        <f t="shared" si="90"/>
        <v>-0.74875888235293897</v>
      </c>
      <c r="J582">
        <f t="shared" si="91"/>
        <v>-0.25647697552679966</v>
      </c>
      <c r="K582">
        <f t="shared" si="92"/>
        <v>-1.4999999999987246E-4</v>
      </c>
      <c r="L582">
        <f t="shared" si="93"/>
        <v>-2.9411764705500332E-5</v>
      </c>
      <c r="M582">
        <f t="shared" si="97"/>
        <v>-8.9705882352686395E-5</v>
      </c>
      <c r="N582">
        <f t="shared" si="98"/>
        <v>-5.7053951070493603E-4</v>
      </c>
      <c r="O582" s="3">
        <f t="shared" si="99"/>
        <v>-5.7053951070493607</v>
      </c>
      <c r="P582">
        <v>1160</v>
      </c>
    </row>
    <row r="583" spans="1:16" x14ac:dyDescent="0.25">
      <c r="A583">
        <v>581</v>
      </c>
      <c r="B583">
        <v>3.4142000000000001</v>
      </c>
      <c r="C583" s="3">
        <v>3.3620647058823536</v>
      </c>
      <c r="D583" s="8">
        <f t="shared" si="94"/>
        <v>-5.2135294117646502E-2</v>
      </c>
      <c r="E583" s="8">
        <f t="shared" si="95"/>
        <v>-5.218529411764683E-2</v>
      </c>
      <c r="F583" s="3">
        <v>14.308000000000003</v>
      </c>
      <c r="G583" s="9">
        <v>2917.88</v>
      </c>
      <c r="H583">
        <f t="shared" si="96"/>
        <v>-0.74666718823529099</v>
      </c>
      <c r="I583">
        <f t="shared" si="90"/>
        <v>-0.74666718823529099</v>
      </c>
      <c r="J583">
        <f t="shared" si="91"/>
        <v>-0.25589372703308261</v>
      </c>
      <c r="K583">
        <f t="shared" si="92"/>
        <v>-9.9999999999988987E-5</v>
      </c>
      <c r="L583">
        <f t="shared" si="93"/>
        <v>-7.0588235294044566E-5</v>
      </c>
      <c r="M583">
        <f t="shared" si="97"/>
        <v>-8.5294117647016776E-5</v>
      </c>
      <c r="N583">
        <f t="shared" si="98"/>
        <v>-5.9868561450826681E-4</v>
      </c>
      <c r="O583" s="3">
        <f t="shared" si="99"/>
        <v>-5.9868561450826681</v>
      </c>
      <c r="P583">
        <v>1162</v>
      </c>
    </row>
    <row r="584" spans="1:16" x14ac:dyDescent="0.25">
      <c r="A584">
        <v>582</v>
      </c>
      <c r="B584">
        <v>3.4142000000000001</v>
      </c>
      <c r="C584" s="3">
        <v>3.361964705882353</v>
      </c>
      <c r="D584" s="8">
        <f t="shared" si="94"/>
        <v>-5.2235294117647157E-2</v>
      </c>
      <c r="E584" s="8">
        <f t="shared" si="95"/>
        <v>-5.2226470588235374E-2</v>
      </c>
      <c r="F584" s="3">
        <v>14.276000000000005</v>
      </c>
      <c r="G584" s="9">
        <v>2916.36</v>
      </c>
      <c r="H584">
        <f t="shared" si="96"/>
        <v>-0.74558509411764851</v>
      </c>
      <c r="I584">
        <f t="shared" si="90"/>
        <v>-0.74558509411764851</v>
      </c>
      <c r="J584">
        <f t="shared" si="91"/>
        <v>-0.25565605553417564</v>
      </c>
      <c r="K584">
        <f t="shared" si="92"/>
        <v>-5.0000000000105516E-5</v>
      </c>
      <c r="L584">
        <f t="shared" si="93"/>
        <v>-9.117647058864975E-5</v>
      </c>
      <c r="M584">
        <f t="shared" si="97"/>
        <v>-7.0588235294377633E-5</v>
      </c>
      <c r="N584">
        <f t="shared" si="98"/>
        <v>-7.2273988666470077E-4</v>
      </c>
      <c r="O584" s="3">
        <f t="shared" si="99"/>
        <v>-7.2273988666470075</v>
      </c>
      <c r="P584">
        <v>1164</v>
      </c>
    </row>
    <row r="585" spans="1:16" x14ac:dyDescent="0.25">
      <c r="A585">
        <v>583</v>
      </c>
      <c r="B585">
        <v>3.4140999999999999</v>
      </c>
      <c r="C585" s="3">
        <v>3.3618823529411763</v>
      </c>
      <c r="D585" s="8">
        <f t="shared" si="94"/>
        <v>-5.2217647058823591E-2</v>
      </c>
      <c r="E585" s="8">
        <f t="shared" si="95"/>
        <v>-5.2247058823529535E-2</v>
      </c>
      <c r="F585" s="3">
        <v>14.244000000000005</v>
      </c>
      <c r="G585" s="9">
        <v>2914.84</v>
      </c>
      <c r="H585">
        <f t="shared" si="96"/>
        <v>-0.74420710588235495</v>
      </c>
      <c r="I585">
        <f t="shared" si="90"/>
        <v>-0.74420710588235495</v>
      </c>
      <c r="J585">
        <f t="shared" si="91"/>
        <v>-0.25531662317051879</v>
      </c>
      <c r="K585">
        <f t="shared" si="92"/>
        <v>-9.9999999999988987E-5</v>
      </c>
      <c r="L585">
        <f t="shared" si="93"/>
        <v>-1.2058823529415008E-4</v>
      </c>
      <c r="M585">
        <f t="shared" si="97"/>
        <v>-1.1029411764706953E-4</v>
      </c>
      <c r="N585">
        <f t="shared" si="98"/>
        <v>-4.6193939909518921E-4</v>
      </c>
      <c r="O585" s="3">
        <f t="shared" si="99"/>
        <v>-4.6193939909518917</v>
      </c>
      <c r="P585">
        <v>1166</v>
      </c>
    </row>
    <row r="586" spans="1:16" x14ac:dyDescent="0.25">
      <c r="A586">
        <v>584</v>
      </c>
      <c r="B586">
        <v>3.4140000000000001</v>
      </c>
      <c r="C586" s="3">
        <v>3.3617235294117647</v>
      </c>
      <c r="D586" s="8">
        <f t="shared" si="94"/>
        <v>-5.227647058823548E-2</v>
      </c>
      <c r="E586" s="8">
        <f t="shared" si="95"/>
        <v>-5.2288235294117635E-2</v>
      </c>
      <c r="F586" s="3">
        <v>14.212000000000007</v>
      </c>
      <c r="G586" s="9">
        <v>2913.32</v>
      </c>
      <c r="H586">
        <f t="shared" si="96"/>
        <v>-0.74312040000000024</v>
      </c>
      <c r="I586">
        <f t="shared" si="90"/>
        <v>-0.74312040000000024</v>
      </c>
      <c r="J586">
        <f t="shared" si="91"/>
        <v>-0.255076819573545</v>
      </c>
      <c r="K586">
        <f t="shared" si="92"/>
        <v>-9.9999999999988987E-5</v>
      </c>
      <c r="L586">
        <f t="shared" si="93"/>
        <v>-1.4117647058808913E-4</v>
      </c>
      <c r="M586">
        <f t="shared" si="97"/>
        <v>-1.2058823529403906E-4</v>
      </c>
      <c r="N586">
        <f t="shared" si="98"/>
        <v>-4.221087138228019E-4</v>
      </c>
      <c r="O586" s="3">
        <f t="shared" si="99"/>
        <v>-4.2210871382280191</v>
      </c>
      <c r="P586">
        <v>1168</v>
      </c>
    </row>
    <row r="587" spans="1:16" x14ac:dyDescent="0.25">
      <c r="A587">
        <v>585</v>
      </c>
      <c r="B587">
        <v>3.4138999999999999</v>
      </c>
      <c r="C587" s="3">
        <v>3.3616000000000001</v>
      </c>
      <c r="D587" s="8">
        <f t="shared" si="94"/>
        <v>-5.2299999999999791E-2</v>
      </c>
      <c r="E587" s="8">
        <f t="shared" si="95"/>
        <v>-5.1870588235293669E-2</v>
      </c>
      <c r="F587" s="3">
        <v>14.180000000000007</v>
      </c>
      <c r="G587" s="9">
        <v>2911.8</v>
      </c>
      <c r="H587">
        <f t="shared" si="96"/>
        <v>-0.73552494117646461</v>
      </c>
      <c r="I587">
        <f t="shared" si="90"/>
        <v>-0.73552494117646461</v>
      </c>
      <c r="J587">
        <f t="shared" si="91"/>
        <v>-0.252601463416603</v>
      </c>
      <c r="K587">
        <f t="shared" si="92"/>
        <v>-5.0000000000016698E-4</v>
      </c>
      <c r="L587">
        <f t="shared" si="93"/>
        <v>-8.2352941176200289E-5</v>
      </c>
      <c r="M587">
        <f t="shared" si="97"/>
        <v>-2.9117647058818363E-4</v>
      </c>
      <c r="N587">
        <f t="shared" si="98"/>
        <v>-1.7311625506675199E-4</v>
      </c>
      <c r="O587" s="3">
        <f t="shared" si="99"/>
        <v>-1.7311625506675199</v>
      </c>
      <c r="P587">
        <v>1170</v>
      </c>
    </row>
    <row r="588" spans="1:16" x14ac:dyDescent="0.25">
      <c r="A588">
        <v>586</v>
      </c>
      <c r="B588">
        <v>3.4129999999999998</v>
      </c>
      <c r="C588" s="3">
        <v>3.3615588235294123</v>
      </c>
      <c r="D588" s="8">
        <f t="shared" si="94"/>
        <v>-5.1441176470587546E-2</v>
      </c>
      <c r="E588" s="8">
        <f t="shared" si="95"/>
        <v>-5.1438235294117174E-2</v>
      </c>
      <c r="F588" s="3">
        <v>14.148000000000007</v>
      </c>
      <c r="G588" s="9">
        <v>2910.28</v>
      </c>
      <c r="H588">
        <f t="shared" si="96"/>
        <v>-0.72774815294117012</v>
      </c>
      <c r="I588">
        <f t="shared" si="90"/>
        <v>-0.72774815294117012</v>
      </c>
      <c r="J588">
        <f t="shared" si="91"/>
        <v>-0.25006121505187473</v>
      </c>
      <c r="K588">
        <f t="shared" si="92"/>
        <v>-4.9999999999994493E-4</v>
      </c>
      <c r="L588">
        <f t="shared" si="93"/>
        <v>-6.7647058823450124E-5</v>
      </c>
      <c r="M588">
        <f t="shared" si="97"/>
        <v>-2.8382352941169753E-4</v>
      </c>
      <c r="N588">
        <f t="shared" si="98"/>
        <v>-1.758151132502728E-4</v>
      </c>
      <c r="O588" s="3">
        <f t="shared" si="99"/>
        <v>-1.7581511325027281</v>
      </c>
      <c r="P588">
        <v>1172</v>
      </c>
    </row>
    <row r="589" spans="1:16" x14ac:dyDescent="0.25">
      <c r="A589">
        <v>587</v>
      </c>
      <c r="B589">
        <v>3.4129</v>
      </c>
      <c r="C589" s="3">
        <v>3.3614647058823532</v>
      </c>
      <c r="D589" s="8">
        <f t="shared" si="94"/>
        <v>-5.1435294117646801E-2</v>
      </c>
      <c r="E589" s="8">
        <f t="shared" si="95"/>
        <v>-5.1411764705882268E-2</v>
      </c>
      <c r="F589" s="3">
        <v>14.116000000000009</v>
      </c>
      <c r="G589" s="9">
        <v>2908.76</v>
      </c>
      <c r="H589">
        <f t="shared" si="96"/>
        <v>-0.72572847058823453</v>
      </c>
      <c r="I589">
        <f t="shared" si="90"/>
        <v>-0.72572847058823453</v>
      </c>
      <c r="J589">
        <f t="shared" si="91"/>
        <v>-0.24949754211012062</v>
      </c>
      <c r="K589">
        <f t="shared" si="92"/>
        <v>-1.4999999999987246E-4</v>
      </c>
      <c r="L589">
        <f t="shared" si="93"/>
        <v>-1.2352941176496657E-4</v>
      </c>
      <c r="M589">
        <f t="shared" si="97"/>
        <v>-1.3676470588241951E-4</v>
      </c>
      <c r="N589">
        <f t="shared" si="98"/>
        <v>-3.6404116850255312E-4</v>
      </c>
      <c r="O589" s="3">
        <f t="shared" si="99"/>
        <v>-3.6404116850255313</v>
      </c>
      <c r="P589">
        <v>1174</v>
      </c>
    </row>
    <row r="590" spans="1:16" x14ac:dyDescent="0.25">
      <c r="A590">
        <v>588</v>
      </c>
      <c r="B590">
        <v>3.4127000000000001</v>
      </c>
      <c r="C590" s="3">
        <v>3.3613117647058823</v>
      </c>
      <c r="D590" s="8">
        <f t="shared" si="94"/>
        <v>-5.1388235294117734E-2</v>
      </c>
      <c r="E590" s="8">
        <f t="shared" si="95"/>
        <v>-5.139999999999989E-2</v>
      </c>
      <c r="F590" s="3">
        <v>14.084000000000009</v>
      </c>
      <c r="G590" s="9">
        <v>2907.2400000000002</v>
      </c>
      <c r="H590">
        <f t="shared" si="96"/>
        <v>-0.72391759999999894</v>
      </c>
      <c r="I590">
        <f t="shared" si="90"/>
        <v>-0.72391759999999894</v>
      </c>
      <c r="J590">
        <f t="shared" si="91"/>
        <v>-0.24900510449773633</v>
      </c>
      <c r="K590">
        <f t="shared" si="92"/>
        <v>-1.500000000000945E-4</v>
      </c>
      <c r="L590">
        <f t="shared" si="93"/>
        <v>-1.3823529411771673E-4</v>
      </c>
      <c r="M590">
        <f t="shared" si="97"/>
        <v>-1.4411764705890562E-4</v>
      </c>
      <c r="N590">
        <f t="shared" si="98"/>
        <v>-3.4478578404448376E-4</v>
      </c>
      <c r="O590" s="3">
        <f t="shared" si="99"/>
        <v>-3.4478578404448377</v>
      </c>
      <c r="P590">
        <v>1176</v>
      </c>
    </row>
    <row r="591" spans="1:16" x14ac:dyDescent="0.25">
      <c r="A591">
        <v>589</v>
      </c>
      <c r="B591">
        <v>3.4125999999999999</v>
      </c>
      <c r="C591" s="3">
        <v>3.3611882352941178</v>
      </c>
      <c r="D591" s="8">
        <f t="shared" si="94"/>
        <v>-5.1411764705882046E-2</v>
      </c>
      <c r="E591" s="8">
        <f t="shared" si="95"/>
        <v>-5.138529411764714E-2</v>
      </c>
      <c r="F591" s="3">
        <v>14.05200000000001</v>
      </c>
      <c r="G591" s="9">
        <v>2905.7200000000003</v>
      </c>
      <c r="H591">
        <f t="shared" si="96"/>
        <v>-0.72206615294117815</v>
      </c>
      <c r="I591">
        <f t="shared" si="90"/>
        <v>-0.72206615294117815</v>
      </c>
      <c r="J591">
        <f t="shared" si="91"/>
        <v>-0.2484981873481196</v>
      </c>
      <c r="K591">
        <f t="shared" si="92"/>
        <v>-1.9999999999997797E-4</v>
      </c>
      <c r="L591">
        <f t="shared" si="93"/>
        <v>-1.8529411764722781E-4</v>
      </c>
      <c r="M591">
        <f t="shared" si="97"/>
        <v>-1.9264705882360289E-4</v>
      </c>
      <c r="N591">
        <f t="shared" si="98"/>
        <v>-2.5740626096270593E-4</v>
      </c>
      <c r="O591" s="3">
        <f t="shared" si="99"/>
        <v>-2.5740626096270591</v>
      </c>
      <c r="P591">
        <v>1178</v>
      </c>
    </row>
    <row r="592" spans="1:16" x14ac:dyDescent="0.25">
      <c r="A592">
        <v>590</v>
      </c>
      <c r="B592">
        <v>3.4123000000000001</v>
      </c>
      <c r="C592" s="3">
        <v>3.3609411764705879</v>
      </c>
      <c r="D592" s="8">
        <f t="shared" si="94"/>
        <v>-5.1358823529412234E-2</v>
      </c>
      <c r="E592" s="8">
        <f t="shared" si="95"/>
        <v>-5.0504411764706214E-2</v>
      </c>
      <c r="F592" s="3">
        <v>14.020000000000007</v>
      </c>
      <c r="G592" s="9">
        <v>2904.2000000000003</v>
      </c>
      <c r="H592">
        <f t="shared" si="96"/>
        <v>-0.70807185294118147</v>
      </c>
      <c r="I592">
        <f t="shared" si="90"/>
        <v>-0.70807185294118147</v>
      </c>
      <c r="J592">
        <f t="shared" si="91"/>
        <v>-0.24380960434583757</v>
      </c>
      <c r="K592">
        <f t="shared" si="92"/>
        <v>-3.9999999999995595E-4</v>
      </c>
      <c r="L592">
        <f t="shared" si="93"/>
        <v>4.8088235294097004E-4</v>
      </c>
      <c r="M592">
        <f t="shared" si="97"/>
        <v>4.0441176470507045E-5</v>
      </c>
      <c r="N592">
        <f t="shared" si="98"/>
        <v>1.2030544740182164E-3</v>
      </c>
      <c r="O592" s="3">
        <f t="shared" si="99"/>
        <v>12.030544740182165</v>
      </c>
      <c r="P592">
        <v>1180</v>
      </c>
    </row>
    <row r="593" spans="1:16" x14ac:dyDescent="0.25">
      <c r="A593">
        <v>591</v>
      </c>
      <c r="B593">
        <v>3.4117999999999999</v>
      </c>
      <c r="C593" s="3">
        <v>3.3621499999999997</v>
      </c>
      <c r="D593" s="8">
        <f t="shared" si="94"/>
        <v>-4.9650000000000194E-2</v>
      </c>
      <c r="E593" s="8">
        <f t="shared" si="95"/>
        <v>-4.9637500000000223E-2</v>
      </c>
      <c r="F593" s="3">
        <v>13.988000000000005</v>
      </c>
      <c r="G593" s="9">
        <v>2902.6800000000003</v>
      </c>
      <c r="H593">
        <f t="shared" si="96"/>
        <v>-0.6943293500000034</v>
      </c>
      <c r="I593">
        <f t="shared" si="90"/>
        <v>-0.6943293500000034</v>
      </c>
      <c r="J593">
        <f t="shared" si="91"/>
        <v>-0.23920285735940694</v>
      </c>
      <c r="K593">
        <f t="shared" si="92"/>
        <v>-2.9999999999996696E-4</v>
      </c>
      <c r="L593">
        <f t="shared" si="93"/>
        <v>5.66911764706024E-4</v>
      </c>
      <c r="M593">
        <f t="shared" si="97"/>
        <v>1.3345588235302852E-4</v>
      </c>
      <c r="N593">
        <f t="shared" si="98"/>
        <v>3.57673616617873E-4</v>
      </c>
      <c r="O593" s="3">
        <f t="shared" si="99"/>
        <v>3.5767361661787298</v>
      </c>
      <c r="P593">
        <v>1182</v>
      </c>
    </row>
    <row r="594" spans="1:16" x14ac:dyDescent="0.25">
      <c r="A594">
        <v>592</v>
      </c>
      <c r="B594">
        <v>3.4117000000000002</v>
      </c>
      <c r="C594" s="3">
        <v>3.3620749999999999</v>
      </c>
      <c r="D594" s="8">
        <f t="shared" si="94"/>
        <v>-4.9625000000000252E-2</v>
      </c>
      <c r="E594" s="8">
        <f t="shared" si="95"/>
        <v>-4.9487500000000129E-2</v>
      </c>
      <c r="F594" s="3">
        <v>13.956000000000007</v>
      </c>
      <c r="G594" s="9">
        <v>2901.1600000000003</v>
      </c>
      <c r="H594">
        <f t="shared" si="96"/>
        <v>-0.69064755000000211</v>
      </c>
      <c r="I594">
        <f t="shared" si="90"/>
        <v>-0.69064755000000211</v>
      </c>
      <c r="J594">
        <f t="shared" si="91"/>
        <v>-0.23805910394462976</v>
      </c>
      <c r="K594">
        <f t="shared" si="92"/>
        <v>-1.9999999999997797E-4</v>
      </c>
      <c r="L594">
        <f t="shared" si="93"/>
        <v>-4.9999999999883471E-5</v>
      </c>
      <c r="M594">
        <f t="shared" si="97"/>
        <v>-1.2499999999993072E-4</v>
      </c>
      <c r="N594">
        <f t="shared" si="98"/>
        <v>-3.8004326938818916E-4</v>
      </c>
      <c r="O594" s="3">
        <f t="shared" si="99"/>
        <v>-3.8004326938818918</v>
      </c>
      <c r="P594">
        <v>1184</v>
      </c>
    </row>
    <row r="595" spans="1:16" x14ac:dyDescent="0.25">
      <c r="A595">
        <v>593</v>
      </c>
      <c r="B595">
        <v>3.4114</v>
      </c>
      <c r="C595" s="3">
        <v>3.36205</v>
      </c>
      <c r="D595" s="8">
        <f t="shared" si="94"/>
        <v>-4.9350000000000005E-2</v>
      </c>
      <c r="E595" s="8">
        <f t="shared" si="95"/>
        <v>-4.9231250000000282E-2</v>
      </c>
      <c r="F595" s="3">
        <v>13.924000000000007</v>
      </c>
      <c r="G595" s="9">
        <v>2899.6400000000003</v>
      </c>
      <c r="H595">
        <f t="shared" si="96"/>
        <v>-0.68549592500000422</v>
      </c>
      <c r="I595">
        <f t="shared" si="90"/>
        <v>-0.68549592500000422</v>
      </c>
      <c r="J595">
        <f t="shared" si="91"/>
        <v>-0.23640725227959475</v>
      </c>
      <c r="K595">
        <f t="shared" si="92"/>
        <v>-3.5000000000007248E-4</v>
      </c>
      <c r="L595">
        <f t="shared" si="93"/>
        <v>-9.3750000000225597E-5</v>
      </c>
      <c r="M595">
        <f t="shared" si="97"/>
        <v>-2.2187500000014904E-4</v>
      </c>
      <c r="N595">
        <f t="shared" si="98"/>
        <v>-2.1262321900188509E-4</v>
      </c>
      <c r="O595" s="3">
        <f t="shared" si="99"/>
        <v>-2.1262321900188508</v>
      </c>
      <c r="P595">
        <v>1186</v>
      </c>
    </row>
    <row r="596" spans="1:16" x14ac:dyDescent="0.25">
      <c r="A596">
        <v>594</v>
      </c>
      <c r="B596">
        <v>3.411</v>
      </c>
      <c r="C596" s="3">
        <v>3.3618874999999995</v>
      </c>
      <c r="D596" s="8">
        <f t="shared" si="94"/>
        <v>-4.9112500000000558E-2</v>
      </c>
      <c r="E596" s="8">
        <f t="shared" si="95"/>
        <v>-4.9018749999999889E-2</v>
      </c>
      <c r="F596" s="3">
        <v>13.892000000000005</v>
      </c>
      <c r="G596" s="9">
        <v>2898.1200000000003</v>
      </c>
      <c r="H596">
        <f t="shared" si="96"/>
        <v>-0.68096847499999869</v>
      </c>
      <c r="I596">
        <f t="shared" si="90"/>
        <v>-0.68096847499999869</v>
      </c>
      <c r="J596">
        <f t="shared" si="91"/>
        <v>-0.23496904027438431</v>
      </c>
      <c r="K596">
        <f t="shared" si="92"/>
        <v>-3.5000000000007248E-4</v>
      </c>
      <c r="L596">
        <f t="shared" si="93"/>
        <v>-1.3749999999967955E-4</v>
      </c>
      <c r="M596">
        <f t="shared" si="97"/>
        <v>-2.4374999999987601E-4</v>
      </c>
      <c r="N596">
        <f t="shared" si="98"/>
        <v>-1.9236421412917432E-4</v>
      </c>
      <c r="O596" s="3">
        <f t="shared" si="99"/>
        <v>-1.923642141291743</v>
      </c>
      <c r="P596">
        <v>1188</v>
      </c>
    </row>
    <row r="597" spans="1:16" x14ac:dyDescent="0.25">
      <c r="A597">
        <v>595</v>
      </c>
      <c r="B597">
        <v>3.4106999999999998</v>
      </c>
      <c r="C597" s="3">
        <v>3.3617750000000006</v>
      </c>
      <c r="D597" s="8">
        <f t="shared" si="94"/>
        <v>-4.8924999999999219E-2</v>
      </c>
      <c r="E597" s="8">
        <f t="shared" si="95"/>
        <v>-4.893437499999953E-2</v>
      </c>
      <c r="F597" s="3">
        <v>13.860000000000003</v>
      </c>
      <c r="G597" s="9">
        <v>2896.6000000000004</v>
      </c>
      <c r="H597">
        <f t="shared" si="96"/>
        <v>-0.67823043749999368</v>
      </c>
      <c r="I597">
        <f t="shared" si="90"/>
        <v>-0.67823043749999368</v>
      </c>
      <c r="J597">
        <f t="shared" si="91"/>
        <v>-0.23414708192363237</v>
      </c>
      <c r="K597">
        <f t="shared" si="92"/>
        <v>-1.9999999999997797E-4</v>
      </c>
      <c r="L597">
        <f t="shared" si="93"/>
        <v>-1.156249999996195E-4</v>
      </c>
      <c r="M597">
        <f t="shared" si="97"/>
        <v>-1.5781249999979874E-4</v>
      </c>
      <c r="N597">
        <f t="shared" si="98"/>
        <v>-2.9607764238070256E-4</v>
      </c>
      <c r="O597" s="3">
        <f t="shared" si="99"/>
        <v>-2.9607764238070255</v>
      </c>
      <c r="P597">
        <v>1190</v>
      </c>
    </row>
    <row r="598" spans="1:16" x14ac:dyDescent="0.25">
      <c r="A598">
        <v>596</v>
      </c>
      <c r="B598">
        <v>3.4106000000000001</v>
      </c>
      <c r="C598" s="3">
        <v>3.3616562500000002</v>
      </c>
      <c r="D598" s="8">
        <f t="shared" si="94"/>
        <v>-4.8943749999999842E-2</v>
      </c>
      <c r="E598" s="8">
        <f t="shared" si="95"/>
        <v>-4.8837500000000089E-2</v>
      </c>
      <c r="F598" s="3">
        <v>13.828000000000003</v>
      </c>
      <c r="G598" s="9">
        <v>2895.0800000000004</v>
      </c>
      <c r="H598">
        <f t="shared" si="96"/>
        <v>-0.67532495000000137</v>
      </c>
      <c r="I598">
        <f t="shared" si="90"/>
        <v>-0.67532495000000137</v>
      </c>
      <c r="J598">
        <f t="shared" si="91"/>
        <v>-0.23326642096246089</v>
      </c>
      <c r="K598">
        <f t="shared" si="92"/>
        <v>-2.4999999999986144E-4</v>
      </c>
      <c r="L598">
        <f t="shared" si="93"/>
        <v>-1.5312500000042029E-4</v>
      </c>
      <c r="M598">
        <f t="shared" si="97"/>
        <v>-2.0156250000014087E-4</v>
      </c>
      <c r="N598">
        <f t="shared" si="98"/>
        <v>-2.3094084663666662E-4</v>
      </c>
      <c r="O598" s="3">
        <f t="shared" si="99"/>
        <v>-2.3094084663666661</v>
      </c>
      <c r="P598">
        <v>1192</v>
      </c>
    </row>
    <row r="599" spans="1:16" x14ac:dyDescent="0.25">
      <c r="A599">
        <v>597</v>
      </c>
      <c r="B599">
        <v>3.4102000000000001</v>
      </c>
      <c r="C599" s="3">
        <v>3.3614687499999998</v>
      </c>
      <c r="D599" s="8">
        <f t="shared" si="94"/>
        <v>-4.8731250000000337E-2</v>
      </c>
      <c r="E599" s="8">
        <f t="shared" si="95"/>
        <v>-4.8796875000000073E-2</v>
      </c>
      <c r="F599" s="3">
        <v>13.796000000000003</v>
      </c>
      <c r="G599" s="9">
        <v>2893.5600000000004</v>
      </c>
      <c r="H599">
        <f t="shared" si="96"/>
        <v>-0.6732016875000012</v>
      </c>
      <c r="I599">
        <f t="shared" si="90"/>
        <v>-0.6732016875000012</v>
      </c>
      <c r="J599">
        <f t="shared" si="91"/>
        <v>-0.23265516785551402</v>
      </c>
      <c r="K599">
        <f t="shared" si="92"/>
        <v>-1.9999999999997797E-4</v>
      </c>
      <c r="L599">
        <f t="shared" si="93"/>
        <v>-1.5937499999996163E-4</v>
      </c>
      <c r="M599">
        <f t="shared" si="97"/>
        <v>-1.796874999999698E-4</v>
      </c>
      <c r="N599">
        <f t="shared" si="98"/>
        <v>-2.5837655378483331E-4</v>
      </c>
      <c r="O599" s="3">
        <f t="shared" si="99"/>
        <v>-2.5837655378483331</v>
      </c>
      <c r="P599">
        <v>1194</v>
      </c>
    </row>
    <row r="600" spans="1:16" x14ac:dyDescent="0.25">
      <c r="A600">
        <v>598</v>
      </c>
      <c r="B600">
        <v>3.4102000000000001</v>
      </c>
      <c r="C600" s="3">
        <v>3.3613375000000003</v>
      </c>
      <c r="D600" s="8">
        <f t="shared" si="94"/>
        <v>-4.8862499999999809E-2</v>
      </c>
      <c r="E600" s="8">
        <f t="shared" si="95"/>
        <v>-4.8678124999999905E-2</v>
      </c>
      <c r="F600" s="3">
        <v>13.764000000000001</v>
      </c>
      <c r="G600" s="9">
        <v>2892.0400000000004</v>
      </c>
      <c r="H600">
        <f t="shared" si="96"/>
        <v>-0.67000571249999874</v>
      </c>
      <c r="I600">
        <f t="shared" si="90"/>
        <v>-0.67000571249999874</v>
      </c>
      <c r="J600">
        <f t="shared" si="91"/>
        <v>-0.23167235325237501</v>
      </c>
      <c r="K600">
        <f t="shared" si="92"/>
        <v>-1.9999999999997797E-4</v>
      </c>
      <c r="L600">
        <f t="shared" si="93"/>
        <v>-8.124999999981064E-5</v>
      </c>
      <c r="M600">
        <f t="shared" si="97"/>
        <v>-1.4062499999989431E-4</v>
      </c>
      <c r="N600">
        <f t="shared" si="98"/>
        <v>-3.2875316198744021E-4</v>
      </c>
      <c r="O600" s="3">
        <f t="shared" si="99"/>
        <v>-3.287531619874402</v>
      </c>
      <c r="P600">
        <v>1196</v>
      </c>
    </row>
    <row r="601" spans="1:16" x14ac:dyDescent="0.25">
      <c r="A601">
        <v>599</v>
      </c>
      <c r="B601">
        <v>3.4098000000000002</v>
      </c>
      <c r="C601" s="3">
        <v>3.3613062500000002</v>
      </c>
      <c r="D601" s="8">
        <f t="shared" si="94"/>
        <v>-4.8493750000000002E-2</v>
      </c>
      <c r="E601" s="8">
        <f t="shared" si="95"/>
        <v>-4.832187500000007E-2</v>
      </c>
      <c r="F601" s="3">
        <v>13.731999999999999</v>
      </c>
      <c r="G601" s="9">
        <v>2890.5200000000004</v>
      </c>
      <c r="H601">
        <f t="shared" si="96"/>
        <v>-0.66355598750000089</v>
      </c>
      <c r="I601">
        <f t="shared" ref="I601:I664" si="100">H601</f>
        <v>-0.66355598750000089</v>
      </c>
      <c r="J601">
        <f t="shared" ref="J601:J664" si="101">(I601/G601)*1000</f>
        <v>-0.2295628424989278</v>
      </c>
      <c r="K601">
        <f t="shared" ref="K601:K664" si="102">(B602-B600)/(A602-A600)</f>
        <v>-3.9999999999995595E-4</v>
      </c>
      <c r="L601">
        <f t="shared" ref="L601:L664" si="103">(C602-C600)/(A602-A600)</f>
        <v>-4.3750000000120082E-5</v>
      </c>
      <c r="M601">
        <f t="shared" si="97"/>
        <v>-2.2187500000003801E-4</v>
      </c>
      <c r="N601">
        <f t="shared" si="98"/>
        <v>-2.0646739922192405E-4</v>
      </c>
      <c r="O601" s="3">
        <f t="shared" si="99"/>
        <v>-2.0646739922192405</v>
      </c>
      <c r="P601">
        <v>1198</v>
      </c>
    </row>
    <row r="602" spans="1:16" x14ac:dyDescent="0.25">
      <c r="A602">
        <v>600</v>
      </c>
      <c r="B602">
        <v>3.4094000000000002</v>
      </c>
      <c r="C602" s="3">
        <v>3.3612500000000001</v>
      </c>
      <c r="D602" s="8">
        <f t="shared" ref="D602:D665" si="104">C602-B602</f>
        <v>-4.8150000000000137E-2</v>
      </c>
      <c r="E602" s="8">
        <f t="shared" si="95"/>
        <v>-4.8031250000000192E-2</v>
      </c>
      <c r="F602" s="3">
        <v>13.7</v>
      </c>
      <c r="G602">
        <v>2889</v>
      </c>
      <c r="H602">
        <f t="shared" si="96"/>
        <v>-0.65802812500000263</v>
      </c>
      <c r="I602">
        <f t="shared" si="100"/>
        <v>-0.65802812500000263</v>
      </c>
      <c r="J602">
        <f t="shared" si="101"/>
        <v>-0.22777020595361808</v>
      </c>
      <c r="K602">
        <f t="shared" si="102"/>
        <v>-3.5000000000007248E-4</v>
      </c>
      <c r="L602">
        <f t="shared" si="103"/>
        <v>-5.9375000000194689E-5</v>
      </c>
      <c r="M602">
        <f t="shared" si="97"/>
        <v>-2.0468750000013358E-4</v>
      </c>
      <c r="N602">
        <f t="shared" si="98"/>
        <v>-2.2205668738700188E-4</v>
      </c>
      <c r="O602" s="3">
        <f t="shared" si="99"/>
        <v>-2.2205668738700188</v>
      </c>
      <c r="P602">
        <v>1200</v>
      </c>
    </row>
    <row r="603" spans="1:16" x14ac:dyDescent="0.25">
      <c r="A603">
        <v>601</v>
      </c>
      <c r="B603">
        <v>3.4091</v>
      </c>
      <c r="C603" s="3">
        <v>3.3611874999999998</v>
      </c>
      <c r="D603" s="8">
        <f t="shared" si="104"/>
        <v>-4.7912500000000247E-2</v>
      </c>
      <c r="E603" s="8">
        <f t="shared" si="95"/>
        <v>-4.7865625000000245E-2</v>
      </c>
      <c r="F603" s="3">
        <v>13.648</v>
      </c>
      <c r="G603" s="9">
        <v>2877.2</v>
      </c>
      <c r="H603">
        <f t="shared" si="96"/>
        <v>-0.65327005000000338</v>
      </c>
      <c r="I603">
        <f t="shared" si="100"/>
        <v>-0.65327005000000338</v>
      </c>
      <c r="J603">
        <f t="shared" si="101"/>
        <v>-0.22705062213263014</v>
      </c>
      <c r="K603">
        <f t="shared" si="102"/>
        <v>-2.5000000000008349E-4</v>
      </c>
      <c r="L603">
        <f t="shared" si="103"/>
        <v>-8.4375000000136424E-5</v>
      </c>
      <c r="M603">
        <f t="shared" si="97"/>
        <v>-1.6718750000010996E-4</v>
      </c>
      <c r="N603">
        <f t="shared" si="98"/>
        <v>-2.7100490819216864E-4</v>
      </c>
      <c r="O603" s="3">
        <f t="shared" si="99"/>
        <v>-2.7100490819216865</v>
      </c>
      <c r="P603">
        <v>1202</v>
      </c>
    </row>
    <row r="604" spans="1:16" x14ac:dyDescent="0.25">
      <c r="A604">
        <v>602</v>
      </c>
      <c r="B604">
        <v>3.4089</v>
      </c>
      <c r="C604" s="3">
        <v>3.3610812499999998</v>
      </c>
      <c r="D604" s="8">
        <f t="shared" si="104"/>
        <v>-4.7818750000000243E-2</v>
      </c>
      <c r="E604" s="8">
        <f t="shared" si="95"/>
        <v>-4.7731250000000003E-2</v>
      </c>
      <c r="F604" s="3">
        <v>13.595999999999998</v>
      </c>
      <c r="G604" s="9">
        <v>2865.3999999999996</v>
      </c>
      <c r="H604">
        <f t="shared" si="96"/>
        <v>-0.64895407499999991</v>
      </c>
      <c r="I604">
        <f t="shared" si="100"/>
        <v>-0.64895407499999991</v>
      </c>
      <c r="J604">
        <f t="shared" si="101"/>
        <v>-0.22647940078174078</v>
      </c>
      <c r="K604">
        <f t="shared" si="102"/>
        <v>-1.9999999999997797E-4</v>
      </c>
      <c r="L604">
        <f t="shared" si="103"/>
        <v>-6.5624999999736033E-5</v>
      </c>
      <c r="M604">
        <f t="shared" si="97"/>
        <v>-1.32812499999857E-4</v>
      </c>
      <c r="N604">
        <f t="shared" si="98"/>
        <v>-3.402890853910069E-4</v>
      </c>
      <c r="O604" s="3">
        <f t="shared" si="99"/>
        <v>-3.4028908539100691</v>
      </c>
      <c r="P604">
        <v>1204</v>
      </c>
    </row>
    <row r="605" spans="1:16" x14ac:dyDescent="0.25">
      <c r="A605">
        <v>603</v>
      </c>
      <c r="B605">
        <v>3.4087000000000001</v>
      </c>
      <c r="C605" s="3">
        <v>3.3610562500000003</v>
      </c>
      <c r="D605" s="8">
        <f t="shared" si="104"/>
        <v>-4.7643749999999763E-2</v>
      </c>
      <c r="E605" s="8">
        <f t="shared" si="95"/>
        <v>-4.7678125000000016E-2</v>
      </c>
      <c r="F605" s="3">
        <v>13.543999999999997</v>
      </c>
      <c r="G605" s="9">
        <v>2853.5999999999995</v>
      </c>
      <c r="H605">
        <f t="shared" si="96"/>
        <v>-0.64575252500000002</v>
      </c>
      <c r="I605">
        <f t="shared" si="100"/>
        <v>-0.64575252500000002</v>
      </c>
      <c r="J605">
        <f t="shared" si="101"/>
        <v>-0.22629398829548647</v>
      </c>
      <c r="K605">
        <f t="shared" si="102"/>
        <v>-9.9999999999988987E-5</v>
      </c>
      <c r="L605">
        <f t="shared" si="103"/>
        <v>-4.6875000000001776E-5</v>
      </c>
      <c r="M605">
        <f t="shared" si="97"/>
        <v>-7.3437499999995381E-5</v>
      </c>
      <c r="N605">
        <f t="shared" si="98"/>
        <v>-6.1491260643868563E-4</v>
      </c>
      <c r="O605" s="3">
        <f t="shared" si="99"/>
        <v>-6.1491260643868566</v>
      </c>
      <c r="P605">
        <v>1206</v>
      </c>
    </row>
    <row r="606" spans="1:16" x14ac:dyDescent="0.25">
      <c r="A606">
        <v>604</v>
      </c>
      <c r="B606">
        <v>3.4087000000000001</v>
      </c>
      <c r="C606" s="3">
        <v>3.3609874999999998</v>
      </c>
      <c r="D606" s="8">
        <f t="shared" si="104"/>
        <v>-4.7712500000000269E-2</v>
      </c>
      <c r="E606" s="8">
        <f t="shared" si="95"/>
        <v>-4.7690625000000209E-2</v>
      </c>
      <c r="F606" s="3">
        <v>13.491999999999996</v>
      </c>
      <c r="G606" s="9">
        <v>2841.7999999999993</v>
      </c>
      <c r="H606">
        <f t="shared" si="96"/>
        <v>-0.6434419125000026</v>
      </c>
      <c r="I606">
        <f t="shared" si="100"/>
        <v>-0.6434419125000026</v>
      </c>
      <c r="J606">
        <f t="shared" si="101"/>
        <v>-0.22642054771623715</v>
      </c>
      <c r="K606">
        <f t="shared" si="102"/>
        <v>-5.0000000000105516E-5</v>
      </c>
      <c r="L606">
        <f t="shared" si="103"/>
        <v>-6.2500000000298428E-5</v>
      </c>
      <c r="M606">
        <f t="shared" si="97"/>
        <v>-5.6250000000201972E-5</v>
      </c>
      <c r="N606">
        <f t="shared" si="98"/>
        <v>-8.0325155284313937E-4</v>
      </c>
      <c r="O606" s="3">
        <f t="shared" si="99"/>
        <v>-8.0325155284313929</v>
      </c>
      <c r="P606">
        <v>1208</v>
      </c>
    </row>
    <row r="607" spans="1:16" x14ac:dyDescent="0.25">
      <c r="A607">
        <v>605</v>
      </c>
      <c r="B607">
        <v>3.4085999999999999</v>
      </c>
      <c r="C607" s="3">
        <v>3.3609312499999997</v>
      </c>
      <c r="D607" s="8">
        <f t="shared" si="104"/>
        <v>-4.7668750000000149E-2</v>
      </c>
      <c r="E607" s="8">
        <f t="shared" si="95"/>
        <v>-4.775937500000027E-2</v>
      </c>
      <c r="F607" s="3">
        <v>13.439999999999994</v>
      </c>
      <c r="G607" s="9">
        <v>2829.9999999999991</v>
      </c>
      <c r="H607">
        <f t="shared" si="96"/>
        <v>-0.6418860000000034</v>
      </c>
      <c r="I607">
        <f t="shared" si="100"/>
        <v>-0.6418860000000034</v>
      </c>
      <c r="J607">
        <f t="shared" si="101"/>
        <v>-0.22681484098940055</v>
      </c>
      <c r="K607">
        <f t="shared" si="102"/>
        <v>0</v>
      </c>
      <c r="L607">
        <f t="shared" si="103"/>
        <v>-6.8750000000061817E-5</v>
      </c>
      <c r="M607">
        <f t="shared" si="97"/>
        <v>-3.4375000000030909E-5</v>
      </c>
      <c r="N607">
        <f t="shared" si="98"/>
        <v>-1.316700574649928E-3</v>
      </c>
      <c r="O607" s="3">
        <f t="shared" si="99"/>
        <v>-13.16700574649928</v>
      </c>
      <c r="P607">
        <v>1210</v>
      </c>
    </row>
    <row r="608" spans="1:16" x14ac:dyDescent="0.25">
      <c r="A608">
        <v>606</v>
      </c>
      <c r="B608">
        <v>3.4087000000000001</v>
      </c>
      <c r="C608" s="3">
        <v>3.3608499999999997</v>
      </c>
      <c r="D608" s="8">
        <f t="shared" si="104"/>
        <v>-4.7850000000000392E-2</v>
      </c>
      <c r="E608" s="8">
        <f t="shared" si="95"/>
        <v>-4.782812500000011E-2</v>
      </c>
      <c r="F608" s="3">
        <v>13.387999999999995</v>
      </c>
      <c r="G608" s="9">
        <v>2818.1999999999989</v>
      </c>
      <c r="H608">
        <f t="shared" si="96"/>
        <v>-0.64032293750000124</v>
      </c>
      <c r="I608">
        <f t="shared" si="100"/>
        <v>-0.64032293750000124</v>
      </c>
      <c r="J608">
        <f t="shared" si="101"/>
        <v>-0.2272098990490389</v>
      </c>
      <c r="K608">
        <f t="shared" si="102"/>
        <v>0</v>
      </c>
      <c r="L608">
        <f t="shared" si="103"/>
        <v>-6.8749999999839773E-5</v>
      </c>
      <c r="M608">
        <f t="shared" si="97"/>
        <v>-3.4374999999919886E-5</v>
      </c>
      <c r="N608">
        <f t="shared" si="98"/>
        <v>-1.3189939570972277E-3</v>
      </c>
      <c r="O608" s="3">
        <f t="shared" si="99"/>
        <v>-13.189939570972276</v>
      </c>
      <c r="P608">
        <v>1212</v>
      </c>
    </row>
    <row r="609" spans="1:16" x14ac:dyDescent="0.25">
      <c r="A609">
        <v>607</v>
      </c>
      <c r="B609">
        <v>3.4085999999999999</v>
      </c>
      <c r="C609" s="3">
        <v>3.36079375</v>
      </c>
      <c r="D609" s="8">
        <f t="shared" si="104"/>
        <v>-4.7806249999999828E-2</v>
      </c>
      <c r="E609" s="8">
        <f t="shared" si="95"/>
        <v>-4.7793749999999857E-2</v>
      </c>
      <c r="F609" s="3">
        <v>13.335999999999993</v>
      </c>
      <c r="G609" s="9">
        <v>2806.3999999999992</v>
      </c>
      <c r="H609">
        <f t="shared" si="96"/>
        <v>-0.63737744999999779</v>
      </c>
      <c r="I609">
        <f t="shared" si="100"/>
        <v>-0.63737744999999779</v>
      </c>
      <c r="J609">
        <f t="shared" si="101"/>
        <v>-0.22711568201254204</v>
      </c>
      <c r="K609">
        <f t="shared" si="102"/>
        <v>-9.9999999999988987E-5</v>
      </c>
      <c r="L609">
        <f t="shared" si="103"/>
        <v>-6.5624999999736033E-5</v>
      </c>
      <c r="M609">
        <f t="shared" si="97"/>
        <v>-8.281249999986251E-5</v>
      </c>
      <c r="N609">
        <f t="shared" si="98"/>
        <v>-5.472798911128439E-4</v>
      </c>
      <c r="O609" s="3">
        <f t="shared" si="99"/>
        <v>-5.4727989111284394</v>
      </c>
      <c r="P609">
        <v>1214</v>
      </c>
    </row>
    <row r="610" spans="1:16" x14ac:dyDescent="0.25">
      <c r="A610">
        <v>608</v>
      </c>
      <c r="B610">
        <v>3.4085000000000001</v>
      </c>
      <c r="C610" s="3">
        <v>3.3607187500000002</v>
      </c>
      <c r="D610" s="8">
        <f t="shared" si="104"/>
        <v>-4.7781249999999886E-2</v>
      </c>
      <c r="E610" s="8">
        <f t="shared" si="95"/>
        <v>-4.7784374999999546E-2</v>
      </c>
      <c r="F610" s="3">
        <v>13.283999999999992</v>
      </c>
      <c r="G610" s="9">
        <v>2794.5999999999995</v>
      </c>
      <c r="H610">
        <f t="shared" si="96"/>
        <v>-0.63476763749999354</v>
      </c>
      <c r="I610">
        <f t="shared" si="100"/>
        <v>-0.63476763749999354</v>
      </c>
      <c r="J610">
        <f t="shared" si="101"/>
        <v>-0.22714078490660333</v>
      </c>
      <c r="K610">
        <f t="shared" si="102"/>
        <v>-9.9999999999988987E-5</v>
      </c>
      <c r="L610">
        <f t="shared" si="103"/>
        <v>-9.0624999999677769E-5</v>
      </c>
      <c r="M610">
        <f t="shared" si="97"/>
        <v>-9.5312499999833378E-5</v>
      </c>
      <c r="N610">
        <f t="shared" si="98"/>
        <v>-4.7555803636078223E-4</v>
      </c>
      <c r="O610" s="3">
        <f t="shared" si="99"/>
        <v>-4.7555803636078222</v>
      </c>
      <c r="P610">
        <v>1216</v>
      </c>
    </row>
    <row r="611" spans="1:16" x14ac:dyDescent="0.25">
      <c r="A611">
        <v>609</v>
      </c>
      <c r="B611">
        <v>3.4083999999999999</v>
      </c>
      <c r="C611" s="3">
        <v>3.3606125000000007</v>
      </c>
      <c r="D611" s="8">
        <f t="shared" si="104"/>
        <v>-4.7787499999999206E-2</v>
      </c>
      <c r="E611" s="8">
        <f t="shared" si="95"/>
        <v>-4.778749999999965E-2</v>
      </c>
      <c r="F611" s="3">
        <v>13.231999999999994</v>
      </c>
      <c r="G611" s="9">
        <v>2782.7999999999993</v>
      </c>
      <c r="H611">
        <f t="shared" si="96"/>
        <v>-0.63232419999999512</v>
      </c>
      <c r="I611">
        <f t="shared" si="100"/>
        <v>-0.63232419999999512</v>
      </c>
      <c r="J611">
        <f t="shared" si="101"/>
        <v>-0.22722588759522613</v>
      </c>
      <c r="K611">
        <f t="shared" si="102"/>
        <v>-9.9999999999988987E-5</v>
      </c>
      <c r="L611">
        <f t="shared" si="103"/>
        <v>-1.0312500000009273E-4</v>
      </c>
      <c r="M611">
        <f t="shared" si="97"/>
        <v>-1.0156250000004086E-4</v>
      </c>
      <c r="N611">
        <f t="shared" si="98"/>
        <v>-4.4646013870740687E-4</v>
      </c>
      <c r="O611" s="3">
        <f t="shared" si="99"/>
        <v>-4.4646013870740688</v>
      </c>
      <c r="P611">
        <v>1218</v>
      </c>
    </row>
    <row r="612" spans="1:16" x14ac:dyDescent="0.25">
      <c r="A612">
        <v>610</v>
      </c>
      <c r="B612">
        <v>3.4083000000000001</v>
      </c>
      <c r="C612" s="3">
        <v>3.3605125</v>
      </c>
      <c r="D612" s="8">
        <f t="shared" si="104"/>
        <v>-4.7787500000000094E-2</v>
      </c>
      <c r="E612" s="8">
        <f t="shared" si="95"/>
        <v>-4.7734374999999885E-2</v>
      </c>
      <c r="F612" s="3">
        <v>13.179999999999996</v>
      </c>
      <c r="G612" s="9">
        <v>2770.9999999999991</v>
      </c>
      <c r="H612">
        <f t="shared" si="96"/>
        <v>-0.62913906249999829</v>
      </c>
      <c r="I612">
        <f t="shared" si="100"/>
        <v>-0.62913906249999829</v>
      </c>
      <c r="J612">
        <f t="shared" si="101"/>
        <v>-0.22704404998195543</v>
      </c>
      <c r="K612">
        <f t="shared" si="102"/>
        <v>-9.9999999999988987E-5</v>
      </c>
      <c r="L612">
        <f t="shared" si="103"/>
        <v>-4.6875000000223821E-5</v>
      </c>
      <c r="M612">
        <f t="shared" si="97"/>
        <v>-7.3437500000106404E-5</v>
      </c>
      <c r="N612">
        <f t="shared" si="98"/>
        <v>-6.1695076215762207E-4</v>
      </c>
      <c r="O612" s="3">
        <f t="shared" si="99"/>
        <v>-6.169507621576221</v>
      </c>
      <c r="P612">
        <v>1220</v>
      </c>
    </row>
    <row r="613" spans="1:16" x14ac:dyDescent="0.25">
      <c r="A613">
        <v>611</v>
      </c>
      <c r="B613">
        <v>3.4081999999999999</v>
      </c>
      <c r="C613" s="3">
        <v>3.3605187500000002</v>
      </c>
      <c r="D613" s="8">
        <f t="shared" si="104"/>
        <v>-4.7681249999999675E-2</v>
      </c>
      <c r="E613" s="8">
        <f t="shared" si="95"/>
        <v>-4.778729166666662E-2</v>
      </c>
      <c r="F613" s="3">
        <v>13.127999999999995</v>
      </c>
      <c r="G613" s="9">
        <v>2759.1999999999994</v>
      </c>
      <c r="H613">
        <f t="shared" si="96"/>
        <v>-0.62735156499999911</v>
      </c>
      <c r="I613">
        <f t="shared" si="100"/>
        <v>-0.62735156499999911</v>
      </c>
      <c r="J613">
        <f t="shared" si="101"/>
        <v>-0.22736719520150742</v>
      </c>
      <c r="K613">
        <f t="shared" si="102"/>
        <v>-1.500000000000945E-4</v>
      </c>
      <c r="L613">
        <f t="shared" si="103"/>
        <v>-2.0291666666683028E-4</v>
      </c>
      <c r="M613">
        <f t="shared" si="97"/>
        <v>-1.7645833333346239E-4</v>
      </c>
      <c r="N613">
        <f t="shared" si="98"/>
        <v>-2.5712475765417401E-4</v>
      </c>
      <c r="O613" s="3">
        <f t="shared" si="99"/>
        <v>-2.5712475765417402</v>
      </c>
      <c r="P613">
        <v>1222</v>
      </c>
    </row>
    <row r="614" spans="1:16" x14ac:dyDescent="0.25">
      <c r="A614">
        <v>612</v>
      </c>
      <c r="B614">
        <v>3.4079999999999999</v>
      </c>
      <c r="C614" s="3">
        <v>3.3601066666666664</v>
      </c>
      <c r="D614" s="8">
        <f t="shared" si="104"/>
        <v>-4.7893333333333565E-2</v>
      </c>
      <c r="E614" s="8">
        <f t="shared" si="95"/>
        <v>-4.7950000000000381E-2</v>
      </c>
      <c r="F614" s="3">
        <v>13.075999999999993</v>
      </c>
      <c r="G614" s="9">
        <v>2747.3999999999996</v>
      </c>
      <c r="H614">
        <f t="shared" si="96"/>
        <v>-0.62699420000000472</v>
      </c>
      <c r="I614">
        <f t="shared" si="100"/>
        <v>-0.62699420000000472</v>
      </c>
      <c r="J614">
        <f t="shared" si="101"/>
        <v>-0.22821365654801079</v>
      </c>
      <c r="K614">
        <f t="shared" si="102"/>
        <v>-9.9999999999988987E-5</v>
      </c>
      <c r="L614">
        <f t="shared" si="103"/>
        <v>-2.6270833333374988E-4</v>
      </c>
      <c r="M614">
        <f t="shared" si="97"/>
        <v>-1.8135416666686943E-4</v>
      </c>
      <c r="N614">
        <f t="shared" si="98"/>
        <v>-2.5111482649439114E-4</v>
      </c>
      <c r="O614" s="3">
        <f t="shared" si="99"/>
        <v>-2.5111482649439112</v>
      </c>
      <c r="P614">
        <v>1224</v>
      </c>
    </row>
    <row r="615" spans="1:16" x14ac:dyDescent="0.25">
      <c r="A615">
        <v>613</v>
      </c>
      <c r="B615">
        <v>3.4079999999999999</v>
      </c>
      <c r="C615" s="3">
        <v>3.3599933333333327</v>
      </c>
      <c r="D615" s="8">
        <f t="shared" si="104"/>
        <v>-4.8006666666667197E-2</v>
      </c>
      <c r="E615" s="8">
        <f t="shared" si="95"/>
        <v>-4.804333333333366E-2</v>
      </c>
      <c r="F615" s="3">
        <v>13.023999999999996</v>
      </c>
      <c r="G615" s="9">
        <v>2735.5999999999995</v>
      </c>
      <c r="H615">
        <f t="shared" si="96"/>
        <v>-0.62571637333333741</v>
      </c>
      <c r="I615">
        <f t="shared" si="100"/>
        <v>-0.62571637333333741</v>
      </c>
      <c r="J615">
        <f t="shared" si="101"/>
        <v>-0.22873094506994354</v>
      </c>
      <c r="K615">
        <f t="shared" si="102"/>
        <v>-4.9999999999883471E-5</v>
      </c>
      <c r="L615">
        <f t="shared" si="103"/>
        <v>-1.4333333333316212E-4</v>
      </c>
      <c r="M615">
        <f t="shared" si="97"/>
        <v>-9.6666666666522794E-5</v>
      </c>
      <c r="N615">
        <f t="shared" si="98"/>
        <v>-4.7217875765929275E-4</v>
      </c>
      <c r="O615" s="3">
        <f t="shared" si="99"/>
        <v>-4.7217875765929271</v>
      </c>
      <c r="P615">
        <v>1226</v>
      </c>
    </row>
    <row r="616" spans="1:16" x14ac:dyDescent="0.25">
      <c r="A616">
        <v>614</v>
      </c>
      <c r="B616">
        <v>3.4079000000000002</v>
      </c>
      <c r="C616" s="3">
        <v>3.35982</v>
      </c>
      <c r="D616" s="8">
        <f t="shared" si="104"/>
        <v>-4.8080000000000123E-2</v>
      </c>
      <c r="E616" s="8">
        <f t="shared" si="95"/>
        <v>-4.8080000000000123E-2</v>
      </c>
      <c r="F616" s="3">
        <v>12.971999999999998</v>
      </c>
      <c r="G616" s="9">
        <v>2723.7999999999993</v>
      </c>
      <c r="H616">
        <f t="shared" si="96"/>
        <v>-0.62369376000000143</v>
      </c>
      <c r="I616">
        <f t="shared" si="100"/>
        <v>-0.62369376000000143</v>
      </c>
      <c r="J616">
        <f t="shared" si="101"/>
        <v>-0.22897927894852838</v>
      </c>
      <c r="K616">
        <f t="shared" si="102"/>
        <v>-9.9999999999988987E-5</v>
      </c>
      <c r="L616">
        <f t="shared" si="103"/>
        <v>-1.3666666666645177E-4</v>
      </c>
      <c r="M616">
        <f t="shared" si="97"/>
        <v>-1.1833333333322038E-4</v>
      </c>
      <c r="N616">
        <f t="shared" si="98"/>
        <v>-3.8614227333378347E-4</v>
      </c>
      <c r="O616" s="3">
        <f t="shared" si="99"/>
        <v>-3.8614227333378346</v>
      </c>
      <c r="P616">
        <v>1228</v>
      </c>
    </row>
    <row r="617" spans="1:16" x14ac:dyDescent="0.25">
      <c r="A617">
        <v>615</v>
      </c>
      <c r="B617">
        <v>3.4077999999999999</v>
      </c>
      <c r="C617" s="3">
        <v>3.3597199999999998</v>
      </c>
      <c r="D617" s="8">
        <f t="shared" si="104"/>
        <v>-4.8080000000000123E-2</v>
      </c>
      <c r="E617" s="8">
        <f t="shared" si="95"/>
        <v>-4.8039999999999861E-2</v>
      </c>
      <c r="F617" s="3">
        <v>12.919999999999996</v>
      </c>
      <c r="G617" s="9">
        <v>2711.9999999999995</v>
      </c>
      <c r="H617">
        <f t="shared" si="96"/>
        <v>-0.62067679999999803</v>
      </c>
      <c r="I617">
        <f t="shared" si="100"/>
        <v>-0.62067679999999803</v>
      </c>
      <c r="J617">
        <f t="shared" si="101"/>
        <v>-0.22886312684365712</v>
      </c>
      <c r="K617">
        <f t="shared" si="102"/>
        <v>-1.500000000000945E-4</v>
      </c>
      <c r="L617">
        <f t="shared" si="103"/>
        <v>-1.0999999999983245E-4</v>
      </c>
      <c r="M617">
        <f t="shared" si="97"/>
        <v>-1.2999999999996348E-4</v>
      </c>
      <c r="N617">
        <f t="shared" si="98"/>
        <v>-3.5131018341027088E-4</v>
      </c>
      <c r="O617" s="3">
        <f t="shared" si="99"/>
        <v>-3.5131018341027089</v>
      </c>
      <c r="P617">
        <v>1230</v>
      </c>
    </row>
    <row r="618" spans="1:16" x14ac:dyDescent="0.25">
      <c r="A618">
        <v>616</v>
      </c>
      <c r="B618">
        <v>3.4076</v>
      </c>
      <c r="C618" s="3">
        <v>3.3596000000000004</v>
      </c>
      <c r="D618" s="8">
        <f t="shared" si="104"/>
        <v>-4.7999999999999599E-2</v>
      </c>
      <c r="E618" s="8">
        <f t="shared" si="95"/>
        <v>-4.7953333333333292E-2</v>
      </c>
      <c r="F618" s="3">
        <v>12.867999999999995</v>
      </c>
      <c r="G618" s="9">
        <v>2700.2</v>
      </c>
      <c r="H618">
        <f t="shared" si="96"/>
        <v>-0.61706349333333255</v>
      </c>
      <c r="I618">
        <f t="shared" si="100"/>
        <v>-0.61706349333333255</v>
      </c>
      <c r="J618">
        <f t="shared" si="101"/>
        <v>-0.22852510678221341</v>
      </c>
      <c r="K618">
        <f t="shared" si="102"/>
        <v>-1.9999999999997797E-4</v>
      </c>
      <c r="L618">
        <f t="shared" si="103"/>
        <v>-1.1333333333340967E-4</v>
      </c>
      <c r="M618">
        <f t="shared" si="97"/>
        <v>-1.5666666666669382E-4</v>
      </c>
      <c r="N618">
        <f t="shared" si="98"/>
        <v>-2.9108215484400959E-4</v>
      </c>
      <c r="O618" s="3">
        <f t="shared" si="99"/>
        <v>-2.9108215484400959</v>
      </c>
      <c r="P618">
        <v>1232</v>
      </c>
    </row>
    <row r="619" spans="1:16" x14ac:dyDescent="0.25">
      <c r="A619">
        <v>617</v>
      </c>
      <c r="B619">
        <v>3.4074</v>
      </c>
      <c r="C619" s="3">
        <v>3.359493333333333</v>
      </c>
      <c r="D619" s="8">
        <f t="shared" si="104"/>
        <v>-4.7906666666666986E-2</v>
      </c>
      <c r="E619" s="8">
        <f t="shared" si="95"/>
        <v>-4.7866666666666724E-2</v>
      </c>
      <c r="F619" s="3">
        <v>12.815999999999997</v>
      </c>
      <c r="G619" s="9">
        <v>2688.3999999999996</v>
      </c>
      <c r="H619">
        <f t="shared" si="96"/>
        <v>-0.61345920000000065</v>
      </c>
      <c r="I619">
        <f t="shared" si="100"/>
        <v>-0.61345920000000065</v>
      </c>
      <c r="J619">
        <f t="shared" si="101"/>
        <v>-0.22818747210236598</v>
      </c>
      <c r="K619">
        <f t="shared" si="102"/>
        <v>-1.9999999999997797E-4</v>
      </c>
      <c r="L619">
        <f t="shared" si="103"/>
        <v>-1.1333333333340967E-4</v>
      </c>
      <c r="M619">
        <f t="shared" si="97"/>
        <v>-1.5666666666669382E-4</v>
      </c>
      <c r="N619">
        <f t="shared" si="98"/>
        <v>-2.9065209518210246E-4</v>
      </c>
      <c r="O619" s="3">
        <f t="shared" si="99"/>
        <v>-2.9065209518210247</v>
      </c>
      <c r="P619">
        <v>1234</v>
      </c>
    </row>
    <row r="620" spans="1:16" x14ac:dyDescent="0.25">
      <c r="A620">
        <v>618</v>
      </c>
      <c r="B620">
        <v>3.4072</v>
      </c>
      <c r="C620" s="3">
        <v>3.3593733333333335</v>
      </c>
      <c r="D620" s="8">
        <f t="shared" si="104"/>
        <v>-4.7826666666666462E-2</v>
      </c>
      <c r="E620" s="8">
        <f t="shared" si="95"/>
        <v>-4.7633333333333194E-2</v>
      </c>
      <c r="F620" s="3">
        <v>12.763999999999998</v>
      </c>
      <c r="G620" s="9">
        <v>2676.5999999999995</v>
      </c>
      <c r="H620">
        <f t="shared" si="96"/>
        <v>-0.60799186666666483</v>
      </c>
      <c r="I620">
        <f t="shared" si="100"/>
        <v>-0.60799186666666483</v>
      </c>
      <c r="J620">
        <f t="shared" si="101"/>
        <v>-0.22715081322075203</v>
      </c>
      <c r="K620">
        <f t="shared" si="102"/>
        <v>-3.5000000000007248E-4</v>
      </c>
      <c r="L620">
        <f t="shared" si="103"/>
        <v>-1.166666666665428E-4</v>
      </c>
      <c r="M620">
        <f t="shared" si="97"/>
        <v>-2.3333333333330764E-4</v>
      </c>
      <c r="N620">
        <f t="shared" si="98"/>
        <v>-1.9426554223178112E-4</v>
      </c>
      <c r="O620" s="3">
        <f t="shared" si="99"/>
        <v>-1.9426554223178112</v>
      </c>
      <c r="P620">
        <v>1236</v>
      </c>
    </row>
    <row r="621" spans="1:16" x14ac:dyDescent="0.25">
      <c r="A621">
        <v>619</v>
      </c>
      <c r="B621">
        <v>3.4066999999999998</v>
      </c>
      <c r="C621" s="3">
        <v>3.3592599999999999</v>
      </c>
      <c r="D621" s="8">
        <f t="shared" si="104"/>
        <v>-4.7439999999999927E-2</v>
      </c>
      <c r="E621" s="8">
        <f t="shared" si="95"/>
        <v>-4.7429999999999861E-2</v>
      </c>
      <c r="F621" s="3">
        <v>12.711999999999998</v>
      </c>
      <c r="G621" s="9">
        <v>2664.7999999999997</v>
      </c>
      <c r="H621">
        <f t="shared" si="96"/>
        <v>-0.60293015999999811</v>
      </c>
      <c r="I621">
        <f t="shared" si="100"/>
        <v>-0.60293015999999811</v>
      </c>
      <c r="J621">
        <f t="shared" si="101"/>
        <v>-0.22625719003302244</v>
      </c>
      <c r="K621">
        <f t="shared" si="102"/>
        <v>-2.9999999999996696E-4</v>
      </c>
      <c r="L621">
        <f t="shared" si="103"/>
        <v>-9.6666666666633816E-5</v>
      </c>
      <c r="M621">
        <f t="shared" si="97"/>
        <v>-1.9833333333330039E-4</v>
      </c>
      <c r="N621">
        <f t="shared" si="98"/>
        <v>-2.2764857814266802E-4</v>
      </c>
      <c r="O621" s="3">
        <f t="shared" si="99"/>
        <v>-2.2764857814266803</v>
      </c>
      <c r="P621">
        <v>1238</v>
      </c>
    </row>
    <row r="622" spans="1:16" x14ac:dyDescent="0.25">
      <c r="A622">
        <v>620</v>
      </c>
      <c r="B622">
        <v>3.4066000000000001</v>
      </c>
      <c r="C622" s="3">
        <v>3.3591800000000003</v>
      </c>
      <c r="D622" s="8">
        <f t="shared" si="104"/>
        <v>-4.7419999999999796E-2</v>
      </c>
      <c r="E622" s="8">
        <f t="shared" si="95"/>
        <v>-4.7290000000000276E-2</v>
      </c>
      <c r="F622" s="3">
        <v>12.659999999999998</v>
      </c>
      <c r="G622" s="9">
        <v>2653</v>
      </c>
      <c r="H622">
        <f t="shared" si="96"/>
        <v>-0.59869140000000343</v>
      </c>
      <c r="I622">
        <f t="shared" si="100"/>
        <v>-0.59869140000000343</v>
      </c>
      <c r="J622">
        <f t="shared" si="101"/>
        <v>-0.22566581228797716</v>
      </c>
      <c r="K622">
        <f t="shared" si="102"/>
        <v>-2.4999999999986144E-4</v>
      </c>
      <c r="L622">
        <f t="shared" si="103"/>
        <v>-1.1000000000027654E-4</v>
      </c>
      <c r="M622">
        <f t="shared" si="97"/>
        <v>-1.8000000000006899E-4</v>
      </c>
      <c r="N622">
        <f t="shared" si="98"/>
        <v>-2.5017938959828945E-4</v>
      </c>
      <c r="O622" s="3">
        <f t="shared" si="99"/>
        <v>-2.5017938959828947</v>
      </c>
      <c r="P622">
        <v>1240</v>
      </c>
    </row>
    <row r="623" spans="1:16" x14ac:dyDescent="0.25">
      <c r="A623">
        <v>621</v>
      </c>
      <c r="B623">
        <v>3.4062000000000001</v>
      </c>
      <c r="C623" s="3">
        <v>3.3590399999999994</v>
      </c>
      <c r="D623" s="8">
        <f t="shared" si="104"/>
        <v>-4.7160000000000757E-2</v>
      </c>
      <c r="E623" s="8">
        <f t="shared" si="95"/>
        <v>-4.7100000000000808E-2</v>
      </c>
      <c r="F623" s="3">
        <v>12.607999999999999</v>
      </c>
      <c r="G623" s="9">
        <v>2641.2</v>
      </c>
      <c r="H623">
        <f t="shared" si="96"/>
        <v>-0.59383680000001016</v>
      </c>
      <c r="I623">
        <f t="shared" si="100"/>
        <v>-0.59383680000001016</v>
      </c>
      <c r="J623">
        <f t="shared" si="101"/>
        <v>-0.22483598364380211</v>
      </c>
      <c r="K623">
        <f t="shared" si="102"/>
        <v>-2.9999999999996696E-4</v>
      </c>
      <c r="L623">
        <f t="shared" si="103"/>
        <v>-1.1000000000049859E-4</v>
      </c>
      <c r="M623">
        <f t="shared" si="97"/>
        <v>-2.0500000000023277E-4</v>
      </c>
      <c r="N623">
        <f t="shared" si="98"/>
        <v>-2.1886192844471975E-4</v>
      </c>
      <c r="O623" s="3">
        <f t="shared" si="99"/>
        <v>-2.1886192844471974</v>
      </c>
      <c r="P623">
        <v>1242</v>
      </c>
    </row>
    <row r="624" spans="1:16" x14ac:dyDescent="0.25">
      <c r="A624">
        <v>622</v>
      </c>
      <c r="B624">
        <v>3.4060000000000001</v>
      </c>
      <c r="C624" s="3">
        <v>3.3589599999999993</v>
      </c>
      <c r="D624" s="8">
        <f t="shared" si="104"/>
        <v>-4.7040000000000859E-2</v>
      </c>
      <c r="E624" s="8">
        <f t="shared" si="95"/>
        <v>-4.6960000000000557E-2</v>
      </c>
      <c r="F624" s="3">
        <v>12.555999999999999</v>
      </c>
      <c r="G624" s="9">
        <v>2629.3999999999996</v>
      </c>
      <c r="H624">
        <f t="shared" si="96"/>
        <v>-0.589629760000007</v>
      </c>
      <c r="I624">
        <f t="shared" si="100"/>
        <v>-0.589629760000007</v>
      </c>
      <c r="J624">
        <f t="shared" si="101"/>
        <v>-0.22424498364646195</v>
      </c>
      <c r="K624">
        <f t="shared" si="102"/>
        <v>-2.5000000000008349E-4</v>
      </c>
      <c r="L624">
        <f t="shared" si="103"/>
        <v>-1.0999999999983245E-4</v>
      </c>
      <c r="M624">
        <f t="shared" si="97"/>
        <v>-1.7999999999995797E-4</v>
      </c>
      <c r="N624">
        <f t="shared" si="98"/>
        <v>-2.4860421948891628E-4</v>
      </c>
      <c r="O624" s="3">
        <f t="shared" si="99"/>
        <v>-2.4860421948891629</v>
      </c>
      <c r="P624">
        <v>1244</v>
      </c>
    </row>
    <row r="625" spans="1:16" x14ac:dyDescent="0.25">
      <c r="A625">
        <v>623</v>
      </c>
      <c r="B625">
        <v>3.4056999999999999</v>
      </c>
      <c r="C625" s="3">
        <v>3.3588199999999997</v>
      </c>
      <c r="D625" s="8">
        <f t="shared" si="104"/>
        <v>-4.6880000000000255E-2</v>
      </c>
      <c r="E625" s="8">
        <f t="shared" si="95"/>
        <v>-4.6810000000000462E-2</v>
      </c>
      <c r="F625" s="3">
        <v>12.504</v>
      </c>
      <c r="G625" s="9">
        <v>2617.6</v>
      </c>
      <c r="H625">
        <f>E625*F625</f>
        <v>-0.58531224000000581</v>
      </c>
      <c r="I625">
        <f>H625</f>
        <v>-0.58531224000000581</v>
      </c>
      <c r="J625">
        <f t="shared" si="101"/>
        <v>-0.22360644865525894</v>
      </c>
      <c r="K625">
        <f>(B626-B624)/(A626-A624)</f>
        <v>-2.5000000000008349E-4</v>
      </c>
      <c r="L625">
        <f>(C626-C624)/(A626-A624)</f>
        <v>-9.9999999999988987E-5</v>
      </c>
      <c r="M625">
        <f t="shared" si="97"/>
        <v>-1.7500000000003624E-4</v>
      </c>
      <c r="N625">
        <f t="shared" si="98"/>
        <v>-2.5497907390897265E-4</v>
      </c>
      <c r="O625" s="3">
        <f t="shared" si="99"/>
        <v>-2.5497907390897265</v>
      </c>
      <c r="P625">
        <v>1246</v>
      </c>
    </row>
    <row r="626" spans="1:16" x14ac:dyDescent="0.25">
      <c r="A626">
        <v>624</v>
      </c>
      <c r="B626">
        <v>3.4055</v>
      </c>
      <c r="C626" s="3">
        <v>3.3587599999999993</v>
      </c>
      <c r="D626" s="8">
        <f t="shared" si="104"/>
        <v>-4.674000000000067E-2</v>
      </c>
      <c r="E626" s="8">
        <f t="shared" si="95"/>
        <v>-4.6753333333334313E-2</v>
      </c>
      <c r="F626" s="3">
        <v>12.452</v>
      </c>
      <c r="G626" s="9">
        <v>2605.8000000000002</v>
      </c>
      <c r="H626">
        <f t="shared" si="96"/>
        <v>-0.58217250666667886</v>
      </c>
      <c r="I626">
        <f t="shared" si="100"/>
        <v>-0.58217250666667886</v>
      </c>
      <c r="J626">
        <f t="shared" si="101"/>
        <v>-0.22341411722568072</v>
      </c>
      <c r="K626">
        <f t="shared" si="102"/>
        <v>-1.4999999999987246E-4</v>
      </c>
      <c r="L626">
        <f t="shared" si="103"/>
        <v>-9.3333333333722734E-5</v>
      </c>
      <c r="M626">
        <f t="shared" si="97"/>
        <v>-1.216666666667976E-4</v>
      </c>
      <c r="N626">
        <f t="shared" si="98"/>
        <v>-3.6643526810974699E-4</v>
      </c>
      <c r="O626" s="3">
        <f t="shared" si="99"/>
        <v>-3.66435268109747</v>
      </c>
      <c r="P626">
        <v>1248</v>
      </c>
    </row>
    <row r="627" spans="1:16" x14ac:dyDescent="0.25">
      <c r="A627">
        <v>625</v>
      </c>
      <c r="B627">
        <v>3.4054000000000002</v>
      </c>
      <c r="C627" s="3">
        <v>3.3586333333333322</v>
      </c>
      <c r="D627" s="8">
        <f t="shared" si="104"/>
        <v>-4.6766666666667955E-2</v>
      </c>
      <c r="E627" s="8">
        <f t="shared" si="95"/>
        <v>-4.6730000000000826E-2</v>
      </c>
      <c r="F627" s="3">
        <v>12.4</v>
      </c>
      <c r="G627">
        <v>2594</v>
      </c>
      <c r="H627">
        <f t="shared" si="96"/>
        <v>-0.57945200000001029</v>
      </c>
      <c r="I627">
        <f t="shared" si="100"/>
        <v>-0.57945200000001029</v>
      </c>
      <c r="J627">
        <f t="shared" si="101"/>
        <v>-0.22338164996145346</v>
      </c>
      <c r="K627">
        <f t="shared" si="102"/>
        <v>-1.500000000000945E-4</v>
      </c>
      <c r="L627">
        <f t="shared" si="103"/>
        <v>-1.2666666666660831E-4</v>
      </c>
      <c r="M627">
        <f t="shared" si="97"/>
        <v>-1.383333333333514E-4</v>
      </c>
      <c r="N627">
        <f t="shared" si="98"/>
        <v>-3.2223960491596307E-4</v>
      </c>
      <c r="O627" s="3">
        <f t="shared" si="99"/>
        <v>-3.2223960491596308</v>
      </c>
      <c r="P627">
        <v>1250</v>
      </c>
    </row>
    <row r="628" spans="1:16" x14ac:dyDescent="0.25">
      <c r="A628">
        <v>626</v>
      </c>
      <c r="B628">
        <v>3.4051999999999998</v>
      </c>
      <c r="C628" s="3">
        <v>3.3585066666666661</v>
      </c>
      <c r="D628" s="8">
        <f t="shared" si="104"/>
        <v>-4.6693333333333698E-2</v>
      </c>
      <c r="E628" s="8">
        <f t="shared" si="95"/>
        <v>-4.664333333333337E-2</v>
      </c>
      <c r="F628" s="3">
        <v>12.308</v>
      </c>
      <c r="G628" s="9">
        <v>2584.8000000000002</v>
      </c>
      <c r="H628">
        <f t="shared" si="96"/>
        <v>-0.57408614666666713</v>
      </c>
      <c r="I628">
        <f t="shared" si="100"/>
        <v>-0.57408614666666713</v>
      </c>
      <c r="J628">
        <f t="shared" si="101"/>
        <v>-0.22210079954606435</v>
      </c>
      <c r="K628">
        <f t="shared" si="102"/>
        <v>-2.5000000000008349E-4</v>
      </c>
      <c r="L628">
        <f t="shared" si="103"/>
        <v>-1.6333333333262701E-4</v>
      </c>
      <c r="M628">
        <f t="shared" si="97"/>
        <v>-2.0666666666635525E-4</v>
      </c>
      <c r="N628">
        <f t="shared" si="98"/>
        <v>-2.1445587646227196E-4</v>
      </c>
      <c r="O628" s="3">
        <f t="shared" si="99"/>
        <v>-2.1445587646227198</v>
      </c>
      <c r="P628">
        <v>1252</v>
      </c>
    </row>
    <row r="629" spans="1:16" x14ac:dyDescent="0.25">
      <c r="A629">
        <v>627</v>
      </c>
      <c r="B629">
        <v>3.4049</v>
      </c>
      <c r="C629" s="3">
        <v>3.358306666666667</v>
      </c>
      <c r="D629" s="8">
        <f t="shared" si="104"/>
        <v>-4.6593333333333042E-2</v>
      </c>
      <c r="E629" s="8">
        <f t="shared" si="95"/>
        <v>-4.6766666666666623E-2</v>
      </c>
      <c r="F629" s="3">
        <v>12.215999999999999</v>
      </c>
      <c r="G629" s="9">
        <v>2575.6000000000004</v>
      </c>
      <c r="H629">
        <f t="shared" si="96"/>
        <v>-0.57130159999999941</v>
      </c>
      <c r="I629">
        <f t="shared" si="100"/>
        <v>-0.57130159999999941</v>
      </c>
      <c r="J629">
        <f t="shared" si="101"/>
        <v>-0.22181301444323628</v>
      </c>
      <c r="K629">
        <f t="shared" si="102"/>
        <v>-4.9999999999883471E-5</v>
      </c>
      <c r="L629">
        <f t="shared" si="103"/>
        <v>-1.7333333333313661E-4</v>
      </c>
      <c r="M629">
        <f t="shared" si="97"/>
        <v>-1.1166666666651004E-4</v>
      </c>
      <c r="N629">
        <f t="shared" si="98"/>
        <v>-3.9638912914512816E-4</v>
      </c>
      <c r="O629" s="3">
        <f t="shared" si="99"/>
        <v>-3.9638912914512816</v>
      </c>
      <c r="P629">
        <v>1254</v>
      </c>
    </row>
    <row r="630" spans="1:16" x14ac:dyDescent="0.25">
      <c r="A630">
        <v>628</v>
      </c>
      <c r="B630">
        <v>3.4051</v>
      </c>
      <c r="C630" s="3">
        <v>3.3581599999999998</v>
      </c>
      <c r="D630" s="8">
        <f t="shared" si="104"/>
        <v>-4.6940000000000204E-2</v>
      </c>
      <c r="E630" s="8">
        <f t="shared" si="95"/>
        <v>-4.6923333333333428E-2</v>
      </c>
      <c r="F630" s="3">
        <v>12.123999999999999</v>
      </c>
      <c r="G630" s="9">
        <v>2566.4000000000005</v>
      </c>
      <c r="H630">
        <f t="shared" si="96"/>
        <v>-0.56889849333333442</v>
      </c>
      <c r="I630">
        <f t="shared" si="100"/>
        <v>-0.56889849333333442</v>
      </c>
      <c r="J630">
        <f t="shared" si="101"/>
        <v>-0.22167179447215332</v>
      </c>
      <c r="K630">
        <f t="shared" si="102"/>
        <v>0</v>
      </c>
      <c r="L630">
        <f t="shared" si="103"/>
        <v>-1.5666666666680484E-4</v>
      </c>
      <c r="M630">
        <f t="shared" si="97"/>
        <v>-7.8333333333402422E-5</v>
      </c>
      <c r="N630">
        <f t="shared" si="98"/>
        <v>-5.6470559853661706E-4</v>
      </c>
      <c r="O630" s="3">
        <f t="shared" si="99"/>
        <v>-5.6470559853661708</v>
      </c>
      <c r="P630">
        <v>1256</v>
      </c>
    </row>
    <row r="631" spans="1:16" x14ac:dyDescent="0.25">
      <c r="A631">
        <v>629</v>
      </c>
      <c r="B631">
        <v>3.4049</v>
      </c>
      <c r="C631" s="3">
        <v>3.3579933333333334</v>
      </c>
      <c r="D631" s="8">
        <f t="shared" si="104"/>
        <v>-4.6906666666666652E-2</v>
      </c>
      <c r="E631" s="8">
        <f t="shared" si="95"/>
        <v>-4.6919999999999851E-2</v>
      </c>
      <c r="F631" s="3">
        <v>12.032</v>
      </c>
      <c r="G631" s="9">
        <v>2557.2000000000007</v>
      </c>
      <c r="H631">
        <f t="shared" si="96"/>
        <v>-0.56454143999999817</v>
      </c>
      <c r="I631">
        <f t="shared" si="100"/>
        <v>-0.56454143999999817</v>
      </c>
      <c r="J631">
        <f t="shared" si="101"/>
        <v>-0.22076546222430704</v>
      </c>
      <c r="K631">
        <f t="shared" si="102"/>
        <v>-1.9999999999997797E-4</v>
      </c>
      <c r="L631">
        <f t="shared" si="103"/>
        <v>-1.9666666666640076E-4</v>
      </c>
      <c r="M631">
        <f t="shared" si="97"/>
        <v>-1.9833333333318937E-4</v>
      </c>
      <c r="N631">
        <f t="shared" si="98"/>
        <v>-2.2212307848013788E-4</v>
      </c>
      <c r="O631" s="3">
        <f t="shared" si="99"/>
        <v>-2.2212307848013788</v>
      </c>
      <c r="P631">
        <v>1258</v>
      </c>
    </row>
    <row r="632" spans="1:16" x14ac:dyDescent="0.25">
      <c r="A632">
        <v>630</v>
      </c>
      <c r="B632">
        <v>3.4047000000000001</v>
      </c>
      <c r="C632" s="3">
        <v>3.357766666666667</v>
      </c>
      <c r="D632" s="8">
        <f t="shared" si="104"/>
        <v>-4.6933333333333049E-2</v>
      </c>
      <c r="E632" s="8">
        <f t="shared" si="95"/>
        <v>-4.6929999999999916E-2</v>
      </c>
      <c r="F632" s="3">
        <v>11.94</v>
      </c>
      <c r="G632" s="9">
        <v>2548.0000000000009</v>
      </c>
      <c r="H632">
        <f t="shared" si="96"/>
        <v>-0.56034419999999896</v>
      </c>
      <c r="I632">
        <f t="shared" si="100"/>
        <v>-0.56034419999999896</v>
      </c>
      <c r="J632">
        <f t="shared" si="101"/>
        <v>-0.2199153061224485</v>
      </c>
      <c r="K632">
        <f t="shared" si="102"/>
        <v>-1.9999999999997797E-4</v>
      </c>
      <c r="L632">
        <f t="shared" si="103"/>
        <v>-2.1000000000004349E-4</v>
      </c>
      <c r="M632">
        <f t="shared" si="97"/>
        <v>-2.0500000000001073E-4</v>
      </c>
      <c r="N632">
        <f t="shared" si="98"/>
        <v>-2.1407199689518601E-4</v>
      </c>
      <c r="O632" s="3">
        <f t="shared" si="99"/>
        <v>-2.1407199689518599</v>
      </c>
      <c r="P632">
        <v>1260</v>
      </c>
    </row>
    <row r="633" spans="1:16" x14ac:dyDescent="0.25">
      <c r="A633">
        <v>631</v>
      </c>
      <c r="B633">
        <v>3.4045000000000001</v>
      </c>
      <c r="C633" s="3">
        <v>3.3575733333333333</v>
      </c>
      <c r="D633" s="8">
        <f t="shared" si="104"/>
        <v>-4.6926666666666783E-2</v>
      </c>
      <c r="E633" s="8">
        <f t="shared" si="95"/>
        <v>-4.6913333333333362E-2</v>
      </c>
      <c r="F633" s="3">
        <v>11.847999999999999</v>
      </c>
      <c r="G633" s="9">
        <v>2538.8000000000011</v>
      </c>
      <c r="H633">
        <f t="shared" si="96"/>
        <v>-0.55582917333333359</v>
      </c>
      <c r="I633">
        <f t="shared" si="100"/>
        <v>-0.55582917333333359</v>
      </c>
      <c r="J633">
        <f t="shared" si="101"/>
        <v>-0.21893381650123417</v>
      </c>
      <c r="K633">
        <f t="shared" si="102"/>
        <v>-1.9999999999997797E-4</v>
      </c>
      <c r="L633">
        <f t="shared" si="103"/>
        <v>-1.8333333333342416E-4</v>
      </c>
      <c r="M633">
        <f t="shared" si="97"/>
        <v>-1.9166666666670107E-4</v>
      </c>
      <c r="N633">
        <f t="shared" si="98"/>
        <v>-2.2794208781150559E-4</v>
      </c>
      <c r="O633" s="3">
        <f t="shared" si="99"/>
        <v>-2.2794208781150558</v>
      </c>
      <c r="P633">
        <v>1262</v>
      </c>
    </row>
    <row r="634" spans="1:16" x14ac:dyDescent="0.25">
      <c r="A634">
        <v>632</v>
      </c>
      <c r="B634">
        <v>3.4043000000000001</v>
      </c>
      <c r="C634" s="3">
        <v>3.3574000000000002</v>
      </c>
      <c r="D634" s="8">
        <f t="shared" si="104"/>
        <v>-4.6899999999999942E-2</v>
      </c>
      <c r="E634" s="8">
        <f t="shared" si="95"/>
        <v>-4.695333333333318E-2</v>
      </c>
      <c r="F634" s="3">
        <v>11.755999999999998</v>
      </c>
      <c r="G634" s="9">
        <v>2529.6000000000008</v>
      </c>
      <c r="H634">
        <f t="shared" si="96"/>
        <v>-0.5519833866666648</v>
      </c>
      <c r="I634">
        <f t="shared" si="100"/>
        <v>-0.5519833866666648</v>
      </c>
      <c r="J634">
        <f t="shared" si="101"/>
        <v>-0.21820975121231209</v>
      </c>
      <c r="K634">
        <f t="shared" si="102"/>
        <v>-9.9999999999988987E-5</v>
      </c>
      <c r="L634">
        <f t="shared" si="103"/>
        <v>-1.3999999999980695E-4</v>
      </c>
      <c r="M634">
        <f t="shared" si="97"/>
        <v>-1.1999999999989797E-4</v>
      </c>
      <c r="N634">
        <f t="shared" si="98"/>
        <v>-3.6287008968659805E-4</v>
      </c>
      <c r="O634" s="3">
        <f t="shared" si="99"/>
        <v>-3.6287008968659804</v>
      </c>
      <c r="P634">
        <v>1264</v>
      </c>
    </row>
    <row r="635" spans="1:16" x14ac:dyDescent="0.25">
      <c r="A635">
        <v>633</v>
      </c>
      <c r="B635">
        <v>3.4043000000000001</v>
      </c>
      <c r="C635" s="3">
        <v>3.3572933333333337</v>
      </c>
      <c r="D635" s="8">
        <f t="shared" si="104"/>
        <v>-4.7006666666666419E-2</v>
      </c>
      <c r="E635" s="8">
        <f t="shared" si="95"/>
        <v>-4.6980000000000022E-2</v>
      </c>
      <c r="F635" s="3">
        <v>11.663999999999998</v>
      </c>
      <c r="G635" s="9">
        <v>2520.4000000000005</v>
      </c>
      <c r="H635">
        <f t="shared" si="96"/>
        <v>-0.54797472000000014</v>
      </c>
      <c r="I635">
        <f t="shared" si="100"/>
        <v>-0.54797472000000014</v>
      </c>
      <c r="J635">
        <f t="shared" si="101"/>
        <v>-0.21741577527376607</v>
      </c>
      <c r="K635">
        <f t="shared" si="102"/>
        <v>-5.0000000000105516E-5</v>
      </c>
      <c r="L635">
        <f t="shared" si="103"/>
        <v>-7.6666666666946881E-5</v>
      </c>
      <c r="M635">
        <f t="shared" si="97"/>
        <v>-6.3333333333526198E-5</v>
      </c>
      <c r="N635">
        <f t="shared" si="98"/>
        <v>-6.8504163916964099E-4</v>
      </c>
      <c r="O635" s="3">
        <f t="shared" si="99"/>
        <v>-6.8504163916964096</v>
      </c>
      <c r="P635">
        <v>1266</v>
      </c>
    </row>
    <row r="636" spans="1:16" x14ac:dyDescent="0.25">
      <c r="A636">
        <v>634</v>
      </c>
      <c r="B636">
        <v>3.4041999999999999</v>
      </c>
      <c r="C636" s="3">
        <v>3.3572466666666663</v>
      </c>
      <c r="D636" s="8">
        <f t="shared" si="104"/>
        <v>-4.6953333333333624E-2</v>
      </c>
      <c r="E636" s="8">
        <f t="shared" si="95"/>
        <v>-4.7023333333333417E-2</v>
      </c>
      <c r="F636" s="3">
        <v>11.571999999999999</v>
      </c>
      <c r="G636" s="9">
        <v>2511.2000000000007</v>
      </c>
      <c r="H636">
        <f t="shared" si="96"/>
        <v>-0.54415401333333424</v>
      </c>
      <c r="I636">
        <f t="shared" si="100"/>
        <v>-0.54415401333333424</v>
      </c>
      <c r="J636">
        <f t="shared" si="101"/>
        <v>-0.21669083041308301</v>
      </c>
      <c r="K636">
        <f t="shared" si="102"/>
        <v>-5.0000000000105516E-5</v>
      </c>
      <c r="L636">
        <f t="shared" si="103"/>
        <v>-9.333333333350069E-5</v>
      </c>
      <c r="M636">
        <f t="shared" si="97"/>
        <v>-7.1666666666803103E-5</v>
      </c>
      <c r="N636">
        <f t="shared" si="98"/>
        <v>-6.033670542988464E-4</v>
      </c>
      <c r="O636" s="3">
        <f t="shared" si="99"/>
        <v>-6.0336705429884638</v>
      </c>
      <c r="P636">
        <v>1268</v>
      </c>
    </row>
    <row r="637" spans="1:16" x14ac:dyDescent="0.25">
      <c r="A637">
        <v>635</v>
      </c>
      <c r="B637">
        <v>3.4041999999999999</v>
      </c>
      <c r="C637" s="3">
        <v>3.3571066666666667</v>
      </c>
      <c r="D637" s="8">
        <f t="shared" si="104"/>
        <v>-4.7093333333333209E-2</v>
      </c>
      <c r="E637" s="8">
        <f t="shared" si="95"/>
        <v>-4.7086666666666499E-2</v>
      </c>
      <c r="F637" s="3">
        <v>11.479999999999999</v>
      </c>
      <c r="G637" s="9">
        <v>2502.0000000000009</v>
      </c>
      <c r="H637">
        <f t="shared" si="96"/>
        <v>-0.54055493333333138</v>
      </c>
      <c r="I637">
        <f t="shared" si="100"/>
        <v>-0.54055493333333138</v>
      </c>
      <c r="J637">
        <f t="shared" si="101"/>
        <v>-0.21604913402611159</v>
      </c>
      <c r="K637">
        <f t="shared" si="102"/>
        <v>-1.4999999999987246E-4</v>
      </c>
      <c r="L637">
        <f t="shared" si="103"/>
        <v>-2.1333333333295457E-4</v>
      </c>
      <c r="M637">
        <f t="shared" si="97"/>
        <v>-1.8166666666641351E-4</v>
      </c>
      <c r="N637">
        <f t="shared" si="98"/>
        <v>-2.3732065936677547E-4</v>
      </c>
      <c r="O637" s="3">
        <f t="shared" si="99"/>
        <v>-2.3732065936677547</v>
      </c>
      <c r="P637">
        <v>1270</v>
      </c>
    </row>
    <row r="638" spans="1:16" x14ac:dyDescent="0.25">
      <c r="A638">
        <v>636</v>
      </c>
      <c r="B638">
        <v>3.4039000000000001</v>
      </c>
      <c r="C638" s="3">
        <v>3.3568200000000004</v>
      </c>
      <c r="D638" s="8">
        <f t="shared" si="104"/>
        <v>-4.7079999999999789E-2</v>
      </c>
      <c r="E638" s="8">
        <f t="shared" si="95"/>
        <v>-4.7219999999999374E-2</v>
      </c>
      <c r="F638" s="3">
        <v>11.387999999999998</v>
      </c>
      <c r="G638" s="9">
        <v>2492.8000000000006</v>
      </c>
      <c r="H638">
        <f t="shared" si="96"/>
        <v>-0.53774135999999273</v>
      </c>
      <c r="I638">
        <f t="shared" si="100"/>
        <v>-0.53774135999999273</v>
      </c>
      <c r="J638">
        <f t="shared" si="101"/>
        <v>-0.21571781129653106</v>
      </c>
      <c r="K638">
        <f t="shared" si="102"/>
        <v>-9.9999999999988987E-5</v>
      </c>
      <c r="L638">
        <f t="shared" si="103"/>
        <v>-2.3333333333286355E-4</v>
      </c>
      <c r="M638">
        <f t="shared" si="97"/>
        <v>-1.6666666666642627E-4</v>
      </c>
      <c r="N638">
        <f t="shared" si="98"/>
        <v>-2.5828282003932256E-4</v>
      </c>
      <c r="O638" s="3">
        <f t="shared" si="99"/>
        <v>-2.5828282003932257</v>
      </c>
      <c r="P638">
        <v>1272</v>
      </c>
    </row>
    <row r="639" spans="1:16" x14ac:dyDescent="0.25">
      <c r="A639">
        <v>637</v>
      </c>
      <c r="B639">
        <v>3.4039999999999999</v>
      </c>
      <c r="C639" s="3">
        <v>3.356640000000001</v>
      </c>
      <c r="D639" s="8">
        <f t="shared" si="104"/>
        <v>-4.7359999999998958E-2</v>
      </c>
      <c r="E639" s="8">
        <f t="shared" si="95"/>
        <v>-4.7393333333332732E-2</v>
      </c>
      <c r="F639" s="3">
        <v>11.295999999999998</v>
      </c>
      <c r="G639" s="9">
        <v>2483.6000000000004</v>
      </c>
      <c r="H639">
        <f t="shared" si="96"/>
        <v>-0.53535509333332643</v>
      </c>
      <c r="I639">
        <f t="shared" si="100"/>
        <v>-0.53535509333332643</v>
      </c>
      <c r="J639">
        <f t="shared" si="101"/>
        <v>-0.21555608525258751</v>
      </c>
      <c r="K639">
        <f t="shared" si="102"/>
        <v>0</v>
      </c>
      <c r="L639">
        <f t="shared" si="103"/>
        <v>-1.7333333333335865E-4</v>
      </c>
      <c r="M639">
        <f t="shared" si="97"/>
        <v>-8.6666666666679326E-5</v>
      </c>
      <c r="N639">
        <f t="shared" si="98"/>
        <v>-4.9632535102728974E-4</v>
      </c>
      <c r="O639" s="3">
        <f t="shared" si="99"/>
        <v>-4.9632535102728976</v>
      </c>
      <c r="P639">
        <v>1274</v>
      </c>
    </row>
    <row r="640" spans="1:16" x14ac:dyDescent="0.25">
      <c r="A640">
        <v>638</v>
      </c>
      <c r="B640">
        <v>3.4039000000000001</v>
      </c>
      <c r="C640" s="3">
        <v>3.3564733333333336</v>
      </c>
      <c r="D640" s="8">
        <f t="shared" si="104"/>
        <v>-4.7426666666666506E-2</v>
      </c>
      <c r="E640" s="8">
        <f t="shared" si="95"/>
        <v>-4.7546666666666848E-2</v>
      </c>
      <c r="F640" s="3">
        <v>11.203999999999997</v>
      </c>
      <c r="G640" s="9">
        <v>2474.4000000000005</v>
      </c>
      <c r="H640">
        <f t="shared" si="96"/>
        <v>-0.53271285333333518</v>
      </c>
      <c r="I640">
        <f t="shared" si="100"/>
        <v>-0.53271285333333518</v>
      </c>
      <c r="J640">
        <f t="shared" si="101"/>
        <v>-0.21528970794266694</v>
      </c>
      <c r="K640">
        <f t="shared" si="102"/>
        <v>0</v>
      </c>
      <c r="L640">
        <f t="shared" si="103"/>
        <v>-1.5333333333411581E-4</v>
      </c>
      <c r="M640">
        <f t="shared" si="97"/>
        <v>-7.6666666667057903E-5</v>
      </c>
      <c r="N640">
        <f t="shared" si="98"/>
        <v>-5.603700960498092E-4</v>
      </c>
      <c r="O640" s="3">
        <f t="shared" si="99"/>
        <v>-5.6037009604980916</v>
      </c>
      <c r="P640">
        <v>1276</v>
      </c>
    </row>
    <row r="641" spans="1:16" x14ac:dyDescent="0.25">
      <c r="A641">
        <v>639</v>
      </c>
      <c r="B641">
        <v>3.4039999999999999</v>
      </c>
      <c r="C641" s="3">
        <v>3.3563333333333327</v>
      </c>
      <c r="D641" s="8">
        <f t="shared" si="104"/>
        <v>-4.766666666666719E-2</v>
      </c>
      <c r="E641" s="8">
        <f t="shared" si="95"/>
        <v>-4.7653333333333547E-2</v>
      </c>
      <c r="F641" s="3">
        <v>11.111999999999998</v>
      </c>
      <c r="G641" s="9">
        <v>2465.2000000000007</v>
      </c>
      <c r="H641">
        <f t="shared" si="96"/>
        <v>-0.5295238400000023</v>
      </c>
      <c r="I641">
        <f t="shared" si="100"/>
        <v>-0.5295238400000023</v>
      </c>
      <c r="J641">
        <f t="shared" si="101"/>
        <v>-0.21479954567580811</v>
      </c>
      <c r="K641">
        <f t="shared" si="102"/>
        <v>-5.0000000000105516E-5</v>
      </c>
      <c r="L641">
        <f t="shared" si="103"/>
        <v>-1.5666666666680484E-4</v>
      </c>
      <c r="M641">
        <f t="shared" si="97"/>
        <v>-1.0333333333345518E-4</v>
      </c>
      <c r="N641">
        <f t="shared" si="98"/>
        <v>-4.1481187754054436E-4</v>
      </c>
      <c r="O641" s="3">
        <f t="shared" si="99"/>
        <v>-4.148118775405444</v>
      </c>
      <c r="P641">
        <v>1278</v>
      </c>
    </row>
    <row r="642" spans="1:16" x14ac:dyDescent="0.25">
      <c r="A642">
        <v>640</v>
      </c>
      <c r="B642">
        <v>3.4037999999999999</v>
      </c>
      <c r="C642" s="3">
        <v>3.35616</v>
      </c>
      <c r="D642" s="8">
        <f t="shared" si="104"/>
        <v>-4.7639999999999905E-2</v>
      </c>
      <c r="E642" s="8">
        <f t="shared" si="95"/>
        <v>-4.7693333333333365E-2</v>
      </c>
      <c r="F642" s="3">
        <v>11.019999999999998</v>
      </c>
      <c r="G642" s="9">
        <v>2456.0000000000005</v>
      </c>
      <c r="H642">
        <f t="shared" si="96"/>
        <v>-0.52558053333333354</v>
      </c>
      <c r="I642">
        <f t="shared" si="100"/>
        <v>-0.52558053333333354</v>
      </c>
      <c r="J642">
        <f t="shared" si="101"/>
        <v>-0.21399858849077094</v>
      </c>
      <c r="K642">
        <f t="shared" si="102"/>
        <v>-1.4999999999987246E-4</v>
      </c>
      <c r="L642">
        <f t="shared" si="103"/>
        <v>-1.8999999999969042E-4</v>
      </c>
      <c r="M642">
        <f t="shared" si="97"/>
        <v>-1.6999999999978144E-4</v>
      </c>
      <c r="N642">
        <f t="shared" si="98"/>
        <v>-2.5120035648505711E-4</v>
      </c>
      <c r="O642" s="3">
        <f t="shared" si="99"/>
        <v>-2.5120035648505712</v>
      </c>
      <c r="P642">
        <v>1280</v>
      </c>
    </row>
    <row r="643" spans="1:16" x14ac:dyDescent="0.25">
      <c r="A643">
        <v>641</v>
      </c>
      <c r="B643">
        <v>3.4037000000000002</v>
      </c>
      <c r="C643" s="3">
        <v>3.3559533333333333</v>
      </c>
      <c r="D643" s="8">
        <f t="shared" si="104"/>
        <v>-4.7746666666666826E-2</v>
      </c>
      <c r="E643" s="8">
        <f t="shared" si="95"/>
        <v>-4.771619047619069E-2</v>
      </c>
      <c r="F643" s="3">
        <v>10.927999999999997</v>
      </c>
      <c r="G643" s="9">
        <v>2446.8000000000002</v>
      </c>
      <c r="H643">
        <f t="shared" si="96"/>
        <v>-0.52144252952381176</v>
      </c>
      <c r="I643">
        <f t="shared" si="100"/>
        <v>-0.52144252952381176</v>
      </c>
      <c r="J643">
        <f t="shared" si="101"/>
        <v>-0.21311203593420455</v>
      </c>
      <c r="K643">
        <f t="shared" si="102"/>
        <v>-1.4999999999987246E-4</v>
      </c>
      <c r="L643">
        <f t="shared" si="103"/>
        <v>-1.7285714285719678E-4</v>
      </c>
      <c r="M643">
        <f t="shared" si="97"/>
        <v>-1.6142857142853462E-4</v>
      </c>
      <c r="N643">
        <f t="shared" si="98"/>
        <v>-2.6344249969268341E-4</v>
      </c>
      <c r="O643" s="3">
        <f t="shared" si="99"/>
        <v>-2.6344249969268341</v>
      </c>
      <c r="P643">
        <v>1282</v>
      </c>
    </row>
    <row r="644" spans="1:16" x14ac:dyDescent="0.25">
      <c r="A644">
        <v>642</v>
      </c>
      <c r="B644">
        <v>3.4035000000000002</v>
      </c>
      <c r="C644" s="3">
        <v>3.3558142857142856</v>
      </c>
      <c r="D644" s="8">
        <f t="shared" si="104"/>
        <v>-4.7685714285714553E-2</v>
      </c>
      <c r="E644" s="8">
        <f t="shared" ref="E644:E707" si="105">(D644+D645)/2</f>
        <v>-4.7789285714285645E-2</v>
      </c>
      <c r="F644" s="3">
        <v>10.835999999999997</v>
      </c>
      <c r="G644" s="9">
        <v>2437.6000000000004</v>
      </c>
      <c r="H644">
        <f t="shared" ref="H644:H707" si="106">E644*F644</f>
        <v>-0.51784469999999905</v>
      </c>
      <c r="I644">
        <f t="shared" si="100"/>
        <v>-0.51784469999999905</v>
      </c>
      <c r="J644">
        <f t="shared" si="101"/>
        <v>-0.21244039218903796</v>
      </c>
      <c r="K644">
        <f t="shared" si="102"/>
        <v>-1.500000000000945E-4</v>
      </c>
      <c r="L644">
        <f t="shared" si="103"/>
        <v>-2.2309523809505016E-4</v>
      </c>
      <c r="M644">
        <f t="shared" si="97"/>
        <v>-1.8654761904757233E-4</v>
      </c>
      <c r="N644">
        <f t="shared" si="98"/>
        <v>-2.2725091893563215E-4</v>
      </c>
      <c r="O644" s="3">
        <f t="shared" si="99"/>
        <v>-2.2725091893563216</v>
      </c>
      <c r="P644">
        <v>1284</v>
      </c>
    </row>
    <row r="645" spans="1:16" x14ac:dyDescent="0.25">
      <c r="A645">
        <v>643</v>
      </c>
      <c r="B645">
        <v>3.4034</v>
      </c>
      <c r="C645" s="3">
        <v>3.3555071428571432</v>
      </c>
      <c r="D645" s="8">
        <f t="shared" si="104"/>
        <v>-4.7892857142856737E-2</v>
      </c>
      <c r="E645" s="8">
        <f t="shared" si="105"/>
        <v>-4.7964285714285015E-2</v>
      </c>
      <c r="F645" s="3">
        <v>10.743999999999996</v>
      </c>
      <c r="G645" s="9">
        <v>2428.4000000000005</v>
      </c>
      <c r="H645">
        <f t="shared" si="106"/>
        <v>-0.51532828571427802</v>
      </c>
      <c r="I645">
        <f t="shared" si="100"/>
        <v>-0.51532828571427802</v>
      </c>
      <c r="J645">
        <f t="shared" si="101"/>
        <v>-0.21220897945737024</v>
      </c>
      <c r="K645">
        <f t="shared" si="102"/>
        <v>-5.0000000000105516E-5</v>
      </c>
      <c r="L645">
        <f t="shared" si="103"/>
        <v>-2.2499999999947562E-4</v>
      </c>
      <c r="M645">
        <f t="shared" ref="M645:M708" si="107">(K645+L645)/2</f>
        <v>-1.3749999999979057E-4</v>
      </c>
      <c r="N645">
        <f t="shared" ref="N645:N708" si="108">-J645/(M645*86400*58)</f>
        <v>-3.079777363544837E-4</v>
      </c>
      <c r="O645" s="3">
        <f t="shared" ref="O645:O708" si="109">N645*10000</f>
        <v>-3.0797773635448369</v>
      </c>
      <c r="P645">
        <v>1286</v>
      </c>
    </row>
    <row r="646" spans="1:16" x14ac:dyDescent="0.25">
      <c r="A646">
        <v>644</v>
      </c>
      <c r="B646">
        <v>3.4034</v>
      </c>
      <c r="C646" s="3">
        <v>3.3553642857142867</v>
      </c>
      <c r="D646" s="8">
        <f t="shared" si="104"/>
        <v>-4.8035714285713293E-2</v>
      </c>
      <c r="E646" s="8">
        <f t="shared" si="105"/>
        <v>-4.8014285714285121E-2</v>
      </c>
      <c r="F646" s="3">
        <v>10.651999999999997</v>
      </c>
      <c r="G646" s="9">
        <v>2419.2000000000003</v>
      </c>
      <c r="H646">
        <f t="shared" si="106"/>
        <v>-0.51144817142856502</v>
      </c>
      <c r="I646">
        <f t="shared" si="100"/>
        <v>-0.51144817142856502</v>
      </c>
      <c r="J646">
        <f t="shared" si="101"/>
        <v>-0.21141210789871237</v>
      </c>
      <c r="K646">
        <f t="shared" si="102"/>
        <v>-9.9999999999988987E-5</v>
      </c>
      <c r="L646">
        <f t="shared" si="103"/>
        <v>-1.500000000000945E-4</v>
      </c>
      <c r="M646">
        <f t="shared" si="107"/>
        <v>-1.2500000000004174E-4</v>
      </c>
      <c r="N646">
        <f t="shared" si="108"/>
        <v>-3.3750336510000281E-4</v>
      </c>
      <c r="O646" s="3">
        <f t="shared" si="109"/>
        <v>-3.3750336510000283</v>
      </c>
      <c r="P646">
        <v>1288</v>
      </c>
    </row>
    <row r="647" spans="1:16" x14ac:dyDescent="0.25">
      <c r="A647">
        <v>645</v>
      </c>
      <c r="B647">
        <v>3.4032</v>
      </c>
      <c r="C647" s="3">
        <v>3.3552071428571431</v>
      </c>
      <c r="D647" s="8">
        <f t="shared" si="104"/>
        <v>-4.7992857142856948E-2</v>
      </c>
      <c r="E647" s="8">
        <f t="shared" si="105"/>
        <v>-4.7949999999999715E-2</v>
      </c>
      <c r="F647" s="3">
        <v>10.559999999999997</v>
      </c>
      <c r="G647" s="9">
        <v>2410</v>
      </c>
      <c r="H647">
        <f t="shared" si="106"/>
        <v>-0.5063519999999968</v>
      </c>
      <c r="I647">
        <f t="shared" si="100"/>
        <v>-0.5063519999999968</v>
      </c>
      <c r="J647">
        <f t="shared" si="101"/>
        <v>-0.21010456431535135</v>
      </c>
      <c r="K647">
        <f t="shared" si="102"/>
        <v>-2.5000000000008349E-4</v>
      </c>
      <c r="L647">
        <f t="shared" si="103"/>
        <v>-1.8571428571467763E-4</v>
      </c>
      <c r="M647">
        <f t="shared" si="107"/>
        <v>-2.1785714285738056E-4</v>
      </c>
      <c r="N647">
        <f t="shared" si="108"/>
        <v>-1.9245178671328418E-4</v>
      </c>
      <c r="O647" s="3">
        <f t="shared" si="109"/>
        <v>-1.9245178671328418</v>
      </c>
      <c r="P647">
        <v>1290</v>
      </c>
    </row>
    <row r="648" spans="1:16" x14ac:dyDescent="0.25">
      <c r="A648">
        <v>646</v>
      </c>
      <c r="B648">
        <v>3.4028999999999998</v>
      </c>
      <c r="C648" s="3">
        <v>3.3549928571428573</v>
      </c>
      <c r="D648" s="8">
        <f t="shared" si="104"/>
        <v>-4.7907142857142482E-2</v>
      </c>
      <c r="E648" s="8">
        <f t="shared" si="105"/>
        <v>-4.7889285714285856E-2</v>
      </c>
      <c r="F648" s="3">
        <v>10.467999999999998</v>
      </c>
      <c r="G648" s="9">
        <v>2400.8000000000002</v>
      </c>
      <c r="H648">
        <f t="shared" si="106"/>
        <v>-0.50130504285714428</v>
      </c>
      <c r="I648">
        <f t="shared" si="100"/>
        <v>-0.50130504285714428</v>
      </c>
      <c r="J648">
        <f t="shared" si="101"/>
        <v>-0.20880749869091311</v>
      </c>
      <c r="K648">
        <f t="shared" si="102"/>
        <v>-1.9999999999997797E-4</v>
      </c>
      <c r="L648">
        <f t="shared" si="103"/>
        <v>-1.3928571428611924E-4</v>
      </c>
      <c r="M648">
        <f t="shared" si="107"/>
        <v>-1.6964285714304861E-4</v>
      </c>
      <c r="N648">
        <f t="shared" si="108"/>
        <v>-2.4562285589076129E-4</v>
      </c>
      <c r="O648" s="3">
        <f t="shared" si="109"/>
        <v>-2.4562285589076129</v>
      </c>
      <c r="P648">
        <v>1292</v>
      </c>
    </row>
    <row r="649" spans="1:16" x14ac:dyDescent="0.25">
      <c r="A649">
        <v>647</v>
      </c>
      <c r="B649">
        <v>3.4028</v>
      </c>
      <c r="C649" s="3">
        <v>3.3549285714285708</v>
      </c>
      <c r="D649" s="8">
        <f t="shared" si="104"/>
        <v>-4.7871428571429231E-2</v>
      </c>
      <c r="E649" s="8">
        <f t="shared" si="105"/>
        <v>-4.8042857142857498E-2</v>
      </c>
      <c r="F649" s="3">
        <v>10.375999999999999</v>
      </c>
      <c r="G649" s="9">
        <v>2391.6000000000004</v>
      </c>
      <c r="H649">
        <f t="shared" si="106"/>
        <v>-0.4984926857142894</v>
      </c>
      <c r="I649">
        <f t="shared" si="100"/>
        <v>-0.4984926857142894</v>
      </c>
      <c r="J649">
        <f t="shared" si="101"/>
        <v>-0.20843480754067961</v>
      </c>
      <c r="K649">
        <f t="shared" si="102"/>
        <v>0</v>
      </c>
      <c r="L649">
        <f t="shared" si="103"/>
        <v>-1.5357142857164163E-4</v>
      </c>
      <c r="M649">
        <f t="shared" si="107"/>
        <v>-7.6785714285820816E-5</v>
      </c>
      <c r="N649">
        <f t="shared" si="108"/>
        <v>-5.4168658587377592E-4</v>
      </c>
      <c r="O649" s="3">
        <f t="shared" si="109"/>
        <v>-5.4168658587377587</v>
      </c>
      <c r="P649">
        <v>1294</v>
      </c>
    </row>
    <row r="650" spans="1:16" x14ac:dyDescent="0.25">
      <c r="A650">
        <v>648</v>
      </c>
      <c r="B650">
        <v>3.4028999999999998</v>
      </c>
      <c r="C650" s="3">
        <v>3.354685714285714</v>
      </c>
      <c r="D650" s="8">
        <f t="shared" si="104"/>
        <v>-4.8214285714285765E-2</v>
      </c>
      <c r="E650" s="8">
        <f t="shared" si="105"/>
        <v>-4.8110714285714229E-2</v>
      </c>
      <c r="F650" s="3">
        <v>10.283999999999999</v>
      </c>
      <c r="G650" s="9">
        <v>2382.4</v>
      </c>
      <c r="H650">
        <f t="shared" si="106"/>
        <v>-0.49477058571428506</v>
      </c>
      <c r="I650">
        <f t="shared" si="100"/>
        <v>-0.49477058571428506</v>
      </c>
      <c r="J650">
        <f t="shared" si="101"/>
        <v>-0.20767737815408205</v>
      </c>
      <c r="K650">
        <f t="shared" si="102"/>
        <v>-1.500000000000945E-4</v>
      </c>
      <c r="L650">
        <f t="shared" si="103"/>
        <v>-2.1785714285682545E-4</v>
      </c>
      <c r="M650">
        <f t="shared" si="107"/>
        <v>-1.8392857142845997E-4</v>
      </c>
      <c r="N650">
        <f t="shared" si="108"/>
        <v>-2.2531923010196271E-4</v>
      </c>
      <c r="O650" s="3">
        <f t="shared" si="109"/>
        <v>-2.2531923010196273</v>
      </c>
      <c r="P650">
        <v>1296</v>
      </c>
    </row>
    <row r="651" spans="1:16" x14ac:dyDescent="0.25">
      <c r="A651">
        <v>649</v>
      </c>
      <c r="B651">
        <v>3.4024999999999999</v>
      </c>
      <c r="C651" s="3">
        <v>3.3544928571428572</v>
      </c>
      <c r="D651" s="8">
        <f t="shared" si="104"/>
        <v>-4.8007142857142693E-2</v>
      </c>
      <c r="E651" s="8">
        <f t="shared" si="105"/>
        <v>-4.796428571428546E-2</v>
      </c>
      <c r="F651" s="3">
        <v>10.191999999999998</v>
      </c>
      <c r="G651" s="9">
        <v>2373.1999999999998</v>
      </c>
      <c r="H651">
        <f t="shared" si="106"/>
        <v>-0.48885199999999734</v>
      </c>
      <c r="I651">
        <f t="shared" si="100"/>
        <v>-0.48885199999999734</v>
      </c>
      <c r="J651">
        <f t="shared" si="101"/>
        <v>-0.20598853868194733</v>
      </c>
      <c r="K651">
        <f t="shared" si="102"/>
        <v>-3.4999999999985043E-4</v>
      </c>
      <c r="L651">
        <f t="shared" si="103"/>
        <v>-2.0357142857108101E-4</v>
      </c>
      <c r="M651">
        <f t="shared" si="107"/>
        <v>-2.7678571428546572E-4</v>
      </c>
      <c r="N651">
        <f t="shared" si="108"/>
        <v>-1.4851066728205475E-4</v>
      </c>
      <c r="O651" s="3">
        <f t="shared" si="109"/>
        <v>-1.4851066728205475</v>
      </c>
      <c r="P651">
        <v>1298</v>
      </c>
    </row>
    <row r="652" spans="1:16" x14ac:dyDescent="0.25">
      <c r="A652">
        <v>650</v>
      </c>
      <c r="B652">
        <v>3.4022000000000001</v>
      </c>
      <c r="C652" s="3">
        <v>3.3542785714285719</v>
      </c>
      <c r="D652" s="8">
        <f t="shared" si="104"/>
        <v>-4.7921428571428226E-2</v>
      </c>
      <c r="E652" s="8">
        <f t="shared" si="105"/>
        <v>-4.7949999999999937E-2</v>
      </c>
      <c r="F652" s="3">
        <v>10.1</v>
      </c>
      <c r="G652">
        <v>2364</v>
      </c>
      <c r="H652">
        <f t="shared" si="106"/>
        <v>-0.48429499999999936</v>
      </c>
      <c r="I652">
        <f t="shared" si="100"/>
        <v>-0.48429499999999936</v>
      </c>
      <c r="J652">
        <f t="shared" si="101"/>
        <v>-0.20486252115059195</v>
      </c>
      <c r="K652">
        <f t="shared" si="102"/>
        <v>-2.4999999999986144E-4</v>
      </c>
      <c r="L652">
        <f t="shared" si="103"/>
        <v>-2.3571428571433906E-4</v>
      </c>
      <c r="M652">
        <f t="shared" si="107"/>
        <v>-2.4285714285710025E-4</v>
      </c>
      <c r="N652">
        <f t="shared" si="108"/>
        <v>-1.6833324506686145E-4</v>
      </c>
      <c r="O652" s="3">
        <f t="shared" si="109"/>
        <v>-1.6833324506686145</v>
      </c>
      <c r="P652">
        <v>1300</v>
      </c>
    </row>
    <row r="653" spans="1:16" x14ac:dyDescent="0.25">
      <c r="A653">
        <v>651</v>
      </c>
      <c r="B653">
        <v>3.4020000000000001</v>
      </c>
      <c r="C653" s="3">
        <v>3.3540214285714285</v>
      </c>
      <c r="D653" s="8">
        <f t="shared" si="104"/>
        <v>-4.7978571428571648E-2</v>
      </c>
      <c r="E653" s="8">
        <f t="shared" si="105"/>
        <v>-4.8042857142857276E-2</v>
      </c>
      <c r="F653" s="3">
        <v>9.9640000000000004</v>
      </c>
      <c r="G653" s="9">
        <v>2335.7600000000002</v>
      </c>
      <c r="H653">
        <f t="shared" si="106"/>
        <v>-0.47869902857142993</v>
      </c>
      <c r="I653">
        <f t="shared" si="100"/>
        <v>-0.47869902857142993</v>
      </c>
      <c r="J653">
        <f t="shared" si="101"/>
        <v>-0.20494358520200273</v>
      </c>
      <c r="K653">
        <f t="shared" si="102"/>
        <v>-1.500000000000945E-4</v>
      </c>
      <c r="L653">
        <f t="shared" si="103"/>
        <v>-2.4285714285743332E-4</v>
      </c>
      <c r="M653">
        <f t="shared" si="107"/>
        <v>-1.9642857142876391E-4</v>
      </c>
      <c r="N653">
        <f t="shared" si="108"/>
        <v>-2.0820345646299393E-4</v>
      </c>
      <c r="O653" s="3">
        <f t="shared" si="109"/>
        <v>-2.0820345646299394</v>
      </c>
      <c r="P653">
        <v>1302</v>
      </c>
    </row>
    <row r="654" spans="1:16" x14ac:dyDescent="0.25">
      <c r="A654">
        <v>652</v>
      </c>
      <c r="B654">
        <v>3.4018999999999999</v>
      </c>
      <c r="C654" s="3">
        <v>3.353792857142857</v>
      </c>
      <c r="D654" s="8">
        <f t="shared" si="104"/>
        <v>-4.8107142857142904E-2</v>
      </c>
      <c r="E654" s="8">
        <f t="shared" si="105"/>
        <v>-4.8096428571428484E-2</v>
      </c>
      <c r="F654" s="3">
        <v>9.8279999999999994</v>
      </c>
      <c r="G654" s="9">
        <v>2307.5200000000004</v>
      </c>
      <c r="H654">
        <f t="shared" si="106"/>
        <v>-0.4726916999999991</v>
      </c>
      <c r="I654">
        <f t="shared" si="100"/>
        <v>-0.4726916999999991</v>
      </c>
      <c r="J654">
        <f t="shared" si="101"/>
        <v>-0.20484836534461198</v>
      </c>
      <c r="K654">
        <f t="shared" si="102"/>
        <v>-1.500000000000945E-4</v>
      </c>
      <c r="L654">
        <f t="shared" si="103"/>
        <v>-2.0357142857130306E-4</v>
      </c>
      <c r="M654">
        <f t="shared" si="107"/>
        <v>-1.7678571428569878E-4</v>
      </c>
      <c r="N654">
        <f t="shared" si="108"/>
        <v>-2.3122969113426888E-4</v>
      </c>
      <c r="O654" s="3">
        <f t="shared" si="109"/>
        <v>-2.3122969113426888</v>
      </c>
      <c r="P654">
        <v>1304</v>
      </c>
    </row>
    <row r="655" spans="1:16" x14ac:dyDescent="0.25">
      <c r="A655">
        <v>653</v>
      </c>
      <c r="B655">
        <v>3.4016999999999999</v>
      </c>
      <c r="C655" s="3">
        <v>3.3536142857142859</v>
      </c>
      <c r="D655" s="8">
        <f t="shared" si="104"/>
        <v>-4.8085714285714065E-2</v>
      </c>
      <c r="E655" s="8">
        <f t="shared" si="105"/>
        <v>-4.8117857142857101E-2</v>
      </c>
      <c r="F655" s="3">
        <v>9.6920000000000002</v>
      </c>
      <c r="G655" s="9">
        <v>2279.2800000000002</v>
      </c>
      <c r="H655">
        <f t="shared" si="106"/>
        <v>-0.46635827142857106</v>
      </c>
      <c r="I655">
        <f t="shared" si="100"/>
        <v>-0.46635827142857106</v>
      </c>
      <c r="J655">
        <f t="shared" si="101"/>
        <v>-0.20460771446622222</v>
      </c>
      <c r="K655">
        <f t="shared" si="102"/>
        <v>-1.4999999999987246E-4</v>
      </c>
      <c r="L655">
        <f t="shared" si="103"/>
        <v>-1.7142857142848911E-4</v>
      </c>
      <c r="M655">
        <f t="shared" si="107"/>
        <v>-1.6071428571418078E-4</v>
      </c>
      <c r="N655">
        <f t="shared" si="108"/>
        <v>-2.5405385292757391E-4</v>
      </c>
      <c r="O655" s="3">
        <f t="shared" si="109"/>
        <v>-2.540538529275739</v>
      </c>
      <c r="P655">
        <v>1306</v>
      </c>
    </row>
    <row r="656" spans="1:16" x14ac:dyDescent="0.25">
      <c r="A656">
        <v>654</v>
      </c>
      <c r="B656">
        <v>3.4016000000000002</v>
      </c>
      <c r="C656" s="3">
        <v>3.35345</v>
      </c>
      <c r="D656" s="8">
        <f t="shared" si="104"/>
        <v>-4.8150000000000137E-2</v>
      </c>
      <c r="E656" s="8">
        <f t="shared" si="105"/>
        <v>-4.8110714285714451E-2</v>
      </c>
      <c r="F656" s="3">
        <v>9.5560000000000009</v>
      </c>
      <c r="G656" s="9">
        <v>2251.04</v>
      </c>
      <c r="H656">
        <f t="shared" si="106"/>
        <v>-0.45974598571428732</v>
      </c>
      <c r="I656">
        <f t="shared" si="100"/>
        <v>-0.45974598571428732</v>
      </c>
      <c r="J656">
        <f t="shared" si="101"/>
        <v>-0.20423714625874589</v>
      </c>
      <c r="K656">
        <f t="shared" si="102"/>
        <v>-1.9999999999997797E-4</v>
      </c>
      <c r="L656">
        <f t="shared" si="103"/>
        <v>-1.928571428573278E-4</v>
      </c>
      <c r="M656">
        <f t="shared" si="107"/>
        <v>-1.9642857142865289E-4</v>
      </c>
      <c r="N656">
        <f t="shared" si="108"/>
        <v>-2.0748578076898707E-4</v>
      </c>
      <c r="O656" s="3">
        <f t="shared" si="109"/>
        <v>-2.0748578076898707</v>
      </c>
      <c r="P656">
        <v>1308</v>
      </c>
    </row>
    <row r="657" spans="1:16" x14ac:dyDescent="0.25">
      <c r="A657">
        <v>655</v>
      </c>
      <c r="B657">
        <v>3.4013</v>
      </c>
      <c r="C657" s="3">
        <v>3.3532285714285712</v>
      </c>
      <c r="D657" s="8">
        <f t="shared" si="104"/>
        <v>-4.8071428571428765E-2</v>
      </c>
      <c r="E657" s="8">
        <f t="shared" si="105"/>
        <v>-4.803571428571396E-2</v>
      </c>
      <c r="F657" s="3">
        <v>9.42</v>
      </c>
      <c r="G657" s="9">
        <v>2222.8000000000002</v>
      </c>
      <c r="H657">
        <f t="shared" si="106"/>
        <v>-0.45249642857142547</v>
      </c>
      <c r="I657">
        <f t="shared" si="100"/>
        <v>-0.45249642857142547</v>
      </c>
      <c r="J657">
        <f t="shared" si="101"/>
        <v>-0.20357046453636199</v>
      </c>
      <c r="K657">
        <f t="shared" si="102"/>
        <v>-3.00000000000189E-4</v>
      </c>
      <c r="L657">
        <f t="shared" si="103"/>
        <v>-2.2499999999969766E-4</v>
      </c>
      <c r="M657">
        <f t="shared" si="107"/>
        <v>-2.6249999999994333E-4</v>
      </c>
      <c r="N657">
        <f t="shared" si="108"/>
        <v>-1.5475465588427138E-4</v>
      </c>
      <c r="O657" s="3">
        <f t="shared" si="109"/>
        <v>-1.5475465588427137</v>
      </c>
      <c r="P657">
        <v>1310</v>
      </c>
    </row>
    <row r="658" spans="1:16" x14ac:dyDescent="0.25">
      <c r="A658">
        <v>656</v>
      </c>
      <c r="B658">
        <v>3.4009999999999998</v>
      </c>
      <c r="C658" s="3">
        <v>3.3530000000000006</v>
      </c>
      <c r="D658" s="8">
        <f t="shared" si="104"/>
        <v>-4.7999999999999154E-2</v>
      </c>
      <c r="E658" s="8">
        <f t="shared" si="105"/>
        <v>-4.8074999999999868E-2</v>
      </c>
      <c r="F658" s="3">
        <v>9.2840000000000007</v>
      </c>
      <c r="G658" s="9">
        <v>2194.5600000000004</v>
      </c>
      <c r="H658">
        <f t="shared" si="106"/>
        <v>-0.44632829999999879</v>
      </c>
      <c r="I658">
        <f t="shared" si="100"/>
        <v>-0.44632829999999879</v>
      </c>
      <c r="J658">
        <f t="shared" si="101"/>
        <v>-0.20337940179352521</v>
      </c>
      <c r="K658">
        <f t="shared" si="102"/>
        <v>-1.9999999999997797E-4</v>
      </c>
      <c r="L658">
        <f t="shared" si="103"/>
        <v>-2.3928571428588619E-4</v>
      </c>
      <c r="M658">
        <f t="shared" si="107"/>
        <v>-2.1964285714293208E-4</v>
      </c>
      <c r="N658">
        <f t="shared" si="108"/>
        <v>-1.8477709930460689E-4</v>
      </c>
      <c r="O658" s="3">
        <f t="shared" si="109"/>
        <v>-1.8477709930460688</v>
      </c>
      <c r="P658">
        <v>1312</v>
      </c>
    </row>
    <row r="659" spans="1:16" x14ac:dyDescent="0.25">
      <c r="A659">
        <v>657</v>
      </c>
      <c r="B659">
        <v>3.4009</v>
      </c>
      <c r="C659" s="3">
        <v>3.3527499999999995</v>
      </c>
      <c r="D659" s="8">
        <f t="shared" si="104"/>
        <v>-4.8150000000000581E-2</v>
      </c>
      <c r="E659" s="8">
        <f t="shared" si="105"/>
        <v>-4.8264285714285871E-2</v>
      </c>
      <c r="F659" s="3">
        <v>9.1479999999999997</v>
      </c>
      <c r="G659" s="9">
        <v>2166.3200000000002</v>
      </c>
      <c r="H659">
        <f t="shared" si="106"/>
        <v>-0.44152168571428713</v>
      </c>
      <c r="I659">
        <f t="shared" si="100"/>
        <v>-0.44152168571428713</v>
      </c>
      <c r="J659">
        <f t="shared" si="101"/>
        <v>-0.20381184945635322</v>
      </c>
      <c r="K659">
        <f t="shared" si="102"/>
        <v>-4.9999999999883471E-5</v>
      </c>
      <c r="L659">
        <f t="shared" si="103"/>
        <v>-2.3928571428588619E-4</v>
      </c>
      <c r="M659">
        <f t="shared" si="107"/>
        <v>-1.4464285714288483E-4</v>
      </c>
      <c r="N659">
        <f t="shared" si="108"/>
        <v>-2.8118406299650745E-4</v>
      </c>
      <c r="O659" s="3">
        <f t="shared" si="109"/>
        <v>-2.8118406299650744</v>
      </c>
      <c r="P659">
        <v>1314</v>
      </c>
    </row>
    <row r="660" spans="1:16" x14ac:dyDescent="0.25">
      <c r="A660">
        <v>658</v>
      </c>
      <c r="B660">
        <v>3.4009</v>
      </c>
      <c r="C660" s="3">
        <v>3.3525214285714289</v>
      </c>
      <c r="D660" s="8">
        <f t="shared" si="104"/>
        <v>-4.837857142857116E-2</v>
      </c>
      <c r="E660" s="8">
        <f t="shared" si="105"/>
        <v>-4.8421428571428393E-2</v>
      </c>
      <c r="F660" s="3">
        <v>9.0120000000000005</v>
      </c>
      <c r="G660" s="9">
        <v>2138.08</v>
      </c>
      <c r="H660">
        <f t="shared" si="106"/>
        <v>-0.43637391428571271</v>
      </c>
      <c r="I660">
        <f t="shared" si="100"/>
        <v>-0.43637391428571271</v>
      </c>
      <c r="J660">
        <f t="shared" si="101"/>
        <v>-0.20409615836905667</v>
      </c>
      <c r="K660">
        <f t="shared" si="102"/>
        <v>0</v>
      </c>
      <c r="L660">
        <f t="shared" si="103"/>
        <v>-1.5714285714252263E-4</v>
      </c>
      <c r="M660">
        <f t="shared" si="107"/>
        <v>-7.8571428571261315E-5</v>
      </c>
      <c r="N660">
        <f t="shared" si="108"/>
        <v>-5.1835637574975258E-4</v>
      </c>
      <c r="O660" s="3">
        <f t="shared" si="109"/>
        <v>-5.1835637574975255</v>
      </c>
      <c r="P660">
        <v>1316</v>
      </c>
    </row>
    <row r="661" spans="1:16" x14ac:dyDescent="0.25">
      <c r="A661">
        <v>659</v>
      </c>
      <c r="B661">
        <v>3.4009</v>
      </c>
      <c r="C661" s="3">
        <v>3.3524357142857144</v>
      </c>
      <c r="D661" s="8">
        <f t="shared" si="104"/>
        <v>-4.8464285714285626E-2</v>
      </c>
      <c r="E661" s="8">
        <f t="shared" si="105"/>
        <v>-4.8428571428571265E-2</v>
      </c>
      <c r="F661" s="3">
        <v>8.8760000000000012</v>
      </c>
      <c r="G661" s="9">
        <v>2109.84</v>
      </c>
      <c r="H661">
        <f t="shared" si="106"/>
        <v>-0.42985199999999862</v>
      </c>
      <c r="I661">
        <f t="shared" si="100"/>
        <v>-0.42985199999999862</v>
      </c>
      <c r="J661">
        <f t="shared" si="101"/>
        <v>-0.20373677624843523</v>
      </c>
      <c r="K661">
        <f t="shared" si="102"/>
        <v>-1.500000000000945E-4</v>
      </c>
      <c r="L661">
        <f t="shared" si="103"/>
        <v>-1.5714285714296672E-4</v>
      </c>
      <c r="M661">
        <f t="shared" si="107"/>
        <v>-1.5357142857153061E-4</v>
      </c>
      <c r="N661">
        <f t="shared" si="108"/>
        <v>-2.647386011126888E-4</v>
      </c>
      <c r="O661" s="3">
        <f t="shared" si="109"/>
        <v>-2.6473860111268879</v>
      </c>
      <c r="P661">
        <v>1318</v>
      </c>
    </row>
    <row r="662" spans="1:16" x14ac:dyDescent="0.25">
      <c r="A662">
        <v>660</v>
      </c>
      <c r="B662">
        <v>3.4005999999999998</v>
      </c>
      <c r="C662" s="3">
        <v>3.3522071428571429</v>
      </c>
      <c r="D662" s="8">
        <f t="shared" si="104"/>
        <v>-4.8392857142856904E-2</v>
      </c>
      <c r="E662" s="8">
        <f t="shared" si="105"/>
        <v>-4.8417857142857068E-2</v>
      </c>
      <c r="F662" s="3">
        <v>8.74</v>
      </c>
      <c r="G662" s="9">
        <v>2081.6000000000004</v>
      </c>
      <c r="H662">
        <f t="shared" si="106"/>
        <v>-0.42317207142857077</v>
      </c>
      <c r="I662">
        <f t="shared" si="100"/>
        <v>-0.42317207142857077</v>
      </c>
      <c r="J662">
        <f t="shared" si="101"/>
        <v>-0.20329173300757625</v>
      </c>
      <c r="K662">
        <f t="shared" si="102"/>
        <v>-2.5000000000008349E-4</v>
      </c>
      <c r="L662">
        <f t="shared" si="103"/>
        <v>-2.3928571428588619E-4</v>
      </c>
      <c r="M662">
        <f t="shared" si="107"/>
        <v>-2.4464285714298484E-4</v>
      </c>
      <c r="N662">
        <f t="shared" si="108"/>
        <v>-1.6582325734032158E-4</v>
      </c>
      <c r="O662" s="3">
        <f t="shared" si="109"/>
        <v>-1.6582325734032157</v>
      </c>
      <c r="P662">
        <v>1320</v>
      </c>
    </row>
    <row r="663" spans="1:16" x14ac:dyDescent="0.25">
      <c r="A663">
        <v>661</v>
      </c>
      <c r="B663">
        <v>3.4003999999999999</v>
      </c>
      <c r="C663" s="3">
        <v>3.3519571428571426</v>
      </c>
      <c r="D663" s="8">
        <f t="shared" si="104"/>
        <v>-4.8442857142857232E-2</v>
      </c>
      <c r="E663" s="8">
        <f t="shared" si="105"/>
        <v>-4.8374999999999613E-2</v>
      </c>
      <c r="F663" s="3">
        <v>8.604000000000001</v>
      </c>
      <c r="G663" s="9">
        <v>2053.36</v>
      </c>
      <c r="H663">
        <f t="shared" si="106"/>
        <v>-0.41621849999999672</v>
      </c>
      <c r="I663">
        <f t="shared" si="100"/>
        <v>-0.41621849999999672</v>
      </c>
      <c r="J663">
        <f t="shared" si="101"/>
        <v>-0.20270118245217433</v>
      </c>
      <c r="K663">
        <f t="shared" si="102"/>
        <v>-1.9999999999997797E-4</v>
      </c>
      <c r="L663">
        <f t="shared" si="103"/>
        <v>-1.5714285714252263E-4</v>
      </c>
      <c r="M663">
        <f t="shared" si="107"/>
        <v>-1.785714285712503E-4</v>
      </c>
      <c r="N663">
        <f t="shared" si="108"/>
        <v>-2.2651792419646182E-4</v>
      </c>
      <c r="O663" s="3">
        <f t="shared" si="109"/>
        <v>-2.2651792419646184</v>
      </c>
      <c r="P663">
        <v>1322</v>
      </c>
    </row>
    <row r="664" spans="1:16" x14ac:dyDescent="0.25">
      <c r="A664">
        <v>662</v>
      </c>
      <c r="B664">
        <v>3.4001999999999999</v>
      </c>
      <c r="C664" s="3">
        <v>3.3518928571428579</v>
      </c>
      <c r="D664" s="8">
        <f t="shared" si="104"/>
        <v>-4.8307142857141994E-2</v>
      </c>
      <c r="E664" s="8">
        <f t="shared" si="105"/>
        <v>-4.819285714285626E-2</v>
      </c>
      <c r="F664" s="3">
        <v>8.468</v>
      </c>
      <c r="G664" s="9">
        <v>2025.1200000000001</v>
      </c>
      <c r="H664">
        <f t="shared" si="106"/>
        <v>-0.40809711428570683</v>
      </c>
      <c r="I664">
        <f t="shared" si="100"/>
        <v>-0.40809711428570683</v>
      </c>
      <c r="J664">
        <f t="shared" si="101"/>
        <v>-0.20151749737581318</v>
      </c>
      <c r="K664">
        <f t="shared" si="102"/>
        <v>-2.4999999999986144E-4</v>
      </c>
      <c r="L664">
        <f t="shared" si="103"/>
        <v>-6.7857142856508901E-5</v>
      </c>
      <c r="M664">
        <f t="shared" si="107"/>
        <v>-1.5892857142818517E-4</v>
      </c>
      <c r="N664">
        <f t="shared" si="108"/>
        <v>-2.5302826955424262E-4</v>
      </c>
      <c r="O664" s="3">
        <f t="shared" si="109"/>
        <v>-2.530282695542426</v>
      </c>
      <c r="P664">
        <v>1324</v>
      </c>
    </row>
    <row r="665" spans="1:16" x14ac:dyDescent="0.25">
      <c r="A665">
        <v>663</v>
      </c>
      <c r="B665">
        <v>3.3999000000000001</v>
      </c>
      <c r="C665" s="3">
        <v>3.3518214285714296</v>
      </c>
      <c r="D665" s="8">
        <f t="shared" si="104"/>
        <v>-4.8078571428570527E-2</v>
      </c>
      <c r="E665" s="8">
        <f t="shared" si="105"/>
        <v>-4.8078571428570749E-2</v>
      </c>
      <c r="F665" s="3">
        <v>8.3320000000000007</v>
      </c>
      <c r="G665" s="9">
        <v>1996.88</v>
      </c>
      <c r="H665">
        <f t="shared" si="106"/>
        <v>-0.40059065714285153</v>
      </c>
      <c r="I665">
        <f t="shared" ref="I665:I728" si="110">H665</f>
        <v>-0.40059065714285153</v>
      </c>
      <c r="J665">
        <f t="shared" ref="J665:J728" si="111">(I665/G665)*1000</f>
        <v>-0.20060827748430127</v>
      </c>
      <c r="K665">
        <f t="shared" ref="K665:K728" si="112">(B666-B664)/(A666-A664)</f>
        <v>-1.9999999999997797E-4</v>
      </c>
      <c r="L665">
        <f t="shared" ref="L665:L728" si="113">(C666-C664)/(A666-A664)</f>
        <v>-8.5714285714466598E-5</v>
      </c>
      <c r="M665">
        <f t="shared" si="107"/>
        <v>-1.4285714285722229E-4</v>
      </c>
      <c r="N665">
        <f t="shared" si="108"/>
        <v>-2.802238869710505E-4</v>
      </c>
      <c r="O665" s="3">
        <f t="shared" si="109"/>
        <v>-2.802238869710505</v>
      </c>
      <c r="P665">
        <v>1326</v>
      </c>
    </row>
    <row r="666" spans="1:16" x14ac:dyDescent="0.25">
      <c r="A666">
        <v>664</v>
      </c>
      <c r="B666">
        <v>3.3997999999999999</v>
      </c>
      <c r="C666" s="3">
        <v>3.351721428571429</v>
      </c>
      <c r="D666" s="8">
        <f t="shared" ref="D666:D717" si="114">C666-B666</f>
        <v>-4.8078571428570971E-2</v>
      </c>
      <c r="E666" s="8">
        <f t="shared" si="105"/>
        <v>-4.8121428571428426E-2</v>
      </c>
      <c r="F666" s="3">
        <v>8.1960000000000015</v>
      </c>
      <c r="G666" s="9">
        <v>1968.64</v>
      </c>
      <c r="H666">
        <f t="shared" si="106"/>
        <v>-0.39440322857142746</v>
      </c>
      <c r="I666">
        <f t="shared" si="110"/>
        <v>-0.39440322857142746</v>
      </c>
      <c r="J666">
        <f t="shared" si="111"/>
        <v>-0.20034299240664999</v>
      </c>
      <c r="K666">
        <f t="shared" si="112"/>
        <v>-9.9999999999988987E-5</v>
      </c>
      <c r="L666">
        <f t="shared" si="113"/>
        <v>-1.4285714285766637E-4</v>
      </c>
      <c r="M666">
        <f t="shared" si="107"/>
        <v>-1.2142857142882768E-4</v>
      </c>
      <c r="N666">
        <f t="shared" si="108"/>
        <v>-3.2923919757240033E-4</v>
      </c>
      <c r="O666" s="3">
        <f t="shared" si="109"/>
        <v>-3.2923919757240032</v>
      </c>
      <c r="P666">
        <v>1328</v>
      </c>
    </row>
    <row r="667" spans="1:16" x14ac:dyDescent="0.25">
      <c r="A667">
        <v>665</v>
      </c>
      <c r="B667">
        <v>3.3997000000000002</v>
      </c>
      <c r="C667" s="3">
        <v>3.3515357142857143</v>
      </c>
      <c r="D667" s="8">
        <f t="shared" si="114"/>
        <v>-4.8164285714285882E-2</v>
      </c>
      <c r="E667" s="8">
        <f t="shared" si="105"/>
        <v>-4.7951373626373694E-2</v>
      </c>
      <c r="F667" s="3">
        <v>8.06</v>
      </c>
      <c r="G667" s="9">
        <v>1940.4</v>
      </c>
      <c r="H667">
        <f t="shared" si="106"/>
        <v>-0.386488071428572</v>
      </c>
      <c r="I667">
        <f t="shared" si="110"/>
        <v>-0.386488071428572</v>
      </c>
      <c r="J667">
        <f t="shared" si="111"/>
        <v>-0.19917958741938363</v>
      </c>
      <c r="K667">
        <f t="shared" si="112"/>
        <v>-4.9999999999883471E-5</v>
      </c>
      <c r="L667">
        <f t="shared" si="113"/>
        <v>1.2005494505484826E-4</v>
      </c>
      <c r="M667">
        <f t="shared" si="107"/>
        <v>3.5027472527482395E-5</v>
      </c>
      <c r="N667">
        <f t="shared" si="108"/>
        <v>1.1347345838754166E-3</v>
      </c>
      <c r="O667" s="3">
        <f t="shared" si="109"/>
        <v>11.347345838754167</v>
      </c>
      <c r="P667">
        <v>1330</v>
      </c>
    </row>
    <row r="668" spans="1:16" x14ac:dyDescent="0.25">
      <c r="A668">
        <v>666</v>
      </c>
      <c r="B668">
        <v>3.3997000000000002</v>
      </c>
      <c r="C668" s="3">
        <v>3.3519615384615387</v>
      </c>
      <c r="D668" s="8">
        <f t="shared" si="114"/>
        <v>-4.7738461538461507E-2</v>
      </c>
      <c r="E668" s="8">
        <f t="shared" si="105"/>
        <v>-4.7780769230769238E-2</v>
      </c>
      <c r="F668" s="3">
        <v>7.9240000000000013</v>
      </c>
      <c r="G668" s="9">
        <v>1912.16</v>
      </c>
      <c r="H668">
        <f t="shared" si="106"/>
        <v>-0.3786148153846155</v>
      </c>
      <c r="I668">
        <f t="shared" si="110"/>
        <v>-0.3786148153846155</v>
      </c>
      <c r="J668">
        <f t="shared" si="111"/>
        <v>-0.198003731583453</v>
      </c>
      <c r="K668">
        <f t="shared" si="112"/>
        <v>-5.0000000000105516E-5</v>
      </c>
      <c r="L668">
        <f t="shared" si="113"/>
        <v>1.2060439560435121E-4</v>
      </c>
      <c r="M668">
        <f t="shared" si="107"/>
        <v>3.5302197802122848E-5</v>
      </c>
      <c r="N668">
        <f t="shared" si="108"/>
        <v>1.1192571953459259E-3</v>
      </c>
      <c r="O668" s="3">
        <f t="shared" si="109"/>
        <v>11.192571953459259</v>
      </c>
      <c r="P668">
        <v>1332</v>
      </c>
    </row>
    <row r="669" spans="1:16" x14ac:dyDescent="0.25">
      <c r="A669">
        <v>667</v>
      </c>
      <c r="B669">
        <v>3.3996</v>
      </c>
      <c r="C669" s="3">
        <v>3.351776923076923</v>
      </c>
      <c r="D669" s="8">
        <f t="shared" si="114"/>
        <v>-4.7823076923076968E-2</v>
      </c>
      <c r="E669" s="8">
        <f t="shared" si="105"/>
        <v>-4.7665384615384498E-2</v>
      </c>
      <c r="F669" s="3">
        <v>7.7880000000000011</v>
      </c>
      <c r="G669" s="9">
        <v>1883.92</v>
      </c>
      <c r="H669">
        <f t="shared" si="106"/>
        <v>-0.37121801538461452</v>
      </c>
      <c r="I669">
        <f t="shared" si="110"/>
        <v>-0.37121801538461452</v>
      </c>
      <c r="J669">
        <f t="shared" si="111"/>
        <v>-0.19704553026912741</v>
      </c>
      <c r="K669">
        <f t="shared" si="112"/>
        <v>-2.5000000000008349E-4</v>
      </c>
      <c r="L669">
        <f t="shared" si="113"/>
        <v>-1.3461538461534417E-4</v>
      </c>
      <c r="M669">
        <f t="shared" si="107"/>
        <v>-1.9230769230771383E-4</v>
      </c>
      <c r="N669">
        <f t="shared" si="108"/>
        <v>-2.0446934015791584E-4</v>
      </c>
      <c r="O669" s="3">
        <f t="shared" si="109"/>
        <v>-2.0446934015791585</v>
      </c>
      <c r="P669">
        <v>1334</v>
      </c>
    </row>
    <row r="670" spans="1:16" x14ac:dyDescent="0.25">
      <c r="A670">
        <v>668</v>
      </c>
      <c r="B670">
        <v>3.3992</v>
      </c>
      <c r="C670" s="3">
        <v>3.351692307692308</v>
      </c>
      <c r="D670" s="8">
        <f t="shared" si="114"/>
        <v>-4.7507692307692029E-2</v>
      </c>
      <c r="E670" s="8">
        <f t="shared" si="105"/>
        <v>-4.7484615384615569E-2</v>
      </c>
      <c r="F670" s="3">
        <v>7.652000000000001</v>
      </c>
      <c r="G670" s="9">
        <v>1855.68</v>
      </c>
      <c r="H670">
        <f t="shared" si="106"/>
        <v>-0.36335227692307837</v>
      </c>
      <c r="I670">
        <f t="shared" si="110"/>
        <v>-0.36335227692307837</v>
      </c>
      <c r="J670">
        <f t="shared" si="111"/>
        <v>-0.19580546049053629</v>
      </c>
      <c r="K670">
        <f t="shared" si="112"/>
        <v>-2.9999999999996696E-4</v>
      </c>
      <c r="L670">
        <f t="shared" si="113"/>
        <v>-1.1923076923103793E-4</v>
      </c>
      <c r="M670">
        <f t="shared" si="107"/>
        <v>-2.0961538461550244E-4</v>
      </c>
      <c r="N670">
        <f t="shared" si="108"/>
        <v>-1.8640600917252075E-4</v>
      </c>
      <c r="O670" s="3">
        <f t="shared" si="109"/>
        <v>-1.8640600917252075</v>
      </c>
      <c r="P670">
        <v>1336</v>
      </c>
    </row>
    <row r="671" spans="1:16" x14ac:dyDescent="0.25">
      <c r="A671">
        <v>669</v>
      </c>
      <c r="B671">
        <v>3.399</v>
      </c>
      <c r="C671" s="3">
        <v>3.3515384615384609</v>
      </c>
      <c r="D671" s="8">
        <f t="shared" si="114"/>
        <v>-4.746153846153911E-2</v>
      </c>
      <c r="E671" s="8">
        <f t="shared" si="105"/>
        <v>-4.7253846153846535E-2</v>
      </c>
      <c r="F671" s="3">
        <v>7.5160000000000009</v>
      </c>
      <c r="G671" s="9">
        <v>1827.44</v>
      </c>
      <c r="H671">
        <f t="shared" si="106"/>
        <v>-0.35515990769231059</v>
      </c>
      <c r="I671">
        <f t="shared" si="110"/>
        <v>-0.35515990769231059</v>
      </c>
      <c r="J671">
        <f t="shared" si="111"/>
        <v>-0.19434832754690198</v>
      </c>
      <c r="K671">
        <f t="shared" si="112"/>
        <v>-2.9999999999996696E-4</v>
      </c>
      <c r="L671">
        <f t="shared" si="113"/>
        <v>-6.923076923093241E-5</v>
      </c>
      <c r="M671">
        <f t="shared" si="107"/>
        <v>-1.8461538461544968E-4</v>
      </c>
      <c r="N671">
        <f t="shared" si="108"/>
        <v>-2.1007345696546695E-4</v>
      </c>
      <c r="O671" s="3">
        <f t="shared" si="109"/>
        <v>-2.1007345696546693</v>
      </c>
      <c r="P671">
        <v>1338</v>
      </c>
    </row>
    <row r="672" spans="1:16" x14ac:dyDescent="0.25">
      <c r="A672">
        <v>670</v>
      </c>
      <c r="B672">
        <v>3.3986000000000001</v>
      </c>
      <c r="C672" s="3">
        <v>3.3515538461538461</v>
      </c>
      <c r="D672" s="8">
        <f t="shared" si="114"/>
        <v>-4.704615384615396E-2</v>
      </c>
      <c r="E672" s="8">
        <f t="shared" si="105"/>
        <v>-4.6509440559440618E-2</v>
      </c>
      <c r="F672" s="3">
        <v>7.3800000000000008</v>
      </c>
      <c r="G672" s="9">
        <v>1799.2</v>
      </c>
      <c r="H672">
        <f t="shared" si="106"/>
        <v>-0.34323967132867178</v>
      </c>
      <c r="I672">
        <f t="shared" si="110"/>
        <v>-0.34323967132867178</v>
      </c>
      <c r="J672">
        <f t="shared" si="111"/>
        <v>-0.19077349451349032</v>
      </c>
      <c r="K672">
        <f t="shared" si="112"/>
        <v>-2.5000000000008349E-4</v>
      </c>
      <c r="L672">
        <f t="shared" si="113"/>
        <v>4.9440559440583343E-4</v>
      </c>
      <c r="M672">
        <f t="shared" si="107"/>
        <v>1.2220279720287497E-4</v>
      </c>
      <c r="N672">
        <f t="shared" si="108"/>
        <v>3.1152661203895268E-4</v>
      </c>
      <c r="O672" s="3">
        <f t="shared" si="109"/>
        <v>3.1152661203895269</v>
      </c>
      <c r="P672">
        <v>1340</v>
      </c>
    </row>
    <row r="673" spans="1:16" x14ac:dyDescent="0.25">
      <c r="A673">
        <v>671</v>
      </c>
      <c r="B673">
        <v>3.3984999999999999</v>
      </c>
      <c r="C673" s="3">
        <v>3.3525272727272726</v>
      </c>
      <c r="D673" s="8">
        <f t="shared" si="114"/>
        <v>-4.5972727272727276E-2</v>
      </c>
      <c r="E673" s="8">
        <f t="shared" si="105"/>
        <v>-4.5686363636363581E-2</v>
      </c>
      <c r="F673" s="3">
        <v>7.2440000000000015</v>
      </c>
      <c r="G673" s="9">
        <v>1770.96</v>
      </c>
      <c r="H673">
        <f t="shared" si="106"/>
        <v>-0.33095201818181785</v>
      </c>
      <c r="I673">
        <f t="shared" si="110"/>
        <v>-0.33095201818181785</v>
      </c>
      <c r="J673">
        <f t="shared" si="111"/>
        <v>-0.18687718422878993</v>
      </c>
      <c r="K673">
        <f t="shared" si="112"/>
        <v>-5.0000000000105516E-5</v>
      </c>
      <c r="L673">
        <f t="shared" si="113"/>
        <v>7.7307692307693188E-4</v>
      </c>
      <c r="M673">
        <f t="shared" si="107"/>
        <v>3.6153846153841318E-4</v>
      </c>
      <c r="N673">
        <f t="shared" si="108"/>
        <v>1.0314781676171308E-4</v>
      </c>
      <c r="O673" s="3">
        <f t="shared" si="109"/>
        <v>1.0314781676171307</v>
      </c>
      <c r="P673">
        <v>1342</v>
      </c>
    </row>
    <row r="674" spans="1:16" x14ac:dyDescent="0.25">
      <c r="A674">
        <v>672</v>
      </c>
      <c r="B674">
        <v>3.3984999999999999</v>
      </c>
      <c r="C674" s="3">
        <v>3.3531</v>
      </c>
      <c r="D674" s="8">
        <f t="shared" si="114"/>
        <v>-4.5399999999999885E-2</v>
      </c>
      <c r="E674" s="8">
        <f t="shared" si="105"/>
        <v>-4.490555555555531E-2</v>
      </c>
      <c r="F674" s="3">
        <v>7.1080000000000014</v>
      </c>
      <c r="G674" s="9">
        <v>1742.72</v>
      </c>
      <c r="H674">
        <f t="shared" si="106"/>
        <v>-0.31918868888888718</v>
      </c>
      <c r="I674">
        <f t="shared" si="110"/>
        <v>-0.31918868888888718</v>
      </c>
      <c r="J674">
        <f t="shared" si="111"/>
        <v>-0.1831554632349931</v>
      </c>
      <c r="K674">
        <f t="shared" si="112"/>
        <v>-9.9999999999988987E-5</v>
      </c>
      <c r="L674">
        <f t="shared" si="113"/>
        <v>6.808080808082817E-4</v>
      </c>
      <c r="M674">
        <f t="shared" si="107"/>
        <v>2.9040404040414636E-4</v>
      </c>
      <c r="N674">
        <f t="shared" si="108"/>
        <v>1.25856452747638E-4</v>
      </c>
      <c r="O674" s="3">
        <f t="shared" si="109"/>
        <v>1.2585645274763799</v>
      </c>
      <c r="P674">
        <v>1344</v>
      </c>
    </row>
    <row r="675" spans="1:16" x14ac:dyDescent="0.25">
      <c r="A675">
        <v>673</v>
      </c>
      <c r="B675">
        <v>3.3982999999999999</v>
      </c>
      <c r="C675" s="3">
        <v>3.3538888888888891</v>
      </c>
      <c r="D675" s="8">
        <f t="shared" si="114"/>
        <v>-4.4411111111110735E-2</v>
      </c>
      <c r="E675" s="8">
        <f t="shared" si="105"/>
        <v>-4.4227777777777755E-2</v>
      </c>
      <c r="F675" s="3">
        <v>6.9720000000000013</v>
      </c>
      <c r="G675" s="9">
        <v>1714.48</v>
      </c>
      <c r="H675">
        <f t="shared" si="106"/>
        <v>-0.30835606666666654</v>
      </c>
      <c r="I675">
        <f t="shared" si="110"/>
        <v>-0.30835606666666654</v>
      </c>
      <c r="J675">
        <f t="shared" si="111"/>
        <v>-0.17985398877016154</v>
      </c>
      <c r="K675">
        <f t="shared" si="112"/>
        <v>-2.4999999999986144E-4</v>
      </c>
      <c r="L675">
        <f t="shared" si="113"/>
        <v>4.2777777777769366E-4</v>
      </c>
      <c r="M675">
        <f t="shared" si="107"/>
        <v>8.8888888888916107E-5</v>
      </c>
      <c r="N675">
        <f t="shared" si="108"/>
        <v>4.0376703657082094E-4</v>
      </c>
      <c r="O675" s="3">
        <f t="shared" si="109"/>
        <v>4.0376703657082098</v>
      </c>
      <c r="P675">
        <v>1346</v>
      </c>
    </row>
    <row r="676" spans="1:16" x14ac:dyDescent="0.25">
      <c r="A676">
        <v>674</v>
      </c>
      <c r="B676">
        <v>3.3980000000000001</v>
      </c>
      <c r="C676" s="3">
        <v>3.3539555555555554</v>
      </c>
      <c r="D676" s="8">
        <f t="shared" si="114"/>
        <v>-4.4044444444444775E-2</v>
      </c>
      <c r="E676" s="8">
        <f t="shared" si="105"/>
        <v>-4.3578472222222331E-2</v>
      </c>
      <c r="F676" s="3">
        <v>6.8360000000000012</v>
      </c>
      <c r="G676" s="9">
        <v>1686.24</v>
      </c>
      <c r="H676">
        <f t="shared" si="106"/>
        <v>-0.29790243611111189</v>
      </c>
      <c r="I676">
        <f t="shared" si="110"/>
        <v>-0.29790243611111189</v>
      </c>
      <c r="J676">
        <f t="shared" si="111"/>
        <v>-0.17666668808183408</v>
      </c>
      <c r="K676">
        <f t="shared" si="112"/>
        <v>-2.4999999999986144E-4</v>
      </c>
      <c r="L676">
        <f t="shared" si="113"/>
        <v>3.9930555555556246E-4</v>
      </c>
      <c r="M676">
        <f t="shared" si="107"/>
        <v>7.465277777785051E-5</v>
      </c>
      <c r="N676">
        <f t="shared" si="108"/>
        <v>4.722445551501255E-4</v>
      </c>
      <c r="O676" s="3">
        <f t="shared" si="109"/>
        <v>4.7224455515012549</v>
      </c>
      <c r="P676">
        <v>1348</v>
      </c>
    </row>
    <row r="677" spans="1:16" x14ac:dyDescent="0.25">
      <c r="A677">
        <v>675</v>
      </c>
      <c r="B677">
        <v>3.3978000000000002</v>
      </c>
      <c r="C677" s="3">
        <v>3.3546875000000003</v>
      </c>
      <c r="D677" s="8">
        <f t="shared" si="114"/>
        <v>-4.3112499999999887E-2</v>
      </c>
      <c r="E677" s="8">
        <f t="shared" si="105"/>
        <v>-4.3100000000000138E-2</v>
      </c>
      <c r="F677" s="3">
        <v>6.7</v>
      </c>
      <c r="G677">
        <v>1658</v>
      </c>
      <c r="H677">
        <f t="shared" si="106"/>
        <v>-0.28877000000000091</v>
      </c>
      <c r="I677">
        <f t="shared" si="110"/>
        <v>-0.28877000000000091</v>
      </c>
      <c r="J677">
        <f t="shared" si="111"/>
        <v>-0.17416767189384855</v>
      </c>
      <c r="K677">
        <f t="shared" si="112"/>
        <v>-1.9999999999997797E-4</v>
      </c>
      <c r="L677">
        <f t="shared" si="113"/>
        <v>2.7847222222221468E-4</v>
      </c>
      <c r="M677">
        <f t="shared" si="107"/>
        <v>3.9236111111118355E-5</v>
      </c>
      <c r="N677">
        <f t="shared" si="108"/>
        <v>8.8580852351651104E-4</v>
      </c>
      <c r="O677" s="3">
        <f t="shared" si="109"/>
        <v>8.8580852351651096</v>
      </c>
      <c r="P677">
        <v>1350</v>
      </c>
    </row>
    <row r="678" spans="1:16" x14ac:dyDescent="0.25">
      <c r="A678">
        <v>676</v>
      </c>
      <c r="B678">
        <v>3.3976000000000002</v>
      </c>
      <c r="C678" s="3">
        <v>3.3545124999999998</v>
      </c>
      <c r="D678" s="8">
        <f t="shared" si="114"/>
        <v>-4.3087500000000389E-2</v>
      </c>
      <c r="E678" s="8">
        <f t="shared" si="105"/>
        <v>-4.3068750000000211E-2</v>
      </c>
      <c r="F678" s="3">
        <v>6.5355999999999996</v>
      </c>
      <c r="G678" s="9">
        <v>1632.52</v>
      </c>
      <c r="H678">
        <f t="shared" si="106"/>
        <v>-0.28148012250000137</v>
      </c>
      <c r="I678">
        <f t="shared" si="110"/>
        <v>-0.28148012250000137</v>
      </c>
      <c r="J678">
        <f t="shared" si="111"/>
        <v>-0.17242062731237681</v>
      </c>
      <c r="K678">
        <f t="shared" si="112"/>
        <v>-1.9999999999997797E-4</v>
      </c>
      <c r="L678">
        <f t="shared" si="113"/>
        <v>-1.687500000000508E-4</v>
      </c>
      <c r="M678">
        <f t="shared" si="107"/>
        <v>-1.8437500000001439E-4</v>
      </c>
      <c r="N678">
        <f t="shared" si="108"/>
        <v>-1.8661452833773119E-4</v>
      </c>
      <c r="O678" s="3">
        <f t="shared" si="109"/>
        <v>-1.866145283377312</v>
      </c>
      <c r="P678">
        <v>1352</v>
      </c>
    </row>
    <row r="679" spans="1:16" x14ac:dyDescent="0.25">
      <c r="A679">
        <v>677</v>
      </c>
      <c r="B679">
        <v>3.3974000000000002</v>
      </c>
      <c r="C679" s="3">
        <v>3.3543500000000002</v>
      </c>
      <c r="D679" s="8">
        <f t="shared" si="114"/>
        <v>-4.3050000000000033E-2</v>
      </c>
      <c r="E679" s="8">
        <f t="shared" si="105"/>
        <v>-4.2793749999999742E-2</v>
      </c>
      <c r="F679" s="3">
        <v>6.3712</v>
      </c>
      <c r="G679" s="9">
        <v>1607.04</v>
      </c>
      <c r="H679">
        <f t="shared" si="106"/>
        <v>-0.27264753999999836</v>
      </c>
      <c r="I679">
        <f t="shared" si="110"/>
        <v>-0.27264753999999836</v>
      </c>
      <c r="J679">
        <f t="shared" si="111"/>
        <v>-0.16965821634806746</v>
      </c>
      <c r="K679">
        <f t="shared" si="112"/>
        <v>-4.0000000000017799E-4</v>
      </c>
      <c r="L679">
        <f t="shared" si="113"/>
        <v>-1.2499999999970868E-4</v>
      </c>
      <c r="M679">
        <f t="shared" si="107"/>
        <v>-2.6249999999994333E-4</v>
      </c>
      <c r="N679">
        <f t="shared" si="108"/>
        <v>-1.2897450005177285E-4</v>
      </c>
      <c r="O679" s="3">
        <f t="shared" si="109"/>
        <v>-1.2897450005177284</v>
      </c>
      <c r="P679">
        <v>1354</v>
      </c>
    </row>
    <row r="680" spans="1:16" x14ac:dyDescent="0.25">
      <c r="A680">
        <v>678</v>
      </c>
      <c r="B680">
        <v>3.3967999999999998</v>
      </c>
      <c r="C680" s="3">
        <v>3.3542625000000004</v>
      </c>
      <c r="D680" s="8">
        <f t="shared" si="114"/>
        <v>-4.2537499999999451E-2</v>
      </c>
      <c r="E680" s="8">
        <f t="shared" si="105"/>
        <v>-4.2424999999999713E-2</v>
      </c>
      <c r="F680" s="3">
        <v>6.2067999999999994</v>
      </c>
      <c r="G680" s="9">
        <v>1581.56</v>
      </c>
      <c r="H680">
        <f t="shared" si="106"/>
        <v>-0.26332348999999822</v>
      </c>
      <c r="I680">
        <f t="shared" si="110"/>
        <v>-0.26332348999999822</v>
      </c>
      <c r="J680">
        <f t="shared" si="111"/>
        <v>-0.16649604820556807</v>
      </c>
      <c r="K680">
        <f t="shared" si="112"/>
        <v>-5.5000000000005045E-4</v>
      </c>
      <c r="L680">
        <f t="shared" si="113"/>
        <v>-1.8125000000002167E-4</v>
      </c>
      <c r="M680">
        <f t="shared" si="107"/>
        <v>-3.6562500000003606E-4</v>
      </c>
      <c r="N680">
        <f t="shared" si="108"/>
        <v>-9.0871209901404652E-5</v>
      </c>
      <c r="O680" s="3">
        <f t="shared" si="109"/>
        <v>-0.90871209901404648</v>
      </c>
      <c r="P680">
        <v>1356</v>
      </c>
    </row>
    <row r="681" spans="1:16" x14ac:dyDescent="0.25">
      <c r="A681">
        <v>679</v>
      </c>
      <c r="B681">
        <v>3.3963000000000001</v>
      </c>
      <c r="C681" s="3">
        <v>3.3539875000000001</v>
      </c>
      <c r="D681" s="8">
        <f t="shared" si="114"/>
        <v>-4.2312499999999975E-2</v>
      </c>
      <c r="E681" s="8">
        <f t="shared" si="105"/>
        <v>-4.2356249999999873E-2</v>
      </c>
      <c r="F681" s="3">
        <v>6.0423999999999998</v>
      </c>
      <c r="G681" s="9">
        <v>1556.08</v>
      </c>
      <c r="H681">
        <f t="shared" si="106"/>
        <v>-0.25593340499999923</v>
      </c>
      <c r="I681">
        <f t="shared" si="110"/>
        <v>-0.25593340499999923</v>
      </c>
      <c r="J681">
        <f t="shared" si="111"/>
        <v>-0.16447316654670663</v>
      </c>
      <c r="K681">
        <f t="shared" si="112"/>
        <v>-2.9999999999996696E-4</v>
      </c>
      <c r="L681">
        <f t="shared" si="113"/>
        <v>-2.3125000000012719E-4</v>
      </c>
      <c r="M681">
        <f t="shared" si="107"/>
        <v>-2.6562500000004707E-4</v>
      </c>
      <c r="N681">
        <f t="shared" si="108"/>
        <v>-1.2356184099367252E-4</v>
      </c>
      <c r="O681" s="3">
        <f t="shared" si="109"/>
        <v>-1.2356184099367251</v>
      </c>
      <c r="P681">
        <v>1358</v>
      </c>
    </row>
    <row r="682" spans="1:16" x14ac:dyDescent="0.25">
      <c r="A682">
        <v>680</v>
      </c>
      <c r="B682">
        <v>3.3961999999999999</v>
      </c>
      <c r="C682" s="3">
        <v>3.3538000000000001</v>
      </c>
      <c r="D682" s="8">
        <f t="shared" si="114"/>
        <v>-4.2399999999999771E-2</v>
      </c>
      <c r="E682" s="8">
        <f t="shared" si="105"/>
        <v>-4.2518750000000161E-2</v>
      </c>
      <c r="F682" s="3">
        <v>5.8780000000000001</v>
      </c>
      <c r="G682" s="9">
        <v>1530.6</v>
      </c>
      <c r="H682">
        <f t="shared" si="106"/>
        <v>-0.24992521250000094</v>
      </c>
      <c r="I682">
        <f t="shared" si="110"/>
        <v>-0.24992521250000094</v>
      </c>
      <c r="J682">
        <f t="shared" si="111"/>
        <v>-0.16328577845289491</v>
      </c>
      <c r="K682">
        <f t="shared" si="112"/>
        <v>-9.9999999999988987E-5</v>
      </c>
      <c r="L682">
        <f t="shared" si="113"/>
        <v>-2.625000000002764E-4</v>
      </c>
      <c r="M682">
        <f t="shared" si="107"/>
        <v>-1.8125000000013269E-4</v>
      </c>
      <c r="N682">
        <f t="shared" si="108"/>
        <v>-1.7977471534413988E-4</v>
      </c>
      <c r="O682" s="3">
        <f t="shared" si="109"/>
        <v>-1.7977471534413989</v>
      </c>
      <c r="P682">
        <v>1360</v>
      </c>
    </row>
    <row r="683" spans="1:16" x14ac:dyDescent="0.25">
      <c r="A683">
        <v>681</v>
      </c>
      <c r="B683">
        <v>3.3961000000000001</v>
      </c>
      <c r="C683" s="3">
        <v>3.3534624999999996</v>
      </c>
      <c r="D683" s="8">
        <f t="shared" si="114"/>
        <v>-4.263750000000055E-2</v>
      </c>
      <c r="E683" s="8">
        <f t="shared" si="105"/>
        <v>-4.2625000000000579E-2</v>
      </c>
      <c r="F683" s="3">
        <v>5.7136000000000005</v>
      </c>
      <c r="G683" s="9">
        <v>1505.12</v>
      </c>
      <c r="H683">
        <f t="shared" si="106"/>
        <v>-0.24354220000000332</v>
      </c>
      <c r="I683">
        <f t="shared" si="110"/>
        <v>-0.24354220000000332</v>
      </c>
      <c r="J683">
        <f t="shared" si="111"/>
        <v>-0.16180915807377705</v>
      </c>
      <c r="K683">
        <f t="shared" si="112"/>
        <v>-1.4999999999987246E-4</v>
      </c>
      <c r="L683">
        <f t="shared" si="113"/>
        <v>-2.5625000000029097E-4</v>
      </c>
      <c r="M683">
        <f t="shared" si="107"/>
        <v>-2.0312500000008171E-4</v>
      </c>
      <c r="N683">
        <f t="shared" si="108"/>
        <v>-1.5896370770577853E-4</v>
      </c>
      <c r="O683" s="3">
        <f t="shared" si="109"/>
        <v>-1.5896370770577852</v>
      </c>
      <c r="P683">
        <v>1362</v>
      </c>
    </row>
    <row r="684" spans="1:16" x14ac:dyDescent="0.25">
      <c r="A684">
        <v>682</v>
      </c>
      <c r="B684">
        <v>3.3959000000000001</v>
      </c>
      <c r="C684" s="3">
        <v>3.3532874999999995</v>
      </c>
      <c r="D684" s="8">
        <f t="shared" si="114"/>
        <v>-4.2612500000000608E-2</v>
      </c>
      <c r="E684" s="8">
        <f t="shared" si="105"/>
        <v>-4.2562500000000281E-2</v>
      </c>
      <c r="F684" s="3">
        <v>5.5492000000000008</v>
      </c>
      <c r="G684" s="9">
        <v>1479.6399999999999</v>
      </c>
      <c r="H684">
        <f t="shared" si="106"/>
        <v>-0.2361878250000016</v>
      </c>
      <c r="I684">
        <f t="shared" si="110"/>
        <v>-0.2361878250000016</v>
      </c>
      <c r="J684">
        <f t="shared" si="111"/>
        <v>-0.15962519599362118</v>
      </c>
      <c r="K684">
        <f t="shared" si="112"/>
        <v>-2.5000000000008349E-4</v>
      </c>
      <c r="L684">
        <f t="shared" si="113"/>
        <v>-1.8749999999978506E-4</v>
      </c>
      <c r="M684">
        <f t="shared" si="107"/>
        <v>-2.1874999999993427E-4</v>
      </c>
      <c r="N684">
        <f t="shared" si="108"/>
        <v>-1.4561685458280347E-4</v>
      </c>
      <c r="O684" s="3">
        <f t="shared" si="109"/>
        <v>-1.4561685458280347</v>
      </c>
      <c r="P684">
        <v>1364</v>
      </c>
    </row>
    <row r="685" spans="1:16" x14ac:dyDescent="0.25">
      <c r="A685">
        <v>683</v>
      </c>
      <c r="B685">
        <v>3.3956</v>
      </c>
      <c r="C685" s="3">
        <v>3.3530875</v>
      </c>
      <c r="D685" s="8">
        <f t="shared" si="114"/>
        <v>-4.2512499999999953E-2</v>
      </c>
      <c r="E685" s="8">
        <f t="shared" si="105"/>
        <v>-4.2581250000000015E-2</v>
      </c>
      <c r="F685" s="3">
        <v>5.3848000000000003</v>
      </c>
      <c r="G685" s="9">
        <v>1454.1599999999999</v>
      </c>
      <c r="H685">
        <f t="shared" si="106"/>
        <v>-0.22929151500000008</v>
      </c>
      <c r="I685">
        <f t="shared" si="110"/>
        <v>-0.22929151500000008</v>
      </c>
      <c r="J685">
        <f t="shared" si="111"/>
        <v>-0.15767970168344619</v>
      </c>
      <c r="K685">
        <f t="shared" si="112"/>
        <v>-1.9999999999997797E-4</v>
      </c>
      <c r="L685">
        <f t="shared" si="113"/>
        <v>-2.1874999999971223E-4</v>
      </c>
      <c r="M685">
        <f t="shared" si="107"/>
        <v>-2.093749999998451E-4</v>
      </c>
      <c r="N685">
        <f t="shared" si="108"/>
        <v>-1.502827830994099E-4</v>
      </c>
      <c r="O685" s="3">
        <f t="shared" si="109"/>
        <v>-1.502827830994099</v>
      </c>
      <c r="P685">
        <v>1366</v>
      </c>
    </row>
    <row r="686" spans="1:16" x14ac:dyDescent="0.25">
      <c r="A686">
        <v>684</v>
      </c>
      <c r="B686">
        <v>3.3955000000000002</v>
      </c>
      <c r="C686" s="3">
        <v>3.3528500000000001</v>
      </c>
      <c r="D686" s="8">
        <f t="shared" si="114"/>
        <v>-4.2650000000000077E-2</v>
      </c>
      <c r="E686" s="8">
        <f t="shared" si="105"/>
        <v>-4.2681250000000004E-2</v>
      </c>
      <c r="F686" s="3">
        <v>5.2204000000000006</v>
      </c>
      <c r="G686" s="9">
        <v>1428.6799999999998</v>
      </c>
      <c r="H686">
        <f t="shared" si="106"/>
        <v>-0.22281319750000003</v>
      </c>
      <c r="I686">
        <f t="shared" si="110"/>
        <v>-0.22281319750000003</v>
      </c>
      <c r="J686">
        <f t="shared" si="111"/>
        <v>-0.15595738548870289</v>
      </c>
      <c r="K686">
        <f t="shared" si="112"/>
        <v>-9.9999999999988987E-5</v>
      </c>
      <c r="L686">
        <f t="shared" si="113"/>
        <v>-1.9999999999997797E-4</v>
      </c>
      <c r="M686">
        <f t="shared" si="107"/>
        <v>-1.4999999999998348E-4</v>
      </c>
      <c r="N686">
        <f t="shared" si="108"/>
        <v>-2.0747842897073232E-4</v>
      </c>
      <c r="O686" s="3">
        <f t="shared" si="109"/>
        <v>-2.0747842897073232</v>
      </c>
      <c r="P686">
        <v>1368</v>
      </c>
    </row>
    <row r="687" spans="1:16" x14ac:dyDescent="0.25">
      <c r="A687">
        <v>685</v>
      </c>
      <c r="B687">
        <v>3.3954</v>
      </c>
      <c r="C687" s="3">
        <v>3.3526875</v>
      </c>
      <c r="D687" s="8">
        <f t="shared" si="114"/>
        <v>-4.2712499999999931E-2</v>
      </c>
      <c r="E687" s="8">
        <f t="shared" si="105"/>
        <v>-4.2949107142857157E-2</v>
      </c>
      <c r="F687" s="3">
        <v>5.0560000000000009</v>
      </c>
      <c r="G687" s="9">
        <v>1403.1999999999998</v>
      </c>
      <c r="H687">
        <f t="shared" si="106"/>
        <v>-0.21715068571428583</v>
      </c>
      <c r="I687">
        <f t="shared" si="110"/>
        <v>-0.21715068571428583</v>
      </c>
      <c r="J687">
        <f t="shared" si="111"/>
        <v>-0.15475390943150361</v>
      </c>
      <c r="K687">
        <f t="shared" si="112"/>
        <v>-5.0000000000105516E-5</v>
      </c>
      <c r="L687">
        <f t="shared" si="113"/>
        <v>-3.1785714285725852E-4</v>
      </c>
      <c r="M687">
        <f t="shared" si="107"/>
        <v>-1.8392857142868202E-4</v>
      </c>
      <c r="N687">
        <f t="shared" si="108"/>
        <v>-1.6789999969309504E-4</v>
      </c>
      <c r="O687" s="3">
        <f t="shared" si="109"/>
        <v>-1.6789999969309504</v>
      </c>
      <c r="P687">
        <v>1370</v>
      </c>
    </row>
    <row r="688" spans="1:16" x14ac:dyDescent="0.25">
      <c r="A688">
        <v>686</v>
      </c>
      <c r="B688">
        <v>3.3954</v>
      </c>
      <c r="C688" s="3">
        <v>3.3522142857142856</v>
      </c>
      <c r="D688" s="8">
        <f t="shared" si="114"/>
        <v>-4.3185714285714383E-2</v>
      </c>
      <c r="E688" s="8">
        <f t="shared" si="105"/>
        <v>-4.324285714285736E-2</v>
      </c>
      <c r="F688" s="3">
        <v>4.8916000000000013</v>
      </c>
      <c r="G688" s="9">
        <v>1377.7199999999998</v>
      </c>
      <c r="H688">
        <f t="shared" si="106"/>
        <v>-0.21152676000000112</v>
      </c>
      <c r="I688">
        <f t="shared" si="110"/>
        <v>-0.21152676000000112</v>
      </c>
      <c r="J688">
        <f t="shared" si="111"/>
        <v>-0.15353392561623636</v>
      </c>
      <c r="K688">
        <f t="shared" si="112"/>
        <v>-4.9999999999883471E-5</v>
      </c>
      <c r="L688">
        <f t="shared" si="113"/>
        <v>-3.4375000000008704E-4</v>
      </c>
      <c r="M688">
        <f t="shared" si="107"/>
        <v>-1.9687499999998526E-4</v>
      </c>
      <c r="N688">
        <f t="shared" si="108"/>
        <v>-1.5562237792804217E-4</v>
      </c>
      <c r="O688" s="3">
        <f t="shared" si="109"/>
        <v>-1.5562237792804217</v>
      </c>
      <c r="P688">
        <v>1372</v>
      </c>
    </row>
    <row r="689" spans="1:16" x14ac:dyDescent="0.25">
      <c r="A689">
        <v>687</v>
      </c>
      <c r="B689">
        <v>3.3953000000000002</v>
      </c>
      <c r="C689" s="3">
        <v>3.3519999999999999</v>
      </c>
      <c r="D689" s="8">
        <f t="shared" si="114"/>
        <v>-4.3300000000000338E-2</v>
      </c>
      <c r="E689" s="8">
        <f t="shared" si="105"/>
        <v>-4.341428571428585E-2</v>
      </c>
      <c r="F689" s="3">
        <v>4.7272000000000016</v>
      </c>
      <c r="G689" s="9">
        <v>1352.2399999999998</v>
      </c>
      <c r="H689">
        <f t="shared" si="106"/>
        <v>-0.20522801142857214</v>
      </c>
      <c r="I689">
        <f t="shared" si="110"/>
        <v>-0.20522801142857214</v>
      </c>
      <c r="J689">
        <f t="shared" si="111"/>
        <v>-0.15176892521192403</v>
      </c>
      <c r="K689">
        <f t="shared" si="112"/>
        <v>-4.9999999999883471E-5</v>
      </c>
      <c r="L689">
        <f t="shared" si="113"/>
        <v>-2.2142857142837258E-4</v>
      </c>
      <c r="M689">
        <f t="shared" si="107"/>
        <v>-1.3571428571412802E-4</v>
      </c>
      <c r="N689">
        <f t="shared" si="108"/>
        <v>-2.2315959124922336E-4</v>
      </c>
      <c r="O689" s="3">
        <f t="shared" si="109"/>
        <v>-2.2315959124922338</v>
      </c>
      <c r="P689">
        <v>1374</v>
      </c>
    </row>
    <row r="690" spans="1:16" x14ac:dyDescent="0.25">
      <c r="A690">
        <v>688</v>
      </c>
      <c r="B690">
        <v>3.3953000000000002</v>
      </c>
      <c r="C690" s="3">
        <v>3.3517714285714288</v>
      </c>
      <c r="D690" s="8">
        <f t="shared" si="114"/>
        <v>-4.3528571428571361E-2</v>
      </c>
      <c r="E690" s="8">
        <f t="shared" si="105"/>
        <v>-4.3672619047619099E-2</v>
      </c>
      <c r="F690" s="3">
        <v>4.5628000000000011</v>
      </c>
      <c r="G690" s="9">
        <v>1326.7599999999998</v>
      </c>
      <c r="H690">
        <f t="shared" si="106"/>
        <v>-0.19926942619047647</v>
      </c>
      <c r="I690">
        <f t="shared" si="110"/>
        <v>-0.19926942619047647</v>
      </c>
      <c r="J690">
        <f t="shared" si="111"/>
        <v>-0.15019251876034587</v>
      </c>
      <c r="K690">
        <f t="shared" si="112"/>
        <v>-1.0000000000021103E-4</v>
      </c>
      <c r="L690">
        <f t="shared" si="113"/>
        <v>-3.583333333334604E-4</v>
      </c>
      <c r="M690">
        <f t="shared" si="107"/>
        <v>-2.2916666666683572E-4</v>
      </c>
      <c r="N690">
        <f t="shared" si="108"/>
        <v>-1.3078415078390375E-4</v>
      </c>
      <c r="O690" s="3">
        <f t="shared" si="109"/>
        <v>-1.3078415078390375</v>
      </c>
      <c r="P690">
        <v>1376</v>
      </c>
    </row>
    <row r="691" spans="1:16" x14ac:dyDescent="0.25">
      <c r="A691">
        <v>689</v>
      </c>
      <c r="B691">
        <v>3.3950999999999998</v>
      </c>
      <c r="C691" s="3">
        <v>3.3512833333333329</v>
      </c>
      <c r="D691" s="8">
        <f t="shared" si="114"/>
        <v>-4.3816666666666837E-2</v>
      </c>
      <c r="E691" s="8">
        <f t="shared" si="105"/>
        <v>-4.3875000000000108E-2</v>
      </c>
      <c r="F691" s="3">
        <v>4.3984000000000014</v>
      </c>
      <c r="G691" s="9">
        <v>1301.2799999999997</v>
      </c>
      <c r="H691">
        <f t="shared" si="106"/>
        <v>-0.19297980000000053</v>
      </c>
      <c r="I691">
        <f t="shared" si="110"/>
        <v>-0.19297980000000053</v>
      </c>
      <c r="J691">
        <f t="shared" si="111"/>
        <v>-0.14829998155662161</v>
      </c>
      <c r="K691">
        <f t="shared" si="112"/>
        <v>-2.0000000000020002E-4</v>
      </c>
      <c r="L691">
        <f t="shared" si="113"/>
        <v>-4.0238095238120941E-4</v>
      </c>
      <c r="M691">
        <f t="shared" si="107"/>
        <v>-3.0119047619070471E-4</v>
      </c>
      <c r="N691">
        <f t="shared" si="108"/>
        <v>-9.8255784124563064E-5</v>
      </c>
      <c r="O691" s="3">
        <f t="shared" si="109"/>
        <v>-0.98255784124563061</v>
      </c>
      <c r="P691">
        <v>1378</v>
      </c>
    </row>
    <row r="692" spans="1:16" x14ac:dyDescent="0.25">
      <c r="A692">
        <v>690</v>
      </c>
      <c r="B692">
        <v>3.3948999999999998</v>
      </c>
      <c r="C692" s="3">
        <v>3.3509666666666664</v>
      </c>
      <c r="D692" s="8">
        <f t="shared" si="114"/>
        <v>-4.393333333333338E-2</v>
      </c>
      <c r="E692" s="8">
        <f t="shared" si="105"/>
        <v>-4.409166666666664E-2</v>
      </c>
      <c r="F692" s="3">
        <v>4.2340000000000018</v>
      </c>
      <c r="G692" s="9">
        <v>1275.7999999999997</v>
      </c>
      <c r="H692">
        <f t="shared" si="106"/>
        <v>-0.18668411666666662</v>
      </c>
      <c r="I692">
        <f t="shared" si="110"/>
        <v>-0.18668411666666662</v>
      </c>
      <c r="J692">
        <f t="shared" si="111"/>
        <v>-0.14632710194910384</v>
      </c>
      <c r="K692">
        <f t="shared" si="112"/>
        <v>-9.9999999999988987E-5</v>
      </c>
      <c r="L692">
        <f t="shared" si="113"/>
        <v>-3.1666666666652077E-4</v>
      </c>
      <c r="M692">
        <f t="shared" si="107"/>
        <v>-2.0833333333325488E-4</v>
      </c>
      <c r="N692">
        <f t="shared" si="108"/>
        <v>-1.4016005933827484E-4</v>
      </c>
      <c r="O692" s="3">
        <f t="shared" si="109"/>
        <v>-1.4016005933827484</v>
      </c>
      <c r="P692">
        <v>1380</v>
      </c>
    </row>
    <row r="693" spans="1:16" x14ac:dyDescent="0.25">
      <c r="A693">
        <v>691</v>
      </c>
      <c r="B693">
        <v>3.3948999999999998</v>
      </c>
      <c r="C693" s="3">
        <v>3.3506499999999999</v>
      </c>
      <c r="D693" s="8">
        <f t="shared" si="114"/>
        <v>-4.4249999999999901E-2</v>
      </c>
      <c r="E693" s="8">
        <f t="shared" si="105"/>
        <v>-4.420500000000005E-2</v>
      </c>
      <c r="F693" s="3">
        <v>4.0696000000000012</v>
      </c>
      <c r="G693" s="9">
        <v>1250.3199999999997</v>
      </c>
      <c r="H693">
        <f t="shared" si="106"/>
        <v>-0.17989666800000026</v>
      </c>
      <c r="I693">
        <f t="shared" si="110"/>
        <v>-0.17989666800000026</v>
      </c>
      <c r="J693">
        <f t="shared" si="111"/>
        <v>-0.14388050099174637</v>
      </c>
      <c r="K693">
        <f t="shared" si="112"/>
        <v>-1.4999999999987246E-4</v>
      </c>
      <c r="L693">
        <f t="shared" si="113"/>
        <v>-2.6333333333328213E-4</v>
      </c>
      <c r="M693">
        <f t="shared" si="107"/>
        <v>-2.0666666666657729E-4</v>
      </c>
      <c r="N693">
        <f t="shared" si="108"/>
        <v>-1.3892799579761519E-4</v>
      </c>
      <c r="O693" s="3">
        <f t="shared" si="109"/>
        <v>-1.3892799579761519</v>
      </c>
      <c r="P693">
        <v>1382</v>
      </c>
    </row>
    <row r="694" spans="1:16" x14ac:dyDescent="0.25">
      <c r="A694">
        <v>692</v>
      </c>
      <c r="B694">
        <v>3.3946000000000001</v>
      </c>
      <c r="C694" s="3">
        <v>3.3504399999999999</v>
      </c>
      <c r="D694" s="8">
        <f t="shared" si="114"/>
        <v>-4.4160000000000199E-2</v>
      </c>
      <c r="E694" s="8">
        <f t="shared" si="105"/>
        <v>-4.4210000000000083E-2</v>
      </c>
      <c r="F694" s="3">
        <v>3.9052000000000016</v>
      </c>
      <c r="G694" s="9">
        <v>1224.8399999999997</v>
      </c>
      <c r="H694">
        <f t="shared" si="106"/>
        <v>-0.17264889200000039</v>
      </c>
      <c r="I694">
        <f t="shared" si="110"/>
        <v>-0.17264889200000039</v>
      </c>
      <c r="J694">
        <f t="shared" si="111"/>
        <v>-0.14095628163678556</v>
      </c>
      <c r="K694">
        <f t="shared" si="112"/>
        <v>-2.9999999999996696E-4</v>
      </c>
      <c r="L694">
        <f t="shared" si="113"/>
        <v>-3.0499999999999972E-4</v>
      </c>
      <c r="M694">
        <f t="shared" si="107"/>
        <v>-3.0249999999998334E-4</v>
      </c>
      <c r="N694">
        <f t="shared" si="108"/>
        <v>-9.2985947271034093E-5</v>
      </c>
      <c r="O694" s="3">
        <f t="shared" si="109"/>
        <v>-0.92985947271034097</v>
      </c>
      <c r="P694">
        <v>1384</v>
      </c>
    </row>
    <row r="695" spans="1:16" x14ac:dyDescent="0.25">
      <c r="A695">
        <v>693</v>
      </c>
      <c r="B695">
        <v>3.3942999999999999</v>
      </c>
      <c r="C695" s="3">
        <v>3.3500399999999999</v>
      </c>
      <c r="D695" s="8">
        <f t="shared" si="114"/>
        <v>-4.4259999999999966E-2</v>
      </c>
      <c r="E695" s="8">
        <f t="shared" si="105"/>
        <v>-4.4299999999999784E-2</v>
      </c>
      <c r="F695" s="3">
        <v>3.7408000000000015</v>
      </c>
      <c r="G695" s="9">
        <v>1199.3599999999997</v>
      </c>
      <c r="H695">
        <f t="shared" si="106"/>
        <v>-0.16571743999999924</v>
      </c>
      <c r="I695">
        <f t="shared" si="110"/>
        <v>-0.16571743999999924</v>
      </c>
      <c r="J695">
        <f t="shared" si="111"/>
        <v>-0.13817155816435375</v>
      </c>
      <c r="K695">
        <f t="shared" si="112"/>
        <v>-3.5000000000007248E-4</v>
      </c>
      <c r="L695">
        <f t="shared" si="113"/>
        <v>-4.3999999999977391E-4</v>
      </c>
      <c r="M695">
        <f t="shared" si="107"/>
        <v>-3.9499999999992319E-4</v>
      </c>
      <c r="N695">
        <f t="shared" si="108"/>
        <v>-6.9803921829977121E-5</v>
      </c>
      <c r="O695" s="3">
        <f t="shared" si="109"/>
        <v>-0.69803921829977122</v>
      </c>
      <c r="P695">
        <v>1386</v>
      </c>
    </row>
    <row r="696" spans="1:16" x14ac:dyDescent="0.25">
      <c r="A696">
        <v>694</v>
      </c>
      <c r="B696">
        <v>3.3938999999999999</v>
      </c>
      <c r="C696" s="3">
        <v>3.3495600000000003</v>
      </c>
      <c r="D696" s="8">
        <f t="shared" si="114"/>
        <v>-4.4339999999999602E-2</v>
      </c>
      <c r="E696" s="8">
        <f t="shared" si="105"/>
        <v>-4.442999999999997E-2</v>
      </c>
      <c r="F696" s="3">
        <v>3.5764000000000009</v>
      </c>
      <c r="G696" s="9">
        <v>1173.8799999999997</v>
      </c>
      <c r="H696">
        <f t="shared" si="106"/>
        <v>-0.15889945199999994</v>
      </c>
      <c r="I696">
        <f t="shared" si="110"/>
        <v>-0.15889945199999994</v>
      </c>
      <c r="J696">
        <f t="shared" si="111"/>
        <v>-0.13536260265103756</v>
      </c>
      <c r="K696">
        <f t="shared" si="112"/>
        <v>-2.9999999999996696E-4</v>
      </c>
      <c r="L696">
        <f t="shared" si="113"/>
        <v>-4.3000000000015248E-4</v>
      </c>
      <c r="M696">
        <f t="shared" si="107"/>
        <v>-3.6500000000005972E-4</v>
      </c>
      <c r="N696">
        <f t="shared" si="108"/>
        <v>-7.4005516766287579E-5</v>
      </c>
      <c r="O696" s="3">
        <f t="shared" si="109"/>
        <v>-0.74005516766287582</v>
      </c>
      <c r="P696">
        <v>1388</v>
      </c>
    </row>
    <row r="697" spans="1:16" x14ac:dyDescent="0.25">
      <c r="A697">
        <v>695</v>
      </c>
      <c r="B697">
        <v>3.3936999999999999</v>
      </c>
      <c r="C697" s="3">
        <v>3.3491799999999996</v>
      </c>
      <c r="D697" s="8">
        <f t="shared" si="114"/>
        <v>-4.4520000000000337E-2</v>
      </c>
      <c r="E697" s="8">
        <f t="shared" si="105"/>
        <v>-4.4640000000000235E-2</v>
      </c>
      <c r="F697" s="3">
        <v>3.4120000000000004</v>
      </c>
      <c r="G697" s="9">
        <v>1148.3999999999996</v>
      </c>
      <c r="H697">
        <f t="shared" si="106"/>
        <v>-0.15231168000000081</v>
      </c>
      <c r="I697">
        <f t="shared" si="110"/>
        <v>-0.15231168000000081</v>
      </c>
      <c r="J697">
        <f t="shared" si="111"/>
        <v>-0.13262946708464024</v>
      </c>
      <c r="K697">
        <f t="shared" si="112"/>
        <v>-1.4999999999987246E-4</v>
      </c>
      <c r="L697">
        <f t="shared" si="113"/>
        <v>-3.6000000000013799E-4</v>
      </c>
      <c r="M697">
        <f t="shared" si="107"/>
        <v>-2.5500000000000522E-4</v>
      </c>
      <c r="N697">
        <f t="shared" si="108"/>
        <v>-1.0379062044912535E-4</v>
      </c>
      <c r="O697" s="3">
        <f t="shared" si="109"/>
        <v>-1.0379062044912535</v>
      </c>
      <c r="P697">
        <v>1390</v>
      </c>
    </row>
    <row r="698" spans="1:16" x14ac:dyDescent="0.25">
      <c r="A698">
        <v>696</v>
      </c>
      <c r="B698">
        <v>3.3936000000000002</v>
      </c>
      <c r="C698" s="3">
        <v>3.34884</v>
      </c>
      <c r="D698" s="8">
        <f t="shared" si="114"/>
        <v>-4.4760000000000133E-2</v>
      </c>
      <c r="E698" s="8">
        <f t="shared" si="105"/>
        <v>-4.4760000000000133E-2</v>
      </c>
      <c r="F698" s="3">
        <v>3.2476000000000007</v>
      </c>
      <c r="G698" s="9">
        <v>1122.9199999999996</v>
      </c>
      <c r="H698">
        <f t="shared" si="106"/>
        <v>-0.14536257600000047</v>
      </c>
      <c r="I698">
        <f t="shared" si="110"/>
        <v>-0.14536257600000047</v>
      </c>
      <c r="J698">
        <f t="shared" si="111"/>
        <v>-0.12945051829159737</v>
      </c>
      <c r="K698">
        <f t="shared" si="112"/>
        <v>-1.9999999999997797E-4</v>
      </c>
      <c r="L698">
        <f t="shared" si="113"/>
        <v>-3.1999999999987594E-4</v>
      </c>
      <c r="M698">
        <f t="shared" si="107"/>
        <v>-2.5999999999992696E-4</v>
      </c>
      <c r="N698">
        <f t="shared" si="108"/>
        <v>-9.9354767084525847E-5</v>
      </c>
      <c r="O698" s="3">
        <f t="shared" si="109"/>
        <v>-0.99354767084525852</v>
      </c>
      <c r="P698">
        <v>1392</v>
      </c>
    </row>
    <row r="699" spans="1:16" x14ac:dyDescent="0.25">
      <c r="A699">
        <v>697</v>
      </c>
      <c r="B699">
        <v>3.3933</v>
      </c>
      <c r="C699" s="3">
        <v>3.3485399999999998</v>
      </c>
      <c r="D699" s="8">
        <f t="shared" si="114"/>
        <v>-4.4760000000000133E-2</v>
      </c>
      <c r="E699" s="8">
        <f t="shared" si="105"/>
        <v>-4.5090000000000297E-2</v>
      </c>
      <c r="F699" s="3">
        <v>3.0832000000000006</v>
      </c>
      <c r="G699" s="9">
        <v>1097.4399999999996</v>
      </c>
      <c r="H699">
        <f t="shared" si="106"/>
        <v>-0.13902148800000094</v>
      </c>
      <c r="I699">
        <f t="shared" si="110"/>
        <v>-0.13902148800000094</v>
      </c>
      <c r="J699">
        <f t="shared" si="111"/>
        <v>-0.12667798512902848</v>
      </c>
      <c r="K699">
        <f t="shared" si="112"/>
        <v>-2.5000000000008349E-4</v>
      </c>
      <c r="L699">
        <f t="shared" si="113"/>
        <v>-5.8000000000024698E-4</v>
      </c>
      <c r="M699">
        <f t="shared" si="107"/>
        <v>-4.1500000000016524E-4</v>
      </c>
      <c r="N699">
        <f t="shared" si="108"/>
        <v>-6.0913185851152709E-5</v>
      </c>
      <c r="O699" s="3">
        <f t="shared" si="109"/>
        <v>-0.60913185851152707</v>
      </c>
      <c r="P699">
        <v>1394</v>
      </c>
    </row>
    <row r="700" spans="1:16" x14ac:dyDescent="0.25">
      <c r="A700">
        <v>698</v>
      </c>
      <c r="B700">
        <v>3.3931</v>
      </c>
      <c r="C700" s="3">
        <v>3.3476799999999995</v>
      </c>
      <c r="D700" s="8">
        <f t="shared" si="114"/>
        <v>-4.542000000000046E-2</v>
      </c>
      <c r="E700" s="8">
        <f t="shared" si="105"/>
        <v>-4.5750000000000179E-2</v>
      </c>
      <c r="F700" s="3">
        <v>2.9188000000000001</v>
      </c>
      <c r="G700" s="9">
        <v>1071.9599999999998</v>
      </c>
      <c r="H700">
        <f t="shared" si="106"/>
        <v>-0.13353510000000052</v>
      </c>
      <c r="I700">
        <f t="shared" si="110"/>
        <v>-0.13353510000000052</v>
      </c>
      <c r="J700">
        <f t="shared" si="111"/>
        <v>-0.12457097279749296</v>
      </c>
      <c r="K700">
        <f t="shared" si="112"/>
        <v>-1.500000000000945E-4</v>
      </c>
      <c r="L700">
        <f t="shared" si="113"/>
        <v>-8.099999999999774E-4</v>
      </c>
      <c r="M700">
        <f t="shared" si="107"/>
        <v>-4.8000000000003595E-4</v>
      </c>
      <c r="N700">
        <f t="shared" si="108"/>
        <v>-5.1788565611980673E-5</v>
      </c>
      <c r="O700" s="3">
        <f t="shared" si="109"/>
        <v>-0.51788565611980675</v>
      </c>
      <c r="P700">
        <v>1396</v>
      </c>
    </row>
    <row r="701" spans="1:16" x14ac:dyDescent="0.25">
      <c r="A701">
        <v>699</v>
      </c>
      <c r="B701">
        <v>3.3929999999999998</v>
      </c>
      <c r="C701" s="3">
        <v>3.3469199999999999</v>
      </c>
      <c r="D701" s="8">
        <f t="shared" si="114"/>
        <v>-4.6079999999999899E-2</v>
      </c>
      <c r="E701" s="8">
        <f t="shared" si="105"/>
        <v>-4.6350000000000113E-2</v>
      </c>
      <c r="F701" s="3">
        <v>2.7544</v>
      </c>
      <c r="G701" s="9">
        <v>1046.48</v>
      </c>
      <c r="H701">
        <f t="shared" si="106"/>
        <v>-0.1276664400000003</v>
      </c>
      <c r="I701">
        <f t="shared" si="110"/>
        <v>-0.1276664400000003</v>
      </c>
      <c r="J701">
        <f t="shared" si="111"/>
        <v>-0.12199606299212626</v>
      </c>
      <c r="K701">
        <f t="shared" si="112"/>
        <v>-1.500000000000945E-4</v>
      </c>
      <c r="L701">
        <f t="shared" si="113"/>
        <v>-7.5000000000002842E-4</v>
      </c>
      <c r="M701">
        <f t="shared" si="107"/>
        <v>-4.5000000000006146E-4</v>
      </c>
      <c r="N701">
        <f t="shared" si="108"/>
        <v>-5.4099290031267562E-5</v>
      </c>
      <c r="O701" s="3">
        <f t="shared" si="109"/>
        <v>-0.54099290031267566</v>
      </c>
      <c r="P701">
        <v>1398</v>
      </c>
    </row>
    <row r="702" spans="1:16" x14ac:dyDescent="0.25">
      <c r="A702">
        <v>700</v>
      </c>
      <c r="B702">
        <v>3.3927999999999998</v>
      </c>
      <c r="C702" s="3">
        <v>3.3461799999999995</v>
      </c>
      <c r="D702" s="8">
        <f t="shared" si="114"/>
        <v>-4.6620000000000328E-2</v>
      </c>
      <c r="E702" s="8">
        <f t="shared" si="105"/>
        <v>-4.681000000000024E-2</v>
      </c>
      <c r="F702" s="3">
        <v>2.59</v>
      </c>
      <c r="G702">
        <v>1021</v>
      </c>
      <c r="H702">
        <f t="shared" si="106"/>
        <v>-0.12123790000000062</v>
      </c>
      <c r="I702">
        <f t="shared" si="110"/>
        <v>-0.12123790000000062</v>
      </c>
      <c r="J702">
        <f t="shared" si="111"/>
        <v>-0.11874427032321314</v>
      </c>
      <c r="K702">
        <f t="shared" si="112"/>
        <v>-1.4999999999987246E-4</v>
      </c>
      <c r="L702">
        <f t="shared" si="113"/>
        <v>-6.0999999999999943E-4</v>
      </c>
      <c r="M702">
        <f t="shared" si="107"/>
        <v>-3.7999999999993594E-4</v>
      </c>
      <c r="N702">
        <f t="shared" si="108"/>
        <v>-6.2357304019645016E-5</v>
      </c>
      <c r="O702" s="3">
        <f t="shared" si="109"/>
        <v>-0.62357304019645021</v>
      </c>
      <c r="P702">
        <v>1400</v>
      </c>
    </row>
    <row r="703" spans="1:16" x14ac:dyDescent="0.25">
      <c r="A703">
        <v>701</v>
      </c>
      <c r="B703">
        <v>3.3927</v>
      </c>
      <c r="C703" s="3">
        <v>3.3456999999999999</v>
      </c>
      <c r="D703" s="8">
        <f t="shared" si="114"/>
        <v>-4.7000000000000153E-2</v>
      </c>
      <c r="E703" s="8">
        <f t="shared" si="105"/>
        <v>-4.6880000000000033E-2</v>
      </c>
      <c r="F703" s="3">
        <v>2.4904000000000002</v>
      </c>
      <c r="G703" s="9">
        <v>980.7876</v>
      </c>
      <c r="H703">
        <f t="shared" si="106"/>
        <v>-0.11674995200000009</v>
      </c>
      <c r="I703">
        <f t="shared" si="110"/>
        <v>-0.11674995200000009</v>
      </c>
      <c r="J703">
        <f t="shared" si="111"/>
        <v>-0.11903693725328511</v>
      </c>
      <c r="K703">
        <f t="shared" si="112"/>
        <v>-9.9999999999988987E-5</v>
      </c>
      <c r="L703">
        <f t="shared" si="113"/>
        <v>-1.6999999999978144E-4</v>
      </c>
      <c r="M703">
        <f t="shared" si="107"/>
        <v>-1.3499999999988521E-4</v>
      </c>
      <c r="N703">
        <f t="shared" si="108"/>
        <v>-1.759568747537166E-4</v>
      </c>
      <c r="O703" s="3">
        <f t="shared" si="109"/>
        <v>-1.759568747537166</v>
      </c>
      <c r="P703">
        <v>1402</v>
      </c>
    </row>
    <row r="704" spans="1:16" x14ac:dyDescent="0.25">
      <c r="A704">
        <v>702</v>
      </c>
      <c r="B704">
        <v>3.3925999999999998</v>
      </c>
      <c r="C704" s="3">
        <v>3.3458399999999999</v>
      </c>
      <c r="D704" s="8">
        <f t="shared" si="114"/>
        <v>-4.6759999999999913E-2</v>
      </c>
      <c r="E704" s="8">
        <f t="shared" si="105"/>
        <v>-4.5967500000000161E-2</v>
      </c>
      <c r="F704" s="3">
        <v>2.3908</v>
      </c>
      <c r="G704" s="9">
        <v>940.5752</v>
      </c>
      <c r="H704">
        <f t="shared" si="106"/>
        <v>-0.10989909900000039</v>
      </c>
      <c r="I704">
        <f t="shared" si="110"/>
        <v>-0.10989909900000039</v>
      </c>
      <c r="J704">
        <f t="shared" si="111"/>
        <v>-0.11684243747868367</v>
      </c>
      <c r="K704">
        <f t="shared" si="112"/>
        <v>-9.9999999999988987E-5</v>
      </c>
      <c r="L704">
        <f t="shared" si="113"/>
        <v>8.1249999999988276E-4</v>
      </c>
      <c r="M704">
        <f t="shared" si="107"/>
        <v>3.5624999999994689E-4</v>
      </c>
      <c r="N704">
        <f t="shared" si="108"/>
        <v>6.5449148281856279E-5</v>
      </c>
      <c r="O704" s="3">
        <f t="shared" si="109"/>
        <v>0.65449148281856284</v>
      </c>
      <c r="P704">
        <v>1404</v>
      </c>
    </row>
    <row r="705" spans="1:16" x14ac:dyDescent="0.25">
      <c r="A705">
        <v>703</v>
      </c>
      <c r="B705">
        <v>3.3925000000000001</v>
      </c>
      <c r="C705" s="3">
        <v>3.3473249999999997</v>
      </c>
      <c r="D705" s="8">
        <f t="shared" si="114"/>
        <v>-4.5175000000000409E-2</v>
      </c>
      <c r="E705" s="8">
        <f t="shared" si="105"/>
        <v>-4.5154166666666828E-2</v>
      </c>
      <c r="F705" s="3">
        <v>2.2912000000000003</v>
      </c>
      <c r="G705" s="9">
        <v>900.36279999999999</v>
      </c>
      <c r="H705">
        <f t="shared" si="106"/>
        <v>-0.10345722666666705</v>
      </c>
      <c r="I705">
        <f t="shared" si="110"/>
        <v>-0.10345722666666705</v>
      </c>
      <c r="J705">
        <f t="shared" si="111"/>
        <v>-0.11490615412661102</v>
      </c>
      <c r="K705">
        <f t="shared" si="112"/>
        <v>-9.9999999999988987E-5</v>
      </c>
      <c r="L705">
        <f t="shared" si="113"/>
        <v>7.1333333333334359E-4</v>
      </c>
      <c r="M705">
        <f t="shared" si="107"/>
        <v>3.066666666666773E-4</v>
      </c>
      <c r="N705">
        <f t="shared" si="108"/>
        <v>7.477130843862381E-5</v>
      </c>
      <c r="O705" s="3">
        <f t="shared" si="109"/>
        <v>0.74771308438623807</v>
      </c>
      <c r="P705">
        <v>1406</v>
      </c>
    </row>
    <row r="706" spans="1:16" x14ac:dyDescent="0.25">
      <c r="A706">
        <v>704</v>
      </c>
      <c r="B706">
        <v>3.3923999999999999</v>
      </c>
      <c r="C706" s="3">
        <v>3.3472666666666666</v>
      </c>
      <c r="D706" s="8">
        <f t="shared" si="114"/>
        <v>-4.5133333333333248E-2</v>
      </c>
      <c r="E706" s="8">
        <f t="shared" si="105"/>
        <v>-4.524999999999979E-2</v>
      </c>
      <c r="F706" s="3">
        <v>2.1916000000000002</v>
      </c>
      <c r="G706" s="9">
        <v>860.15039999999999</v>
      </c>
      <c r="H706">
        <f t="shared" si="106"/>
        <v>-9.9169899999999547E-2</v>
      </c>
      <c r="I706">
        <f t="shared" si="110"/>
        <v>-9.9169899999999547E-2</v>
      </c>
      <c r="J706">
        <f t="shared" si="111"/>
        <v>-0.11529367422255404</v>
      </c>
      <c r="K706">
        <f t="shared" si="112"/>
        <v>-5.0000000000105516E-5</v>
      </c>
      <c r="L706">
        <f t="shared" si="113"/>
        <v>-1.4583333333306747E-4</v>
      </c>
      <c r="M706">
        <f t="shared" si="107"/>
        <v>-9.7916666666586494E-5</v>
      </c>
      <c r="N706">
        <f t="shared" si="108"/>
        <v>-2.3496713585768411E-4</v>
      </c>
      <c r="O706" s="3">
        <f t="shared" si="109"/>
        <v>-2.349671358576841</v>
      </c>
      <c r="P706">
        <v>1408</v>
      </c>
    </row>
    <row r="707" spans="1:16" x14ac:dyDescent="0.25">
      <c r="A707">
        <v>705</v>
      </c>
      <c r="B707">
        <v>3.3923999999999999</v>
      </c>
      <c r="C707" s="3">
        <v>3.3470333333333335</v>
      </c>
      <c r="D707" s="8">
        <f t="shared" si="114"/>
        <v>-4.5366666666666333E-2</v>
      </c>
      <c r="E707" s="8">
        <f t="shared" si="105"/>
        <v>-4.5383333333333109E-2</v>
      </c>
      <c r="F707" s="3">
        <v>2.0920000000000005</v>
      </c>
      <c r="G707" s="9">
        <v>819.93799999999999</v>
      </c>
      <c r="H707">
        <f t="shared" si="106"/>
        <v>-9.4941933333332881E-2</v>
      </c>
      <c r="I707">
        <f t="shared" si="110"/>
        <v>-9.4941933333332881E-2</v>
      </c>
      <c r="J707">
        <f t="shared" si="111"/>
        <v>-0.11579160050312692</v>
      </c>
      <c r="K707">
        <f t="shared" si="112"/>
        <v>-4.9999999999883471E-5</v>
      </c>
      <c r="L707">
        <f t="shared" si="113"/>
        <v>-1.8333333333320212E-4</v>
      </c>
      <c r="M707">
        <f t="shared" si="107"/>
        <v>-1.166666666665428E-4</v>
      </c>
      <c r="N707">
        <f t="shared" si="108"/>
        <v>-1.9805624059806011E-4</v>
      </c>
      <c r="O707" s="3">
        <f t="shared" si="109"/>
        <v>-1.9805624059806011</v>
      </c>
      <c r="P707">
        <v>1410</v>
      </c>
    </row>
    <row r="708" spans="1:16" x14ac:dyDescent="0.25">
      <c r="A708">
        <v>706</v>
      </c>
      <c r="B708">
        <v>3.3923000000000001</v>
      </c>
      <c r="C708" s="3">
        <v>3.3469000000000002</v>
      </c>
      <c r="D708" s="8">
        <f t="shared" si="114"/>
        <v>-4.5399999999999885E-2</v>
      </c>
      <c r="E708" s="8">
        <f t="shared" ref="E708:E716" si="115">(D708+D709)/2</f>
        <v>-4.5516666666666872E-2</v>
      </c>
      <c r="F708" s="3">
        <v>1.9924000000000006</v>
      </c>
      <c r="G708" s="9">
        <v>779.72559999999999</v>
      </c>
      <c r="H708">
        <f t="shared" ref="H708:H733" si="116">E708*F708</f>
        <v>-9.0687406666667109E-2</v>
      </c>
      <c r="I708">
        <f t="shared" si="110"/>
        <v>-9.0687406666667109E-2</v>
      </c>
      <c r="J708">
        <f t="shared" si="111"/>
        <v>-0.11630682212648541</v>
      </c>
      <c r="K708">
        <f t="shared" si="112"/>
        <v>-4.9999999999883471E-5</v>
      </c>
      <c r="L708">
        <f t="shared" si="113"/>
        <v>-1.8333333333364621E-4</v>
      </c>
      <c r="M708">
        <f t="shared" si="107"/>
        <v>-1.1666666666676484E-4</v>
      </c>
      <c r="N708">
        <f t="shared" si="108"/>
        <v>-1.9893750363708874E-4</v>
      </c>
      <c r="O708" s="3">
        <f t="shared" si="109"/>
        <v>-1.9893750363708873</v>
      </c>
      <c r="P708">
        <v>1412</v>
      </c>
    </row>
    <row r="709" spans="1:16" x14ac:dyDescent="0.25">
      <c r="A709">
        <v>707</v>
      </c>
      <c r="B709">
        <v>3.3923000000000001</v>
      </c>
      <c r="C709" s="3">
        <v>3.3466666666666662</v>
      </c>
      <c r="D709" s="8">
        <f t="shared" si="114"/>
        <v>-4.5633333333333859E-2</v>
      </c>
      <c r="E709" s="8">
        <f t="shared" si="115"/>
        <v>-4.7716666666666852E-2</v>
      </c>
      <c r="F709" s="3">
        <v>1.8928000000000007</v>
      </c>
      <c r="G709" s="9">
        <v>739.51319999999998</v>
      </c>
      <c r="H709">
        <f t="shared" si="116"/>
        <v>-9.031810666666705E-2</v>
      </c>
      <c r="I709">
        <f t="shared" si="110"/>
        <v>-9.031810666666705E-2</v>
      </c>
      <c r="J709">
        <f t="shared" si="111"/>
        <v>-0.12213183844002656</v>
      </c>
      <c r="K709">
        <f t="shared" si="112"/>
        <v>-5.0000000000105516E-5</v>
      </c>
      <c r="L709">
        <f t="shared" si="113"/>
        <v>-2.2500000000000853E-3</v>
      </c>
      <c r="M709">
        <f t="shared" ref="M709:M733" si="117">(K709+L709)/2</f>
        <v>-1.1500000000000954E-3</v>
      </c>
      <c r="N709">
        <f t="shared" ref="N709:N733" si="118">-J709/(M709*86400*58)</f>
        <v>-2.1192847749739097E-5</v>
      </c>
      <c r="O709" s="3">
        <f t="shared" ref="O709:O733" si="119">N709*10000</f>
        <v>-0.21192847749739097</v>
      </c>
      <c r="P709">
        <v>1414</v>
      </c>
    </row>
    <row r="710" spans="1:16" x14ac:dyDescent="0.25">
      <c r="A710">
        <v>708</v>
      </c>
      <c r="B710">
        <v>3.3921999999999999</v>
      </c>
      <c r="C710" s="3">
        <v>3.3424</v>
      </c>
      <c r="D710" s="8">
        <f t="shared" si="114"/>
        <v>-4.9799999999999844E-2</v>
      </c>
      <c r="E710" s="8">
        <f t="shared" si="115"/>
        <v>-5.0200000000000022E-2</v>
      </c>
      <c r="F710" s="3">
        <v>1.793200000000001</v>
      </c>
      <c r="G710" s="9">
        <v>699.30079999999998</v>
      </c>
      <c r="H710">
        <f t="shared" si="116"/>
        <v>-9.0018640000000094E-2</v>
      </c>
      <c r="I710">
        <f t="shared" si="110"/>
        <v>-9.0018640000000094E-2</v>
      </c>
      <c r="J710">
        <f t="shared" si="111"/>
        <v>-0.12872663666336445</v>
      </c>
      <c r="K710">
        <f t="shared" si="112"/>
        <v>-9.9999999999988987E-5</v>
      </c>
      <c r="L710">
        <f t="shared" si="113"/>
        <v>-2.5833333333331598E-3</v>
      </c>
      <c r="M710">
        <f t="shared" si="117"/>
        <v>-1.3416666666665744E-3</v>
      </c>
      <c r="N710">
        <f t="shared" si="118"/>
        <v>-1.9146176415270534E-5</v>
      </c>
      <c r="O710" s="3">
        <f t="shared" si="119"/>
        <v>-0.19146176415270535</v>
      </c>
      <c r="P710">
        <v>1416</v>
      </c>
    </row>
    <row r="711" spans="1:16" x14ac:dyDescent="0.25">
      <c r="A711">
        <v>709</v>
      </c>
      <c r="B711">
        <v>3.3921000000000001</v>
      </c>
      <c r="C711" s="3">
        <v>3.3414999999999999</v>
      </c>
      <c r="D711" s="8">
        <f t="shared" si="114"/>
        <v>-5.06000000000002E-2</v>
      </c>
      <c r="E711" s="8">
        <f t="shared" si="115"/>
        <v>-5.062499999999992E-2</v>
      </c>
      <c r="F711" s="3">
        <v>1.6936000000000007</v>
      </c>
      <c r="G711" s="9">
        <v>659.08839999999998</v>
      </c>
      <c r="H711">
        <f t="shared" si="116"/>
        <v>-8.5738499999999898E-2</v>
      </c>
      <c r="I711">
        <f t="shared" si="110"/>
        <v>-8.5738499999999898E-2</v>
      </c>
      <c r="J711">
        <f t="shared" si="111"/>
        <v>-0.13008649522582996</v>
      </c>
      <c r="K711">
        <f t="shared" si="112"/>
        <v>-2.9999999999996696E-4</v>
      </c>
      <c r="L711">
        <f t="shared" si="113"/>
        <v>-7.2499999999986464E-4</v>
      </c>
      <c r="M711">
        <f t="shared" si="117"/>
        <v>-5.124999999999158E-4</v>
      </c>
      <c r="N711">
        <f t="shared" si="118"/>
        <v>-5.0652001069156823E-5</v>
      </c>
      <c r="O711" s="3">
        <f t="shared" si="119"/>
        <v>-0.50652001069156827</v>
      </c>
      <c r="P711">
        <v>1418</v>
      </c>
    </row>
    <row r="712" spans="1:16" x14ac:dyDescent="0.25">
      <c r="A712">
        <v>710</v>
      </c>
      <c r="B712">
        <v>3.3915999999999999</v>
      </c>
      <c r="C712" s="3">
        <v>3.3409500000000003</v>
      </c>
      <c r="D712" s="8">
        <f t="shared" si="114"/>
        <v>-5.064999999999964E-2</v>
      </c>
      <c r="E712" s="8">
        <f t="shared" si="115"/>
        <v>-5.0549999999999873E-2</v>
      </c>
      <c r="F712" s="3">
        <v>1.5940000000000007</v>
      </c>
      <c r="G712" s="9">
        <v>618.87599999999998</v>
      </c>
      <c r="H712">
        <f t="shared" si="116"/>
        <v>-8.0576699999999835E-2</v>
      </c>
      <c r="I712">
        <f t="shared" si="110"/>
        <v>-8.0576699999999835E-2</v>
      </c>
      <c r="J712">
        <f t="shared" si="111"/>
        <v>-0.13019845655672516</v>
      </c>
      <c r="K712">
        <f t="shared" si="112"/>
        <v>-2.9999999999996696E-4</v>
      </c>
      <c r="L712">
        <f t="shared" si="113"/>
        <v>-2.2499999999991971E-4</v>
      </c>
      <c r="M712">
        <f t="shared" si="117"/>
        <v>-2.6249999999994333E-4</v>
      </c>
      <c r="N712">
        <f t="shared" si="118"/>
        <v>-9.8977115304957474E-5</v>
      </c>
      <c r="O712" s="3">
        <f t="shared" si="119"/>
        <v>-0.98977115304957475</v>
      </c>
      <c r="P712">
        <v>1420</v>
      </c>
    </row>
    <row r="713" spans="1:16" x14ac:dyDescent="0.25">
      <c r="A713">
        <v>711</v>
      </c>
      <c r="B713">
        <v>3.3915000000000002</v>
      </c>
      <c r="C713" s="3">
        <v>3.3410500000000001</v>
      </c>
      <c r="D713" s="8">
        <f t="shared" si="114"/>
        <v>-5.0450000000000106E-2</v>
      </c>
      <c r="E713" s="8">
        <f t="shared" si="115"/>
        <v>-5.0224999999999964E-2</v>
      </c>
      <c r="F713" s="3">
        <v>1.4944000000000006</v>
      </c>
      <c r="G713" s="9">
        <v>578.66359999999997</v>
      </c>
      <c r="H713">
        <f t="shared" si="116"/>
        <v>-7.5056239999999982E-2</v>
      </c>
      <c r="I713">
        <f t="shared" si="110"/>
        <v>-7.5056239999999982E-2</v>
      </c>
      <c r="J713">
        <f t="shared" si="111"/>
        <v>-0.12970617125390294</v>
      </c>
      <c r="K713">
        <f t="shared" si="112"/>
        <v>-1.9999999999997797E-4</v>
      </c>
      <c r="L713">
        <f t="shared" si="113"/>
        <v>1.2499999999993072E-4</v>
      </c>
      <c r="M713">
        <f t="shared" si="117"/>
        <v>-3.7500000000023626E-5</v>
      </c>
      <c r="N713">
        <f t="shared" si="118"/>
        <v>-6.9022015354310994E-4</v>
      </c>
      <c r="O713" s="3">
        <f t="shared" si="119"/>
        <v>-6.9022015354310993</v>
      </c>
      <c r="P713">
        <v>1422</v>
      </c>
    </row>
    <row r="714" spans="1:16" x14ac:dyDescent="0.25">
      <c r="A714">
        <v>712</v>
      </c>
      <c r="B714">
        <v>3.3912</v>
      </c>
      <c r="C714" s="3">
        <v>3.3412000000000002</v>
      </c>
      <c r="D714" s="8">
        <f t="shared" si="114"/>
        <v>-4.9999999999999822E-2</v>
      </c>
      <c r="E714" s="8">
        <f t="shared" si="115"/>
        <v>-5.1799999999999846E-2</v>
      </c>
      <c r="F714" s="3">
        <v>1.3948000000000005</v>
      </c>
      <c r="G714" s="9">
        <v>538.45119999999997</v>
      </c>
      <c r="H714">
        <f t="shared" si="116"/>
        <v>-7.2250639999999811E-2</v>
      </c>
      <c r="I714">
        <f t="shared" si="110"/>
        <v>-7.2250639999999811E-2</v>
      </c>
      <c r="J714">
        <f t="shared" si="111"/>
        <v>-0.13418233630085663</v>
      </c>
      <c r="K714">
        <f t="shared" si="112"/>
        <v>-3.00000000000189E-4</v>
      </c>
      <c r="L714">
        <f t="shared" si="113"/>
        <v>-1.8750000000000711E-3</v>
      </c>
      <c r="M714">
        <f t="shared" si="117"/>
        <v>-1.08750000000013E-3</v>
      </c>
      <c r="N714">
        <f t="shared" si="118"/>
        <v>-2.4622057864102221E-5</v>
      </c>
      <c r="O714" s="3">
        <f t="shared" si="119"/>
        <v>-0.2462205786410222</v>
      </c>
      <c r="P714">
        <v>1424</v>
      </c>
    </row>
    <row r="715" spans="1:16" x14ac:dyDescent="0.25">
      <c r="A715">
        <v>713</v>
      </c>
      <c r="B715">
        <v>3.3908999999999998</v>
      </c>
      <c r="C715" s="3">
        <v>3.3372999999999999</v>
      </c>
      <c r="D715" s="8">
        <f t="shared" si="114"/>
        <v>-5.359999999999987E-2</v>
      </c>
      <c r="E715" s="8">
        <f t="shared" si="115"/>
        <v>-5.3149999999999809E-2</v>
      </c>
      <c r="F715" s="3">
        <v>1.2952000000000006</v>
      </c>
      <c r="G715" s="9">
        <v>498.23879999999997</v>
      </c>
      <c r="H715">
        <f t="shared" si="116"/>
        <v>-6.8839879999999784E-2</v>
      </c>
      <c r="I715">
        <f t="shared" si="110"/>
        <v>-6.8839879999999784E-2</v>
      </c>
      <c r="J715">
        <f t="shared" si="111"/>
        <v>-0.13816643745930623</v>
      </c>
      <c r="K715">
        <f t="shared" si="112"/>
        <v>-2.5000000000008349E-4</v>
      </c>
      <c r="L715">
        <f t="shared" si="113"/>
        <v>-1.6000000000000458E-3</v>
      </c>
      <c r="M715">
        <f t="shared" si="117"/>
        <v>-9.2500000000006466E-4</v>
      </c>
      <c r="N715">
        <f t="shared" si="118"/>
        <v>-2.9807056508943549E-5</v>
      </c>
      <c r="O715" s="3">
        <f t="shared" si="119"/>
        <v>-0.29807056508943547</v>
      </c>
      <c r="P715">
        <v>1426</v>
      </c>
    </row>
    <row r="716" spans="1:16" x14ac:dyDescent="0.25">
      <c r="A716">
        <v>714</v>
      </c>
      <c r="B716">
        <v>3.3906999999999998</v>
      </c>
      <c r="C716" s="3">
        <v>3.3380000000000001</v>
      </c>
      <c r="D716" s="8">
        <f t="shared" si="114"/>
        <v>-5.2699999999999747E-2</v>
      </c>
      <c r="E716" s="8">
        <f t="shared" si="115"/>
        <v>-5.2299999999999791E-2</v>
      </c>
      <c r="F716" s="3">
        <v>1.1956000000000004</v>
      </c>
      <c r="G716" s="9">
        <v>458.02639999999997</v>
      </c>
      <c r="H716">
        <f t="shared" si="116"/>
        <v>-6.2529879999999774E-2</v>
      </c>
      <c r="I716">
        <f t="shared" si="110"/>
        <v>-6.2529879999999774E-2</v>
      </c>
      <c r="J716">
        <f t="shared" si="111"/>
        <v>-0.13652025298105039</v>
      </c>
      <c r="K716">
        <f t="shared" si="112"/>
        <v>-2.9999999999996696E-4</v>
      </c>
      <c r="L716">
        <f t="shared" si="113"/>
        <v>5.5000000000005045E-4</v>
      </c>
      <c r="M716">
        <f t="shared" si="117"/>
        <v>1.2500000000004174E-4</v>
      </c>
      <c r="N716">
        <f t="shared" si="118"/>
        <v>2.1794420973979056E-4</v>
      </c>
      <c r="O716" s="3">
        <f t="shared" si="119"/>
        <v>2.1794420973979056</v>
      </c>
      <c r="P716">
        <v>1428</v>
      </c>
    </row>
    <row r="717" spans="1:16" x14ac:dyDescent="0.25">
      <c r="A717">
        <v>715</v>
      </c>
      <c r="B717">
        <v>3.3902999999999999</v>
      </c>
      <c r="C717" s="3">
        <v>3.3384</v>
      </c>
      <c r="D717" s="8">
        <f t="shared" si="114"/>
        <v>-5.1899999999999835E-2</v>
      </c>
      <c r="E717" s="8"/>
      <c r="F717" s="3">
        <v>1.0960000000000005</v>
      </c>
      <c r="G717" s="9">
        <v>417.81399999999996</v>
      </c>
      <c r="H717">
        <f t="shared" si="116"/>
        <v>0</v>
      </c>
      <c r="I717">
        <f t="shared" si="110"/>
        <v>0</v>
      </c>
      <c r="J717">
        <f t="shared" si="111"/>
        <v>0</v>
      </c>
      <c r="K717">
        <f t="shared" si="112"/>
        <v>-2.4999999999986144E-4</v>
      </c>
      <c r="L717">
        <f t="shared" si="113"/>
        <v>4.5000000000006146E-4</v>
      </c>
      <c r="M717">
        <f t="shared" si="117"/>
        <v>1.0000000000010001E-4</v>
      </c>
      <c r="N717">
        <f t="shared" si="118"/>
        <v>0</v>
      </c>
      <c r="O717" s="3">
        <f t="shared" si="119"/>
        <v>0</v>
      </c>
      <c r="P717">
        <v>1430</v>
      </c>
    </row>
    <row r="718" spans="1:16" x14ac:dyDescent="0.25">
      <c r="A718">
        <v>716</v>
      </c>
      <c r="B718">
        <v>3.3902000000000001</v>
      </c>
      <c r="C718" s="3">
        <v>3.3389000000000002</v>
      </c>
      <c r="D718" s="3"/>
      <c r="F718" s="3">
        <v>0.9964000000000004</v>
      </c>
      <c r="G718" s="9">
        <v>377.60159999999996</v>
      </c>
      <c r="H718">
        <f t="shared" si="116"/>
        <v>0</v>
      </c>
      <c r="I718">
        <f t="shared" si="110"/>
        <v>0</v>
      </c>
      <c r="J718">
        <f t="shared" si="111"/>
        <v>0</v>
      </c>
      <c r="K718">
        <f t="shared" si="112"/>
        <v>-9.9999999999988987E-5</v>
      </c>
      <c r="L718">
        <f t="shared" si="113"/>
        <v>7.5000000000002842E-4</v>
      </c>
      <c r="M718">
        <f t="shared" si="117"/>
        <v>3.2500000000001972E-4</v>
      </c>
      <c r="N718">
        <f t="shared" si="118"/>
        <v>0</v>
      </c>
      <c r="O718" s="3">
        <f t="shared" si="119"/>
        <v>0</v>
      </c>
    </row>
    <row r="719" spans="1:16" x14ac:dyDescent="0.25">
      <c r="A719">
        <v>717</v>
      </c>
      <c r="B719">
        <v>3.3900999999999999</v>
      </c>
      <c r="C719" s="3">
        <v>3.3399000000000001</v>
      </c>
      <c r="F719" s="3">
        <v>0.89680000000000037</v>
      </c>
      <c r="G719" s="9">
        <v>337.38919999999996</v>
      </c>
      <c r="H719">
        <f t="shared" si="116"/>
        <v>0</v>
      </c>
      <c r="I719">
        <f t="shared" si="110"/>
        <v>0</v>
      </c>
      <c r="J719">
        <f t="shared" si="111"/>
        <v>0</v>
      </c>
      <c r="K719">
        <f t="shared" si="112"/>
        <v>-9.9999999999988987E-5</v>
      </c>
      <c r="L719">
        <f t="shared" si="113"/>
        <v>7.9999999999991189E-4</v>
      </c>
      <c r="M719">
        <f t="shared" si="117"/>
        <v>3.4999999999996145E-4</v>
      </c>
      <c r="N719">
        <f t="shared" si="118"/>
        <v>0</v>
      </c>
      <c r="O719" s="3">
        <f t="shared" si="119"/>
        <v>0</v>
      </c>
    </row>
    <row r="720" spans="1:16" x14ac:dyDescent="0.25">
      <c r="A720">
        <v>718</v>
      </c>
      <c r="B720">
        <v>3.39</v>
      </c>
      <c r="C720" s="3">
        <v>3.3405</v>
      </c>
      <c r="F720" s="3">
        <v>0.79720000000000035</v>
      </c>
      <c r="G720" s="9">
        <v>297.17679999999996</v>
      </c>
      <c r="H720">
        <f t="shared" si="116"/>
        <v>0</v>
      </c>
      <c r="I720">
        <f t="shared" si="110"/>
        <v>0</v>
      </c>
      <c r="J720">
        <f t="shared" si="111"/>
        <v>0</v>
      </c>
      <c r="K720">
        <f t="shared" si="112"/>
        <v>-9.9999999999988987E-5</v>
      </c>
      <c r="L720">
        <f t="shared" si="113"/>
        <v>-1.66995</v>
      </c>
      <c r="M720">
        <f t="shared" si="117"/>
        <v>-0.83502500000000002</v>
      </c>
      <c r="N720">
        <f t="shared" si="118"/>
        <v>0</v>
      </c>
      <c r="O720" s="3">
        <f t="shared" si="119"/>
        <v>0</v>
      </c>
    </row>
    <row r="721" spans="1:15" x14ac:dyDescent="0.25">
      <c r="A721">
        <v>719</v>
      </c>
      <c r="B721">
        <v>3.3898999999999999</v>
      </c>
      <c r="F721" s="3">
        <v>0.69760000000000022</v>
      </c>
      <c r="G721" s="9">
        <v>256.96439999999996</v>
      </c>
      <c r="H721">
        <f t="shared" si="116"/>
        <v>0</v>
      </c>
      <c r="I721">
        <f t="shared" si="110"/>
        <v>0</v>
      </c>
      <c r="J721">
        <f t="shared" si="111"/>
        <v>0</v>
      </c>
      <c r="K721">
        <f t="shared" si="112"/>
        <v>-9.9999999999988987E-5</v>
      </c>
      <c r="L721">
        <f t="shared" si="113"/>
        <v>-1.67025</v>
      </c>
      <c r="M721">
        <f t="shared" si="117"/>
        <v>-0.835175</v>
      </c>
      <c r="N721">
        <f t="shared" si="118"/>
        <v>0</v>
      </c>
      <c r="O721" s="3">
        <f t="shared" si="119"/>
        <v>0</v>
      </c>
    </row>
    <row r="722" spans="1:15" x14ac:dyDescent="0.25">
      <c r="A722">
        <v>720</v>
      </c>
      <c r="B722">
        <v>3.3898000000000001</v>
      </c>
      <c r="F722" s="3">
        <v>0.5980000000000002</v>
      </c>
      <c r="G722" s="9">
        <v>216.75199999999995</v>
      </c>
      <c r="H722">
        <f t="shared" si="116"/>
        <v>0</v>
      </c>
      <c r="I722">
        <f t="shared" si="110"/>
        <v>0</v>
      </c>
      <c r="J722">
        <f t="shared" si="111"/>
        <v>0</v>
      </c>
      <c r="K722">
        <f t="shared" si="112"/>
        <v>-4.9999999999883471E-5</v>
      </c>
      <c r="L722">
        <f t="shared" si="113"/>
        <v>0</v>
      </c>
      <c r="M722">
        <f t="shared" si="117"/>
        <v>-2.4999999999941735E-5</v>
      </c>
      <c r="N722">
        <f t="shared" si="118"/>
        <v>0</v>
      </c>
      <c r="O722" s="3">
        <f t="shared" si="119"/>
        <v>0</v>
      </c>
    </row>
    <row r="723" spans="1:15" x14ac:dyDescent="0.25">
      <c r="A723">
        <v>721</v>
      </c>
      <c r="B723">
        <v>3.3898000000000001</v>
      </c>
      <c r="F723" s="3">
        <v>0.49840000000000018</v>
      </c>
      <c r="G723" s="9">
        <v>176.53959999999995</v>
      </c>
      <c r="H723">
        <f t="shared" si="116"/>
        <v>0</v>
      </c>
      <c r="I723">
        <f t="shared" si="110"/>
        <v>0</v>
      </c>
      <c r="J723">
        <f t="shared" si="111"/>
        <v>0</v>
      </c>
      <c r="K723">
        <f t="shared" si="112"/>
        <v>-5.0000000000105516E-5</v>
      </c>
      <c r="L723">
        <f t="shared" si="113"/>
        <v>0</v>
      </c>
      <c r="M723">
        <f t="shared" si="117"/>
        <v>-2.5000000000052758E-5</v>
      </c>
      <c r="N723">
        <f t="shared" si="118"/>
        <v>0</v>
      </c>
      <c r="O723" s="3">
        <f t="shared" si="119"/>
        <v>0</v>
      </c>
    </row>
    <row r="724" spans="1:15" x14ac:dyDescent="0.25">
      <c r="A724">
        <v>722</v>
      </c>
      <c r="B724">
        <v>3.3896999999999999</v>
      </c>
      <c r="F724" s="3">
        <v>0.39880000000000015</v>
      </c>
      <c r="G724" s="9">
        <v>136.32719999999995</v>
      </c>
      <c r="H724">
        <f t="shared" si="116"/>
        <v>0</v>
      </c>
      <c r="I724">
        <f t="shared" si="110"/>
        <v>0</v>
      </c>
      <c r="J724">
        <f t="shared" si="111"/>
        <v>0</v>
      </c>
      <c r="K724">
        <f t="shared" si="112"/>
        <v>-2.9999999999996696E-4</v>
      </c>
      <c r="L724">
        <f t="shared" si="113"/>
        <v>0</v>
      </c>
      <c r="M724">
        <f t="shared" si="117"/>
        <v>-1.4999999999998348E-4</v>
      </c>
      <c r="N724">
        <f t="shared" si="118"/>
        <v>0</v>
      </c>
      <c r="O724" s="3">
        <f t="shared" si="119"/>
        <v>0</v>
      </c>
    </row>
    <row r="725" spans="1:15" x14ac:dyDescent="0.25">
      <c r="A725">
        <v>723</v>
      </c>
      <c r="B725">
        <v>3.3892000000000002</v>
      </c>
      <c r="F725" s="3">
        <v>0.29920000000000008</v>
      </c>
      <c r="G725" s="9">
        <v>96.114799999999974</v>
      </c>
      <c r="H725">
        <f t="shared" si="116"/>
        <v>0</v>
      </c>
      <c r="I725">
        <f t="shared" si="110"/>
        <v>0</v>
      </c>
      <c r="J725">
        <f t="shared" si="111"/>
        <v>0</v>
      </c>
      <c r="K725">
        <f t="shared" si="112"/>
        <v>-3.5000000000007248E-4</v>
      </c>
      <c r="L725">
        <f t="shared" si="113"/>
        <v>0</v>
      </c>
      <c r="M725">
        <f t="shared" si="117"/>
        <v>-1.7500000000003624E-4</v>
      </c>
      <c r="N725">
        <f t="shared" si="118"/>
        <v>0</v>
      </c>
      <c r="O725" s="3">
        <f t="shared" si="119"/>
        <v>0</v>
      </c>
    </row>
    <row r="726" spans="1:15" x14ac:dyDescent="0.25">
      <c r="A726">
        <v>724</v>
      </c>
      <c r="B726">
        <v>3.3889999999999998</v>
      </c>
      <c r="F726" s="3">
        <v>0.19960000000000006</v>
      </c>
      <c r="G726" s="9">
        <v>55.902399999999986</v>
      </c>
      <c r="H726">
        <f t="shared" si="116"/>
        <v>0</v>
      </c>
      <c r="I726">
        <f t="shared" si="110"/>
        <v>0</v>
      </c>
      <c r="J726">
        <f t="shared" si="111"/>
        <v>0</v>
      </c>
      <c r="K726">
        <f t="shared" si="112"/>
        <v>-1.0000000000021103E-4</v>
      </c>
      <c r="L726">
        <f t="shared" si="113"/>
        <v>0</v>
      </c>
      <c r="M726">
        <f t="shared" si="117"/>
        <v>-5.0000000000105516E-5</v>
      </c>
      <c r="N726">
        <f t="shared" si="118"/>
        <v>0</v>
      </c>
      <c r="O726" s="3">
        <f t="shared" si="119"/>
        <v>0</v>
      </c>
    </row>
    <row r="727" spans="1:15" x14ac:dyDescent="0.25">
      <c r="A727">
        <v>725</v>
      </c>
      <c r="B727">
        <v>3.3889999999999998</v>
      </c>
      <c r="F727" s="3">
        <v>0.1</v>
      </c>
      <c r="G727">
        <v>15.69</v>
      </c>
      <c r="H727">
        <f t="shared" si="116"/>
        <v>0</v>
      </c>
      <c r="I727">
        <f t="shared" si="110"/>
        <v>0</v>
      </c>
      <c r="J727">
        <f t="shared" si="111"/>
        <v>0</v>
      </c>
      <c r="K727">
        <f t="shared" si="112"/>
        <v>-4.9999999999883471E-5</v>
      </c>
      <c r="L727">
        <f t="shared" si="113"/>
        <v>0</v>
      </c>
      <c r="M727">
        <f t="shared" si="117"/>
        <v>-2.4999999999941735E-5</v>
      </c>
      <c r="N727">
        <f t="shared" si="118"/>
        <v>0</v>
      </c>
      <c r="O727" s="3">
        <f t="shared" si="119"/>
        <v>0</v>
      </c>
    </row>
    <row r="728" spans="1:15" x14ac:dyDescent="0.25">
      <c r="A728">
        <v>726</v>
      </c>
      <c r="B728">
        <v>3.3889</v>
      </c>
      <c r="F728" s="3">
        <v>8.3333333333333343E-2</v>
      </c>
      <c r="G728" s="9">
        <v>13.074999999999999</v>
      </c>
      <c r="H728">
        <f t="shared" si="116"/>
        <v>0</v>
      </c>
      <c r="I728">
        <f t="shared" si="110"/>
        <v>0</v>
      </c>
      <c r="J728">
        <f t="shared" si="111"/>
        <v>0</v>
      </c>
      <c r="K728">
        <f t="shared" si="112"/>
        <v>1.0000000000021103E-4</v>
      </c>
      <c r="L728">
        <f t="shared" si="113"/>
        <v>0</v>
      </c>
      <c r="M728">
        <f t="shared" si="117"/>
        <v>5.0000000000105516E-5</v>
      </c>
      <c r="N728">
        <f t="shared" si="118"/>
        <v>0</v>
      </c>
      <c r="O728" s="3">
        <f t="shared" si="119"/>
        <v>0</v>
      </c>
    </row>
    <row r="729" spans="1:15" x14ac:dyDescent="0.25">
      <c r="A729">
        <v>727</v>
      </c>
      <c r="B729">
        <v>3.3892000000000002</v>
      </c>
      <c r="F729" s="3">
        <v>6.666666666666668E-2</v>
      </c>
      <c r="G729" s="9">
        <v>10.459999999999999</v>
      </c>
      <c r="H729">
        <f t="shared" si="116"/>
        <v>0</v>
      </c>
      <c r="I729">
        <f t="shared" ref="I729:I733" si="120">H729</f>
        <v>0</v>
      </c>
      <c r="J729">
        <f t="shared" ref="J729:J733" si="121">(I729/G729)*1000</f>
        <v>0</v>
      </c>
      <c r="K729">
        <f t="shared" ref="K729:K733" si="122">(B730-B728)/(A730-A728)</f>
        <v>9.9999999999988987E-5</v>
      </c>
      <c r="L729">
        <f t="shared" ref="L729:L733" si="123">(C730-C728)/(A730-A728)</f>
        <v>0</v>
      </c>
      <c r="M729">
        <f t="shared" si="117"/>
        <v>4.9999999999994493E-5</v>
      </c>
      <c r="N729">
        <f t="shared" si="118"/>
        <v>0</v>
      </c>
      <c r="O729" s="3">
        <f t="shared" si="119"/>
        <v>0</v>
      </c>
    </row>
    <row r="730" spans="1:15" x14ac:dyDescent="0.25">
      <c r="A730">
        <v>728</v>
      </c>
      <c r="B730">
        <v>3.3891</v>
      </c>
      <c r="F730" s="3">
        <v>0.05</v>
      </c>
      <c r="G730" s="9">
        <v>7.8449999999999989</v>
      </c>
      <c r="H730">
        <f t="shared" si="116"/>
        <v>0</v>
      </c>
      <c r="I730">
        <f t="shared" si="120"/>
        <v>0</v>
      </c>
      <c r="J730">
        <f t="shared" si="121"/>
        <v>0</v>
      </c>
      <c r="K730">
        <f t="shared" si="122"/>
        <v>0</v>
      </c>
      <c r="L730">
        <f t="shared" si="123"/>
        <v>0</v>
      </c>
      <c r="M730">
        <f t="shared" si="117"/>
        <v>0</v>
      </c>
      <c r="N730" t="e">
        <f t="shared" si="118"/>
        <v>#DIV/0!</v>
      </c>
      <c r="O730" s="3" t="e">
        <f t="shared" si="119"/>
        <v>#DIV/0!</v>
      </c>
    </row>
    <row r="731" spans="1:15" x14ac:dyDescent="0.25">
      <c r="A731">
        <v>729</v>
      </c>
      <c r="B731">
        <v>3.3892000000000002</v>
      </c>
      <c r="F731" s="3">
        <v>3.333333333333334E-2</v>
      </c>
      <c r="G731" s="9">
        <v>5.2299999999999986</v>
      </c>
      <c r="H731">
        <f t="shared" si="116"/>
        <v>0</v>
      </c>
      <c r="I731">
        <f t="shared" si="120"/>
        <v>0</v>
      </c>
      <c r="J731">
        <f t="shared" si="121"/>
        <v>0</v>
      </c>
      <c r="K731">
        <f t="shared" si="122"/>
        <v>0</v>
      </c>
      <c r="L731">
        <f t="shared" si="123"/>
        <v>0</v>
      </c>
      <c r="M731">
        <f t="shared" si="117"/>
        <v>0</v>
      </c>
      <c r="N731" t="e">
        <f t="shared" si="118"/>
        <v>#DIV/0!</v>
      </c>
      <c r="O731" s="3" t="e">
        <f t="shared" si="119"/>
        <v>#DIV/0!</v>
      </c>
    </row>
    <row r="732" spans="1:15" x14ac:dyDescent="0.25">
      <c r="A732">
        <v>730</v>
      </c>
      <c r="B732">
        <v>3.3891</v>
      </c>
      <c r="F732" s="3">
        <v>1.666666666666667E-2</v>
      </c>
      <c r="G732" s="9">
        <v>2.6149999999999993</v>
      </c>
      <c r="H732">
        <f t="shared" si="116"/>
        <v>0</v>
      </c>
      <c r="I732">
        <f t="shared" si="120"/>
        <v>0</v>
      </c>
      <c r="J732">
        <f t="shared" si="121"/>
        <v>0</v>
      </c>
      <c r="K732">
        <f t="shared" si="122"/>
        <v>-3.00000000000189E-4</v>
      </c>
      <c r="L732">
        <f t="shared" si="123"/>
        <v>0</v>
      </c>
      <c r="M732">
        <f t="shared" si="117"/>
        <v>-1.500000000000945E-4</v>
      </c>
      <c r="N732">
        <f t="shared" si="118"/>
        <v>0</v>
      </c>
      <c r="O732" s="3">
        <f t="shared" si="119"/>
        <v>0</v>
      </c>
    </row>
    <row r="733" spans="1:15" x14ac:dyDescent="0.25">
      <c r="A733">
        <v>731</v>
      </c>
      <c r="B733">
        <v>3.3885999999999998</v>
      </c>
      <c r="F733" s="3">
        <v>0</v>
      </c>
      <c r="G733" s="9">
        <v>0</v>
      </c>
      <c r="H733">
        <f t="shared" si="116"/>
        <v>0</v>
      </c>
      <c r="I733">
        <f t="shared" si="120"/>
        <v>0</v>
      </c>
      <c r="J733" t="e">
        <f t="shared" si="121"/>
        <v>#DIV/0!</v>
      </c>
      <c r="K733">
        <f t="shared" si="122"/>
        <v>-4.9999999999994493E-4</v>
      </c>
      <c r="L733">
        <f t="shared" si="123"/>
        <v>0</v>
      </c>
      <c r="M733">
        <f t="shared" si="117"/>
        <v>-2.4999999999997247E-4</v>
      </c>
      <c r="N733" t="e">
        <f t="shared" si="118"/>
        <v>#DIV/0!</v>
      </c>
      <c r="O733" s="3" t="e">
        <f t="shared" si="119"/>
        <v>#DIV/0!</v>
      </c>
    </row>
    <row r="734" spans="1:15" x14ac:dyDescent="0.25">
      <c r="A734">
        <v>732</v>
      </c>
      <c r="B734">
        <v>3.3881000000000001</v>
      </c>
      <c r="F734" s="3"/>
    </row>
    <row r="735" spans="1:15" x14ac:dyDescent="0.25">
      <c r="A735">
        <v>733</v>
      </c>
      <c r="B735">
        <v>3.3877000000000002</v>
      </c>
    </row>
    <row r="736" spans="1:15" x14ac:dyDescent="0.25">
      <c r="A736">
        <v>734</v>
      </c>
      <c r="B736">
        <v>3.3874</v>
      </c>
    </row>
    <row r="737" spans="1:2" x14ac:dyDescent="0.25">
      <c r="A737">
        <v>735</v>
      </c>
      <c r="B737">
        <v>3.3874</v>
      </c>
    </row>
    <row r="738" spans="1:2" x14ac:dyDescent="0.25">
      <c r="A738">
        <v>736</v>
      </c>
      <c r="B738">
        <v>3.3874</v>
      </c>
    </row>
    <row r="739" spans="1:2" x14ac:dyDescent="0.25">
      <c r="A739">
        <v>737</v>
      </c>
      <c r="B739">
        <v>3.3873000000000002</v>
      </c>
    </row>
    <row r="740" spans="1:2" x14ac:dyDescent="0.25">
      <c r="A740">
        <v>738</v>
      </c>
      <c r="B740">
        <v>3.3874</v>
      </c>
    </row>
    <row r="741" spans="1:2" x14ac:dyDescent="0.25">
      <c r="A741">
        <v>739</v>
      </c>
      <c r="B741">
        <v>3.3872</v>
      </c>
    </row>
    <row r="742" spans="1:2" x14ac:dyDescent="0.25">
      <c r="A742">
        <v>740</v>
      </c>
      <c r="B742">
        <v>3.3866000000000001</v>
      </c>
    </row>
    <row r="743" spans="1:2" x14ac:dyDescent="0.25">
      <c r="A743">
        <v>741</v>
      </c>
      <c r="B743">
        <v>3.3862999999999999</v>
      </c>
    </row>
    <row r="744" spans="1:2" x14ac:dyDescent="0.25">
      <c r="A744">
        <v>742</v>
      </c>
      <c r="B744">
        <v>3.3860999999999999</v>
      </c>
    </row>
    <row r="745" spans="1:2" x14ac:dyDescent="0.25">
      <c r="A745">
        <v>743</v>
      </c>
      <c r="B745">
        <v>3.3860999999999999</v>
      </c>
    </row>
    <row r="746" spans="1:2" x14ac:dyDescent="0.25">
      <c r="A746">
        <v>744</v>
      </c>
      <c r="B746">
        <v>3.3860000000000001</v>
      </c>
    </row>
    <row r="747" spans="1:2" x14ac:dyDescent="0.25">
      <c r="A747">
        <v>745</v>
      </c>
      <c r="B747">
        <v>3.3856999999999999</v>
      </c>
    </row>
    <row r="748" spans="1:2" x14ac:dyDescent="0.25">
      <c r="A748">
        <v>746</v>
      </c>
      <c r="B748">
        <v>3.3856999999999999</v>
      </c>
    </row>
    <row r="749" spans="1:2" x14ac:dyDescent="0.25">
      <c r="A749">
        <v>747</v>
      </c>
      <c r="B749">
        <v>3.3856000000000002</v>
      </c>
    </row>
    <row r="750" spans="1:2" x14ac:dyDescent="0.25">
      <c r="A750">
        <v>748</v>
      </c>
      <c r="B750">
        <v>3.3855</v>
      </c>
    </row>
    <row r="751" spans="1:2" x14ac:dyDescent="0.25">
      <c r="A751">
        <v>749</v>
      </c>
      <c r="B751">
        <v>3.3855</v>
      </c>
    </row>
    <row r="752" spans="1:2" x14ac:dyDescent="0.25">
      <c r="A752">
        <v>750</v>
      </c>
      <c r="B752">
        <v>3.3854000000000002</v>
      </c>
    </row>
    <row r="753" spans="1:2" x14ac:dyDescent="0.25">
      <c r="A753">
        <v>751</v>
      </c>
      <c r="B753">
        <v>3.3854000000000002</v>
      </c>
    </row>
    <row r="754" spans="1:2" x14ac:dyDescent="0.25">
      <c r="A754">
        <v>752</v>
      </c>
      <c r="B754">
        <v>3.3854000000000002</v>
      </c>
    </row>
    <row r="755" spans="1:2" x14ac:dyDescent="0.25">
      <c r="A755">
        <v>753</v>
      </c>
      <c r="B755">
        <v>3.3854000000000002</v>
      </c>
    </row>
    <row r="756" spans="1:2" x14ac:dyDescent="0.25">
      <c r="A756">
        <v>754</v>
      </c>
      <c r="B756">
        <v>3.3854000000000002</v>
      </c>
    </row>
    <row r="757" spans="1:2" x14ac:dyDescent="0.25">
      <c r="A757">
        <v>755</v>
      </c>
      <c r="B757">
        <v>3.3853</v>
      </c>
    </row>
    <row r="758" spans="1:2" x14ac:dyDescent="0.25">
      <c r="A758">
        <v>756</v>
      </c>
      <c r="B758">
        <v>3.3854000000000002</v>
      </c>
    </row>
    <row r="759" spans="1:2" x14ac:dyDescent="0.25">
      <c r="A759">
        <v>757</v>
      </c>
      <c r="B759">
        <v>3.3853</v>
      </c>
    </row>
    <row r="760" spans="1:2" x14ac:dyDescent="0.25">
      <c r="A760">
        <v>758</v>
      </c>
      <c r="B760">
        <v>3.3851</v>
      </c>
    </row>
    <row r="761" spans="1:2" x14ac:dyDescent="0.25">
      <c r="A761">
        <v>759</v>
      </c>
      <c r="B761">
        <v>3.3851</v>
      </c>
    </row>
    <row r="762" spans="1:2" x14ac:dyDescent="0.25">
      <c r="A762">
        <v>760</v>
      </c>
      <c r="B762">
        <v>3.3851</v>
      </c>
    </row>
    <row r="763" spans="1:2" x14ac:dyDescent="0.25">
      <c r="A763">
        <v>761</v>
      </c>
      <c r="B763">
        <v>3.3849</v>
      </c>
    </row>
    <row r="764" spans="1:2" x14ac:dyDescent="0.25">
      <c r="A764">
        <v>762</v>
      </c>
      <c r="B764">
        <v>3.3847999999999998</v>
      </c>
    </row>
    <row r="765" spans="1:2" x14ac:dyDescent="0.25">
      <c r="A765">
        <v>763</v>
      </c>
      <c r="B765">
        <v>3.3845999999999998</v>
      </c>
    </row>
    <row r="766" spans="1:2" x14ac:dyDescent="0.25">
      <c r="A766">
        <v>764</v>
      </c>
      <c r="B766">
        <v>3.3845000000000001</v>
      </c>
    </row>
    <row r="767" spans="1:2" x14ac:dyDescent="0.25">
      <c r="A767">
        <v>765</v>
      </c>
      <c r="B767">
        <v>3.3843000000000001</v>
      </c>
    </row>
    <row r="768" spans="1:2" x14ac:dyDescent="0.25">
      <c r="A768">
        <v>766</v>
      </c>
      <c r="B768">
        <v>3.3843000000000001</v>
      </c>
    </row>
    <row r="769" spans="1:2" x14ac:dyDescent="0.25">
      <c r="A769">
        <v>767</v>
      </c>
      <c r="B769">
        <v>3.3841000000000001</v>
      </c>
    </row>
    <row r="770" spans="1:2" x14ac:dyDescent="0.25">
      <c r="A770">
        <v>768</v>
      </c>
      <c r="B770">
        <v>3.3839999999999999</v>
      </c>
    </row>
    <row r="771" spans="1:2" x14ac:dyDescent="0.25">
      <c r="A771">
        <v>769</v>
      </c>
      <c r="B771">
        <v>3.3837999999999999</v>
      </c>
    </row>
    <row r="772" spans="1:2" x14ac:dyDescent="0.25">
      <c r="A772">
        <v>770</v>
      </c>
      <c r="B772">
        <v>3.3835999999999999</v>
      </c>
    </row>
    <row r="773" spans="1:2" x14ac:dyDescent="0.25">
      <c r="A773">
        <v>771</v>
      </c>
      <c r="B773">
        <v>3.3835000000000002</v>
      </c>
    </row>
    <row r="774" spans="1:2" x14ac:dyDescent="0.25">
      <c r="A774">
        <v>772</v>
      </c>
      <c r="B774">
        <v>3.3835000000000002</v>
      </c>
    </row>
    <row r="775" spans="1:2" x14ac:dyDescent="0.25">
      <c r="A775">
        <v>773</v>
      </c>
      <c r="B775">
        <v>3.3834</v>
      </c>
    </row>
    <row r="776" spans="1:2" x14ac:dyDescent="0.25">
      <c r="A776">
        <v>774</v>
      </c>
      <c r="B776">
        <v>3.3832</v>
      </c>
    </row>
    <row r="777" spans="1:2" x14ac:dyDescent="0.25">
      <c r="A777">
        <v>775</v>
      </c>
      <c r="B777">
        <v>3.3832</v>
      </c>
    </row>
    <row r="778" spans="1:2" x14ac:dyDescent="0.25">
      <c r="A778">
        <v>776</v>
      </c>
      <c r="B778">
        <v>3.3832</v>
      </c>
    </row>
    <row r="779" spans="1:2" x14ac:dyDescent="0.25">
      <c r="A779">
        <v>777</v>
      </c>
      <c r="B779">
        <v>3.3831000000000002</v>
      </c>
    </row>
    <row r="780" spans="1:2" x14ac:dyDescent="0.25">
      <c r="A780">
        <v>778</v>
      </c>
      <c r="B780">
        <v>3.3828999999999998</v>
      </c>
    </row>
    <row r="781" spans="1:2" x14ac:dyDescent="0.25">
      <c r="A781">
        <v>779</v>
      </c>
      <c r="B781">
        <v>3.3828999999999998</v>
      </c>
    </row>
    <row r="782" spans="1:2" x14ac:dyDescent="0.25">
      <c r="A782">
        <v>780</v>
      </c>
      <c r="B782">
        <v>3.3828999999999998</v>
      </c>
    </row>
    <row r="783" spans="1:2" x14ac:dyDescent="0.25">
      <c r="A783">
        <v>781</v>
      </c>
      <c r="B783">
        <v>3.3828999999999998</v>
      </c>
    </row>
    <row r="784" spans="1:2" x14ac:dyDescent="0.25">
      <c r="A784">
        <v>782</v>
      </c>
      <c r="B784">
        <v>3.3826999999999998</v>
      </c>
    </row>
    <row r="785" spans="1:2" x14ac:dyDescent="0.25">
      <c r="A785">
        <v>783</v>
      </c>
      <c r="B785">
        <v>3.3826999999999998</v>
      </c>
    </row>
    <row r="786" spans="1:2" x14ac:dyDescent="0.25">
      <c r="A786">
        <v>784</v>
      </c>
      <c r="B786">
        <v>3.3826000000000001</v>
      </c>
    </row>
    <row r="787" spans="1:2" x14ac:dyDescent="0.25">
      <c r="A787">
        <v>785</v>
      </c>
      <c r="B787">
        <v>3.3824000000000001</v>
      </c>
    </row>
    <row r="788" spans="1:2" x14ac:dyDescent="0.25">
      <c r="A788">
        <v>786</v>
      </c>
      <c r="B788">
        <v>3.3824000000000001</v>
      </c>
    </row>
    <row r="789" spans="1:2" x14ac:dyDescent="0.25">
      <c r="A789">
        <v>787</v>
      </c>
      <c r="B789">
        <v>3.3820999999999999</v>
      </c>
    </row>
    <row r="790" spans="1:2" x14ac:dyDescent="0.25">
      <c r="A790">
        <v>788</v>
      </c>
      <c r="B790">
        <v>3.3818999999999999</v>
      </c>
    </row>
    <row r="791" spans="1:2" x14ac:dyDescent="0.25">
      <c r="A791">
        <v>789</v>
      </c>
      <c r="B791">
        <v>3.3820000000000001</v>
      </c>
    </row>
    <row r="792" spans="1:2" x14ac:dyDescent="0.25">
      <c r="A792">
        <v>790</v>
      </c>
      <c r="B792">
        <v>3.3818000000000001</v>
      </c>
    </row>
    <row r="793" spans="1:2" x14ac:dyDescent="0.25">
      <c r="A793">
        <v>791</v>
      </c>
      <c r="B793">
        <v>3.3816999999999999</v>
      </c>
    </row>
    <row r="794" spans="1:2" x14ac:dyDescent="0.25">
      <c r="A794">
        <v>792</v>
      </c>
      <c r="B794">
        <v>3.3816000000000002</v>
      </c>
    </row>
    <row r="795" spans="1:2" x14ac:dyDescent="0.25">
      <c r="A795">
        <v>793</v>
      </c>
      <c r="B795">
        <v>3.3816999999999999</v>
      </c>
    </row>
    <row r="796" spans="1:2" x14ac:dyDescent="0.25">
      <c r="A796">
        <v>794</v>
      </c>
      <c r="B796">
        <v>3.3815</v>
      </c>
    </row>
    <row r="797" spans="1:2" x14ac:dyDescent="0.25">
      <c r="A797">
        <v>795</v>
      </c>
      <c r="B797">
        <v>3.3814000000000002</v>
      </c>
    </row>
    <row r="798" spans="1:2" x14ac:dyDescent="0.25">
      <c r="A798">
        <v>796</v>
      </c>
      <c r="B798">
        <v>3.3814000000000002</v>
      </c>
    </row>
    <row r="799" spans="1:2" x14ac:dyDescent="0.25">
      <c r="A799">
        <v>797</v>
      </c>
      <c r="B799">
        <v>3.3814000000000002</v>
      </c>
    </row>
    <row r="800" spans="1:2" x14ac:dyDescent="0.25">
      <c r="A800">
        <v>798</v>
      </c>
      <c r="B800">
        <v>3.3813</v>
      </c>
    </row>
    <row r="801" spans="1:2" x14ac:dyDescent="0.25">
      <c r="A801">
        <v>799</v>
      </c>
      <c r="B801">
        <v>3.3813</v>
      </c>
    </row>
    <row r="802" spans="1:2" x14ac:dyDescent="0.25">
      <c r="A802">
        <v>800</v>
      </c>
      <c r="B802">
        <v>3.3812000000000002</v>
      </c>
    </row>
    <row r="803" spans="1:2" x14ac:dyDescent="0.25">
      <c r="A803">
        <v>801</v>
      </c>
      <c r="B803">
        <v>3.3809999999999998</v>
      </c>
    </row>
    <row r="804" spans="1:2" x14ac:dyDescent="0.25">
      <c r="A804">
        <v>802</v>
      </c>
      <c r="B804">
        <v>3.3809999999999998</v>
      </c>
    </row>
    <row r="805" spans="1:2" x14ac:dyDescent="0.25">
      <c r="A805">
        <v>803</v>
      </c>
      <c r="B805">
        <v>3.3809</v>
      </c>
    </row>
    <row r="806" spans="1:2" x14ac:dyDescent="0.25">
      <c r="A806">
        <v>804</v>
      </c>
      <c r="B806">
        <v>3.3809</v>
      </c>
    </row>
    <row r="807" spans="1:2" x14ac:dyDescent="0.25">
      <c r="A807">
        <v>805</v>
      </c>
      <c r="B807">
        <v>3.3805000000000001</v>
      </c>
    </row>
    <row r="808" spans="1:2" x14ac:dyDescent="0.25">
      <c r="A808">
        <v>806</v>
      </c>
      <c r="B808">
        <v>3.3805000000000001</v>
      </c>
    </row>
    <row r="809" spans="1:2" x14ac:dyDescent="0.25">
      <c r="A809">
        <v>807</v>
      </c>
      <c r="B809">
        <v>3.3803999999999998</v>
      </c>
    </row>
    <row r="810" spans="1:2" x14ac:dyDescent="0.25">
      <c r="A810">
        <v>808</v>
      </c>
      <c r="B810">
        <v>3.3803999999999998</v>
      </c>
    </row>
    <row r="811" spans="1:2" x14ac:dyDescent="0.25">
      <c r="A811">
        <v>809</v>
      </c>
      <c r="B811">
        <v>3.3803000000000001</v>
      </c>
    </row>
    <row r="812" spans="1:2" x14ac:dyDescent="0.25">
      <c r="A812">
        <v>810</v>
      </c>
      <c r="B812">
        <v>3.3801999999999999</v>
      </c>
    </row>
    <row r="813" spans="1:2" x14ac:dyDescent="0.25">
      <c r="A813">
        <v>811</v>
      </c>
      <c r="B813">
        <v>3.38</v>
      </c>
    </row>
    <row r="814" spans="1:2" x14ac:dyDescent="0.25">
      <c r="A814">
        <v>812</v>
      </c>
      <c r="B814">
        <v>3.3799000000000001</v>
      </c>
    </row>
    <row r="815" spans="1:2" x14ac:dyDescent="0.25">
      <c r="A815">
        <v>813</v>
      </c>
      <c r="B815">
        <v>3.3797999999999999</v>
      </c>
    </row>
    <row r="816" spans="1:2" x14ac:dyDescent="0.25">
      <c r="A816">
        <v>814</v>
      </c>
      <c r="B816">
        <v>3.3797000000000001</v>
      </c>
    </row>
    <row r="817" spans="1:2" x14ac:dyDescent="0.25">
      <c r="A817">
        <v>815</v>
      </c>
      <c r="B817">
        <v>3.3795999999999999</v>
      </c>
    </row>
    <row r="818" spans="1:2" x14ac:dyDescent="0.25">
      <c r="A818">
        <v>816</v>
      </c>
      <c r="B818">
        <v>3.3794</v>
      </c>
    </row>
    <row r="819" spans="1:2" x14ac:dyDescent="0.25">
      <c r="A819">
        <v>817</v>
      </c>
      <c r="B819">
        <v>3.3791000000000002</v>
      </c>
    </row>
    <row r="820" spans="1:2" x14ac:dyDescent="0.25">
      <c r="A820">
        <v>818</v>
      </c>
      <c r="B820">
        <v>3.379</v>
      </c>
    </row>
    <row r="821" spans="1:2" x14ac:dyDescent="0.25">
      <c r="A821">
        <v>819</v>
      </c>
      <c r="B821">
        <v>3.3788999999999998</v>
      </c>
    </row>
    <row r="822" spans="1:2" x14ac:dyDescent="0.25">
      <c r="A822">
        <v>820</v>
      </c>
      <c r="B822">
        <v>3.3786</v>
      </c>
    </row>
    <row r="823" spans="1:2" x14ac:dyDescent="0.25">
      <c r="A823">
        <v>821</v>
      </c>
      <c r="B823">
        <v>3.3784999999999998</v>
      </c>
    </row>
    <row r="824" spans="1:2" x14ac:dyDescent="0.25">
      <c r="A824">
        <v>822</v>
      </c>
      <c r="B824">
        <v>3.3784999999999998</v>
      </c>
    </row>
    <row r="825" spans="1:2" x14ac:dyDescent="0.25">
      <c r="A825">
        <v>823</v>
      </c>
      <c r="B825">
        <v>3.3784000000000001</v>
      </c>
    </row>
    <row r="826" spans="1:2" x14ac:dyDescent="0.25">
      <c r="A826">
        <v>824</v>
      </c>
      <c r="B826">
        <v>3.3784000000000001</v>
      </c>
    </row>
    <row r="827" spans="1:2" x14ac:dyDescent="0.25">
      <c r="A827">
        <v>825</v>
      </c>
      <c r="B827">
        <v>3.3784000000000001</v>
      </c>
    </row>
    <row r="828" spans="1:2" x14ac:dyDescent="0.25">
      <c r="A828">
        <v>826</v>
      </c>
      <c r="B828">
        <v>3.3784000000000001</v>
      </c>
    </row>
    <row r="829" spans="1:2" x14ac:dyDescent="0.25">
      <c r="A829">
        <v>827</v>
      </c>
      <c r="B829">
        <v>3.3784000000000001</v>
      </c>
    </row>
    <row r="830" spans="1:2" x14ac:dyDescent="0.25">
      <c r="A830">
        <v>828</v>
      </c>
      <c r="B830">
        <v>3.3784000000000001</v>
      </c>
    </row>
    <row r="831" spans="1:2" x14ac:dyDescent="0.25">
      <c r="A831">
        <v>829</v>
      </c>
      <c r="B831">
        <v>3.3782000000000001</v>
      </c>
    </row>
    <row r="832" spans="1:2" x14ac:dyDescent="0.25">
      <c r="A832">
        <v>830</v>
      </c>
      <c r="B832">
        <v>3.3780999999999999</v>
      </c>
    </row>
    <row r="833" spans="1:2" x14ac:dyDescent="0.25">
      <c r="A833">
        <v>831</v>
      </c>
      <c r="B833">
        <v>3.3780000000000001</v>
      </c>
    </row>
    <row r="834" spans="1:2" x14ac:dyDescent="0.25">
      <c r="A834">
        <v>832</v>
      </c>
      <c r="B834">
        <v>3.3778999999999999</v>
      </c>
    </row>
    <row r="835" spans="1:2" x14ac:dyDescent="0.25">
      <c r="A835">
        <v>833</v>
      </c>
      <c r="B835">
        <v>3.3780000000000001</v>
      </c>
    </row>
    <row r="836" spans="1:2" x14ac:dyDescent="0.25">
      <c r="A836">
        <v>834</v>
      </c>
      <c r="B836">
        <v>3.3778999999999999</v>
      </c>
    </row>
    <row r="837" spans="1:2" x14ac:dyDescent="0.25">
      <c r="A837">
        <v>835</v>
      </c>
      <c r="B837">
        <v>3.3776999999999999</v>
      </c>
    </row>
    <row r="838" spans="1:2" x14ac:dyDescent="0.25">
      <c r="A838">
        <v>836</v>
      </c>
      <c r="B838">
        <v>3.3776000000000002</v>
      </c>
    </row>
    <row r="839" spans="1:2" x14ac:dyDescent="0.25">
      <c r="A839">
        <v>837</v>
      </c>
      <c r="B839">
        <v>3.3776000000000002</v>
      </c>
    </row>
    <row r="840" spans="1:2" x14ac:dyDescent="0.25">
      <c r="A840">
        <v>838</v>
      </c>
      <c r="B840">
        <v>3.3774999999999999</v>
      </c>
    </row>
    <row r="841" spans="1:2" x14ac:dyDescent="0.25">
      <c r="A841">
        <v>839</v>
      </c>
      <c r="B841">
        <v>3.3773</v>
      </c>
    </row>
    <row r="842" spans="1:2" x14ac:dyDescent="0.25">
      <c r="A842">
        <v>840</v>
      </c>
      <c r="B842">
        <v>3.3772000000000002</v>
      </c>
    </row>
    <row r="843" spans="1:2" x14ac:dyDescent="0.25">
      <c r="A843">
        <v>841</v>
      </c>
      <c r="B843">
        <v>3.3772000000000002</v>
      </c>
    </row>
    <row r="844" spans="1:2" x14ac:dyDescent="0.25">
      <c r="A844">
        <v>842</v>
      </c>
      <c r="B844">
        <v>3.3771</v>
      </c>
    </row>
    <row r="845" spans="1:2" x14ac:dyDescent="0.25">
      <c r="A845">
        <v>843</v>
      </c>
      <c r="B845">
        <v>3.3769999999999998</v>
      </c>
    </row>
    <row r="846" spans="1:2" x14ac:dyDescent="0.25">
      <c r="A846">
        <v>844</v>
      </c>
      <c r="B846">
        <v>3.3769999999999998</v>
      </c>
    </row>
    <row r="847" spans="1:2" x14ac:dyDescent="0.25">
      <c r="A847">
        <v>845</v>
      </c>
      <c r="B847">
        <v>3.3769</v>
      </c>
    </row>
    <row r="848" spans="1:2" x14ac:dyDescent="0.25">
      <c r="A848">
        <v>846</v>
      </c>
      <c r="B848">
        <v>3.3767</v>
      </c>
    </row>
    <row r="849" spans="1:2" x14ac:dyDescent="0.25">
      <c r="A849">
        <v>847</v>
      </c>
      <c r="B849">
        <v>3.3765999999999998</v>
      </c>
    </row>
    <row r="850" spans="1:2" x14ac:dyDescent="0.25">
      <c r="A850">
        <v>848</v>
      </c>
      <c r="B850">
        <v>3.3765000000000001</v>
      </c>
    </row>
    <row r="851" spans="1:2" x14ac:dyDescent="0.25">
      <c r="A851">
        <v>849</v>
      </c>
      <c r="B851">
        <v>3.3761000000000001</v>
      </c>
    </row>
    <row r="852" spans="1:2" x14ac:dyDescent="0.25">
      <c r="A852">
        <v>850</v>
      </c>
      <c r="B852">
        <v>3.3759999999999999</v>
      </c>
    </row>
    <row r="853" spans="1:2" x14ac:dyDescent="0.25">
      <c r="A853">
        <v>851</v>
      </c>
      <c r="B853">
        <v>3.3757000000000001</v>
      </c>
    </row>
    <row r="854" spans="1:2" x14ac:dyDescent="0.25">
      <c r="A854">
        <v>852</v>
      </c>
      <c r="B854">
        <v>3.3753000000000002</v>
      </c>
    </row>
    <row r="855" spans="1:2" x14ac:dyDescent="0.25">
      <c r="A855">
        <v>853</v>
      </c>
      <c r="B855">
        <v>3.3752</v>
      </c>
    </row>
    <row r="856" spans="1:2" x14ac:dyDescent="0.25">
      <c r="A856">
        <v>854</v>
      </c>
      <c r="B856">
        <v>3.3751000000000002</v>
      </c>
    </row>
    <row r="857" spans="1:2" x14ac:dyDescent="0.25">
      <c r="A857">
        <v>855</v>
      </c>
      <c r="B857">
        <v>3.3748</v>
      </c>
    </row>
    <row r="858" spans="1:2" x14ac:dyDescent="0.25">
      <c r="A858">
        <v>856</v>
      </c>
      <c r="B858">
        <v>3.3746</v>
      </c>
    </row>
    <row r="859" spans="1:2" x14ac:dyDescent="0.25">
      <c r="A859">
        <v>857</v>
      </c>
      <c r="B859">
        <v>3.3744000000000001</v>
      </c>
    </row>
    <row r="860" spans="1:2" x14ac:dyDescent="0.25">
      <c r="A860">
        <v>858</v>
      </c>
      <c r="B860">
        <v>3.3742999999999999</v>
      </c>
    </row>
    <row r="861" spans="1:2" x14ac:dyDescent="0.25">
      <c r="A861">
        <v>859</v>
      </c>
      <c r="B861">
        <v>3.3742000000000001</v>
      </c>
    </row>
    <row r="862" spans="1:2" x14ac:dyDescent="0.25">
      <c r="A862">
        <v>860</v>
      </c>
      <c r="B862">
        <v>3.3740999999999999</v>
      </c>
    </row>
    <row r="863" spans="1:2" x14ac:dyDescent="0.25">
      <c r="A863">
        <v>861</v>
      </c>
      <c r="B863">
        <v>3.3738999999999999</v>
      </c>
    </row>
    <row r="864" spans="1:2" x14ac:dyDescent="0.25">
      <c r="A864">
        <v>862</v>
      </c>
      <c r="B864">
        <v>3.3738999999999999</v>
      </c>
    </row>
    <row r="865" spans="1:2" x14ac:dyDescent="0.25">
      <c r="A865">
        <v>863</v>
      </c>
      <c r="B865">
        <v>3.3738000000000001</v>
      </c>
    </row>
    <row r="866" spans="1:2" x14ac:dyDescent="0.25">
      <c r="A866">
        <v>864</v>
      </c>
      <c r="B866">
        <v>3.3736999999999999</v>
      </c>
    </row>
    <row r="867" spans="1:2" x14ac:dyDescent="0.25">
      <c r="A867">
        <v>865</v>
      </c>
      <c r="B867">
        <v>3.3738000000000001</v>
      </c>
    </row>
    <row r="868" spans="1:2" x14ac:dyDescent="0.25">
      <c r="A868">
        <v>866</v>
      </c>
      <c r="B868">
        <v>3.3733</v>
      </c>
    </row>
    <row r="869" spans="1:2" x14ac:dyDescent="0.25">
      <c r="A869">
        <v>867</v>
      </c>
      <c r="B869">
        <v>3.3732000000000002</v>
      </c>
    </row>
    <row r="870" spans="1:2" x14ac:dyDescent="0.25">
      <c r="A870">
        <v>868</v>
      </c>
      <c r="B870">
        <v>3.3729</v>
      </c>
    </row>
    <row r="871" spans="1:2" x14ac:dyDescent="0.25">
      <c r="A871">
        <v>869</v>
      </c>
      <c r="B871">
        <v>3.3727</v>
      </c>
    </row>
    <row r="872" spans="1:2" x14ac:dyDescent="0.25">
      <c r="A872">
        <v>870</v>
      </c>
      <c r="B872">
        <v>3.3723999999999998</v>
      </c>
    </row>
    <row r="873" spans="1:2" x14ac:dyDescent="0.25">
      <c r="A873">
        <v>871</v>
      </c>
      <c r="B873">
        <v>3.3723000000000001</v>
      </c>
    </row>
    <row r="874" spans="1:2" x14ac:dyDescent="0.25">
      <c r="A874">
        <v>872</v>
      </c>
      <c r="B874">
        <v>3.3721999999999999</v>
      </c>
    </row>
    <row r="875" spans="1:2" x14ac:dyDescent="0.25">
      <c r="A875">
        <v>873</v>
      </c>
      <c r="B875">
        <v>3.3723000000000001</v>
      </c>
    </row>
    <row r="876" spans="1:2" x14ac:dyDescent="0.25">
      <c r="A876">
        <v>874</v>
      </c>
      <c r="B876">
        <v>3.3721000000000001</v>
      </c>
    </row>
    <row r="877" spans="1:2" x14ac:dyDescent="0.25">
      <c r="A877">
        <v>875</v>
      </c>
      <c r="B877">
        <v>3.3721000000000001</v>
      </c>
    </row>
    <row r="878" spans="1:2" x14ac:dyDescent="0.25">
      <c r="A878">
        <v>876</v>
      </c>
      <c r="B878">
        <v>3.3719999999999999</v>
      </c>
    </row>
    <row r="879" spans="1:2" x14ac:dyDescent="0.25">
      <c r="A879">
        <v>877</v>
      </c>
      <c r="B879">
        <v>3.3719000000000001</v>
      </c>
    </row>
    <row r="880" spans="1:2" x14ac:dyDescent="0.25">
      <c r="A880">
        <v>878</v>
      </c>
      <c r="B880">
        <v>3.3717999999999999</v>
      </c>
    </row>
    <row r="881" spans="1:2" x14ac:dyDescent="0.25">
      <c r="A881">
        <v>879</v>
      </c>
      <c r="B881">
        <v>3.3717999999999999</v>
      </c>
    </row>
    <row r="882" spans="1:2" x14ac:dyDescent="0.25">
      <c r="A882">
        <v>880</v>
      </c>
      <c r="B882">
        <v>3.3715000000000002</v>
      </c>
    </row>
    <row r="883" spans="1:2" x14ac:dyDescent="0.25">
      <c r="A883">
        <v>881</v>
      </c>
      <c r="B883">
        <v>3.3715000000000002</v>
      </c>
    </row>
    <row r="884" spans="1:2" x14ac:dyDescent="0.25">
      <c r="A884">
        <v>882</v>
      </c>
      <c r="B884">
        <v>3.3715000000000002</v>
      </c>
    </row>
    <row r="885" spans="1:2" x14ac:dyDescent="0.25">
      <c r="A885">
        <v>883</v>
      </c>
      <c r="B885">
        <v>3.3713000000000002</v>
      </c>
    </row>
    <row r="886" spans="1:2" x14ac:dyDescent="0.25">
      <c r="A886">
        <v>884</v>
      </c>
      <c r="B886">
        <v>3.3713000000000002</v>
      </c>
    </row>
    <row r="887" spans="1:2" x14ac:dyDescent="0.25">
      <c r="A887">
        <v>885</v>
      </c>
      <c r="B887">
        <v>3.3714</v>
      </c>
    </row>
    <row r="888" spans="1:2" x14ac:dyDescent="0.25">
      <c r="A888">
        <v>886</v>
      </c>
      <c r="B888">
        <v>3.3714</v>
      </c>
    </row>
    <row r="889" spans="1:2" x14ac:dyDescent="0.25">
      <c r="A889">
        <v>887</v>
      </c>
      <c r="B889">
        <v>3.3713000000000002</v>
      </c>
    </row>
    <row r="890" spans="1:2" x14ac:dyDescent="0.25">
      <c r="A890">
        <v>888</v>
      </c>
      <c r="B890">
        <v>3.3711000000000002</v>
      </c>
    </row>
    <row r="891" spans="1:2" x14ac:dyDescent="0.25">
      <c r="A891">
        <v>889</v>
      </c>
      <c r="B891">
        <v>3.3708999999999998</v>
      </c>
    </row>
    <row r="892" spans="1:2" x14ac:dyDescent="0.25">
      <c r="A892">
        <v>890</v>
      </c>
      <c r="B892">
        <v>3.3708</v>
      </c>
    </row>
    <row r="893" spans="1:2" x14ac:dyDescent="0.25">
      <c r="A893">
        <v>891</v>
      </c>
      <c r="B893">
        <v>3.3708</v>
      </c>
    </row>
    <row r="894" spans="1:2" x14ac:dyDescent="0.25">
      <c r="A894">
        <v>892</v>
      </c>
      <c r="B894">
        <v>3.3708</v>
      </c>
    </row>
    <row r="895" spans="1:2" x14ac:dyDescent="0.25">
      <c r="A895">
        <v>893</v>
      </c>
      <c r="B895">
        <v>3.3708</v>
      </c>
    </row>
    <row r="896" spans="1:2" x14ac:dyDescent="0.25">
      <c r="A896">
        <v>894</v>
      </c>
      <c r="B896">
        <v>3.3706999999999998</v>
      </c>
    </row>
    <row r="897" spans="1:2" x14ac:dyDescent="0.25">
      <c r="A897">
        <v>895</v>
      </c>
      <c r="B897">
        <v>3.3706999999999998</v>
      </c>
    </row>
    <row r="898" spans="1:2" x14ac:dyDescent="0.25">
      <c r="A898">
        <v>896</v>
      </c>
      <c r="B898">
        <v>3.3702999999999999</v>
      </c>
    </row>
    <row r="899" spans="1:2" x14ac:dyDescent="0.25">
      <c r="A899">
        <v>897</v>
      </c>
      <c r="B899">
        <v>3.3702000000000001</v>
      </c>
    </row>
    <row r="900" spans="1:2" x14ac:dyDescent="0.25">
      <c r="A900">
        <v>898</v>
      </c>
      <c r="B900">
        <v>3.3698999999999999</v>
      </c>
    </row>
    <row r="901" spans="1:2" x14ac:dyDescent="0.25">
      <c r="A901">
        <v>899</v>
      </c>
      <c r="B901">
        <v>3.3696999999999999</v>
      </c>
    </row>
    <row r="902" spans="1:2" x14ac:dyDescent="0.25">
      <c r="A902">
        <v>900</v>
      </c>
      <c r="B902">
        <v>3.3696999999999999</v>
      </c>
    </row>
    <row r="903" spans="1:2" x14ac:dyDescent="0.25">
      <c r="A903">
        <v>901</v>
      </c>
      <c r="B903">
        <v>3.3696000000000002</v>
      </c>
    </row>
    <row r="904" spans="1:2" x14ac:dyDescent="0.25">
      <c r="A904">
        <v>902</v>
      </c>
      <c r="B904">
        <v>3.3694000000000002</v>
      </c>
    </row>
    <row r="905" spans="1:2" x14ac:dyDescent="0.25">
      <c r="A905">
        <v>903</v>
      </c>
      <c r="B905">
        <v>3.3694000000000002</v>
      </c>
    </row>
    <row r="906" spans="1:2" x14ac:dyDescent="0.25">
      <c r="A906">
        <v>904</v>
      </c>
      <c r="B906">
        <v>3.3693</v>
      </c>
    </row>
    <row r="907" spans="1:2" x14ac:dyDescent="0.25">
      <c r="A907">
        <v>905</v>
      </c>
      <c r="B907">
        <v>3.3693</v>
      </c>
    </row>
    <row r="908" spans="1:2" x14ac:dyDescent="0.25">
      <c r="A908">
        <v>906</v>
      </c>
      <c r="B908">
        <v>3.3693</v>
      </c>
    </row>
    <row r="909" spans="1:2" x14ac:dyDescent="0.25">
      <c r="A909">
        <v>907</v>
      </c>
      <c r="B909">
        <v>3.3693</v>
      </c>
    </row>
    <row r="910" spans="1:2" x14ac:dyDescent="0.25">
      <c r="A910">
        <v>908</v>
      </c>
      <c r="B910">
        <v>3.3692000000000002</v>
      </c>
    </row>
    <row r="911" spans="1:2" x14ac:dyDescent="0.25">
      <c r="A911">
        <v>909</v>
      </c>
      <c r="B911">
        <v>3.3693</v>
      </c>
    </row>
    <row r="912" spans="1:2" x14ac:dyDescent="0.25">
      <c r="A912">
        <v>910</v>
      </c>
      <c r="B912">
        <v>3.3693</v>
      </c>
    </row>
    <row r="913" spans="1:2" x14ac:dyDescent="0.25">
      <c r="A913">
        <v>911</v>
      </c>
      <c r="B913">
        <v>3.3692000000000002</v>
      </c>
    </row>
    <row r="914" spans="1:2" x14ac:dyDescent="0.25">
      <c r="A914">
        <v>912</v>
      </c>
      <c r="B914">
        <v>3.3691</v>
      </c>
    </row>
    <row r="915" spans="1:2" x14ac:dyDescent="0.25">
      <c r="A915">
        <v>913</v>
      </c>
      <c r="B915">
        <v>3.3691</v>
      </c>
    </row>
    <row r="916" spans="1:2" x14ac:dyDescent="0.25">
      <c r="A916">
        <v>914</v>
      </c>
      <c r="B916">
        <v>3.3691</v>
      </c>
    </row>
    <row r="917" spans="1:2" x14ac:dyDescent="0.25">
      <c r="A917">
        <v>915</v>
      </c>
      <c r="B917">
        <v>3.3691</v>
      </c>
    </row>
    <row r="918" spans="1:2" x14ac:dyDescent="0.25">
      <c r="A918">
        <v>916</v>
      </c>
      <c r="B918">
        <v>3.3689</v>
      </c>
    </row>
    <row r="919" spans="1:2" x14ac:dyDescent="0.25">
      <c r="A919">
        <v>917</v>
      </c>
      <c r="B919">
        <v>3.3687999999999998</v>
      </c>
    </row>
    <row r="920" spans="1:2" x14ac:dyDescent="0.25">
      <c r="A920">
        <v>918</v>
      </c>
      <c r="B920">
        <v>3.3687999999999998</v>
      </c>
    </row>
    <row r="921" spans="1:2" x14ac:dyDescent="0.25">
      <c r="A921">
        <v>919</v>
      </c>
      <c r="B921">
        <v>3.3687999999999998</v>
      </c>
    </row>
    <row r="922" spans="1:2" x14ac:dyDescent="0.25">
      <c r="A922">
        <v>920</v>
      </c>
      <c r="B922">
        <v>3.3687999999999998</v>
      </c>
    </row>
    <row r="923" spans="1:2" x14ac:dyDescent="0.25">
      <c r="A923">
        <v>921</v>
      </c>
      <c r="B923">
        <v>3.3687999999999998</v>
      </c>
    </row>
    <row r="924" spans="1:2" x14ac:dyDescent="0.25">
      <c r="A924">
        <v>922</v>
      </c>
      <c r="B924">
        <v>3.3687999999999998</v>
      </c>
    </row>
    <row r="925" spans="1:2" x14ac:dyDescent="0.25">
      <c r="A925">
        <v>923</v>
      </c>
      <c r="B925">
        <v>3.3687</v>
      </c>
    </row>
    <row r="926" spans="1:2" x14ac:dyDescent="0.25">
      <c r="A926">
        <v>924</v>
      </c>
      <c r="B926">
        <v>3.3685</v>
      </c>
    </row>
    <row r="927" spans="1:2" x14ac:dyDescent="0.25">
      <c r="A927">
        <v>925</v>
      </c>
      <c r="B927">
        <v>3.3685999999999998</v>
      </c>
    </row>
    <row r="928" spans="1:2" x14ac:dyDescent="0.25">
      <c r="A928">
        <v>926</v>
      </c>
      <c r="B928">
        <v>3.3685</v>
      </c>
    </row>
    <row r="929" spans="1:2" x14ac:dyDescent="0.25">
      <c r="A929">
        <v>927</v>
      </c>
      <c r="B929">
        <v>3.3683000000000001</v>
      </c>
    </row>
    <row r="930" spans="1:2" x14ac:dyDescent="0.25">
      <c r="A930">
        <v>928</v>
      </c>
      <c r="B930">
        <v>3.3683000000000001</v>
      </c>
    </row>
    <row r="931" spans="1:2" x14ac:dyDescent="0.25">
      <c r="A931">
        <v>929</v>
      </c>
      <c r="B931">
        <v>3.3681999999999999</v>
      </c>
    </row>
    <row r="932" spans="1:2" x14ac:dyDescent="0.25">
      <c r="A932">
        <v>930</v>
      </c>
      <c r="B932">
        <v>3.3681999999999999</v>
      </c>
    </row>
    <row r="933" spans="1:2" x14ac:dyDescent="0.25">
      <c r="A933">
        <v>931</v>
      </c>
      <c r="B933">
        <v>3.3681999999999999</v>
      </c>
    </row>
    <row r="934" spans="1:2" x14ac:dyDescent="0.25">
      <c r="A934">
        <v>932</v>
      </c>
      <c r="B934">
        <v>3.3681000000000001</v>
      </c>
    </row>
    <row r="935" spans="1:2" x14ac:dyDescent="0.25">
      <c r="A935">
        <v>933</v>
      </c>
      <c r="B935">
        <v>3.3679999999999999</v>
      </c>
    </row>
    <row r="936" spans="1:2" x14ac:dyDescent="0.25">
      <c r="A936">
        <v>934</v>
      </c>
      <c r="B936">
        <v>3.3679999999999999</v>
      </c>
    </row>
    <row r="937" spans="1:2" x14ac:dyDescent="0.25">
      <c r="A937">
        <v>935</v>
      </c>
      <c r="B937">
        <v>3.3679000000000001</v>
      </c>
    </row>
    <row r="938" spans="1:2" x14ac:dyDescent="0.25">
      <c r="A938">
        <v>936</v>
      </c>
      <c r="B938">
        <v>3.3677999999999999</v>
      </c>
    </row>
    <row r="939" spans="1:2" x14ac:dyDescent="0.25">
      <c r="A939">
        <v>937</v>
      </c>
      <c r="B939">
        <v>3.3679000000000001</v>
      </c>
    </row>
    <row r="940" spans="1:2" x14ac:dyDescent="0.25">
      <c r="A940">
        <v>938</v>
      </c>
      <c r="B940">
        <v>3.3677999999999999</v>
      </c>
    </row>
    <row r="941" spans="1:2" x14ac:dyDescent="0.25">
      <c r="A941">
        <v>939</v>
      </c>
      <c r="B941">
        <v>3.3677999999999999</v>
      </c>
    </row>
    <row r="942" spans="1:2" x14ac:dyDescent="0.25">
      <c r="A942">
        <v>940</v>
      </c>
      <c r="B942">
        <v>3.3677000000000001</v>
      </c>
    </row>
    <row r="943" spans="1:2" x14ac:dyDescent="0.25">
      <c r="A943">
        <v>941</v>
      </c>
      <c r="B943">
        <v>3.3675999999999999</v>
      </c>
    </row>
    <row r="944" spans="1:2" x14ac:dyDescent="0.25">
      <c r="A944">
        <v>942</v>
      </c>
      <c r="B944">
        <v>3.3673999999999999</v>
      </c>
    </row>
    <row r="945" spans="1:2" x14ac:dyDescent="0.25">
      <c r="A945">
        <v>943</v>
      </c>
      <c r="B945">
        <v>3.3673000000000002</v>
      </c>
    </row>
    <row r="946" spans="1:2" x14ac:dyDescent="0.25">
      <c r="A946">
        <v>944</v>
      </c>
      <c r="B946">
        <v>3.3671000000000002</v>
      </c>
    </row>
    <row r="947" spans="1:2" x14ac:dyDescent="0.25">
      <c r="A947">
        <v>945</v>
      </c>
      <c r="B947">
        <v>3.3668999999999998</v>
      </c>
    </row>
    <row r="948" spans="1:2" x14ac:dyDescent="0.25">
      <c r="A948">
        <v>946</v>
      </c>
      <c r="B948">
        <v>3.3666999999999998</v>
      </c>
    </row>
    <row r="949" spans="1:2" x14ac:dyDescent="0.25">
      <c r="A949">
        <v>947</v>
      </c>
      <c r="B949">
        <v>3.3666</v>
      </c>
    </row>
    <row r="950" spans="1:2" x14ac:dyDescent="0.25">
      <c r="A950">
        <v>948</v>
      </c>
      <c r="B950">
        <v>3.3664999999999998</v>
      </c>
    </row>
    <row r="951" spans="1:2" x14ac:dyDescent="0.25">
      <c r="A951">
        <v>949</v>
      </c>
      <c r="B951">
        <v>3.3664000000000001</v>
      </c>
    </row>
    <row r="952" spans="1:2" x14ac:dyDescent="0.25">
      <c r="A952">
        <v>950</v>
      </c>
      <c r="B952">
        <v>3.3664000000000001</v>
      </c>
    </row>
    <row r="953" spans="1:2" x14ac:dyDescent="0.25">
      <c r="A953">
        <v>951</v>
      </c>
      <c r="B953">
        <v>3.3662999999999998</v>
      </c>
    </row>
    <row r="954" spans="1:2" x14ac:dyDescent="0.25">
      <c r="A954">
        <v>952</v>
      </c>
      <c r="B954">
        <v>3.3662000000000001</v>
      </c>
    </row>
    <row r="955" spans="1:2" x14ac:dyDescent="0.25">
      <c r="A955">
        <v>953</v>
      </c>
      <c r="B955">
        <v>3.3662000000000001</v>
      </c>
    </row>
    <row r="956" spans="1:2" x14ac:dyDescent="0.25">
      <c r="A956">
        <v>954</v>
      </c>
      <c r="B956">
        <v>3.3660999999999999</v>
      </c>
    </row>
    <row r="957" spans="1:2" x14ac:dyDescent="0.25">
      <c r="A957">
        <v>955</v>
      </c>
      <c r="B957">
        <v>3.3660999999999999</v>
      </c>
    </row>
    <row r="958" spans="1:2" x14ac:dyDescent="0.25">
      <c r="A958">
        <v>956</v>
      </c>
      <c r="B958">
        <v>3.3660999999999999</v>
      </c>
    </row>
    <row r="959" spans="1:2" x14ac:dyDescent="0.25">
      <c r="A959">
        <v>957</v>
      </c>
      <c r="B959">
        <v>3.3660000000000001</v>
      </c>
    </row>
    <row r="960" spans="1:2" x14ac:dyDescent="0.25">
      <c r="A960">
        <v>958</v>
      </c>
      <c r="B960">
        <v>3.3658999999999999</v>
      </c>
    </row>
    <row r="961" spans="1:2" x14ac:dyDescent="0.25">
      <c r="A961">
        <v>959</v>
      </c>
      <c r="B961">
        <v>3.3656999999999999</v>
      </c>
    </row>
    <row r="962" spans="1:2" x14ac:dyDescent="0.25">
      <c r="A962">
        <v>960</v>
      </c>
      <c r="B962">
        <v>3.3656999999999999</v>
      </c>
    </row>
    <row r="963" spans="1:2" x14ac:dyDescent="0.25">
      <c r="A963">
        <v>961</v>
      </c>
      <c r="B963">
        <v>3.3656999999999999</v>
      </c>
    </row>
    <row r="964" spans="1:2" x14ac:dyDescent="0.25">
      <c r="A964">
        <v>962</v>
      </c>
      <c r="B964">
        <v>3.3656999999999999</v>
      </c>
    </row>
    <row r="965" spans="1:2" x14ac:dyDescent="0.25">
      <c r="A965">
        <v>963</v>
      </c>
      <c r="B965">
        <v>3.3656999999999999</v>
      </c>
    </row>
    <row r="966" spans="1:2" x14ac:dyDescent="0.25">
      <c r="A966">
        <v>964</v>
      </c>
      <c r="B966">
        <v>3.3656999999999999</v>
      </c>
    </row>
    <row r="967" spans="1:2" x14ac:dyDescent="0.25">
      <c r="A967">
        <v>965</v>
      </c>
      <c r="B967">
        <v>3.3656000000000001</v>
      </c>
    </row>
    <row r="968" spans="1:2" x14ac:dyDescent="0.25">
      <c r="A968">
        <v>966</v>
      </c>
      <c r="B968">
        <v>3.3656000000000001</v>
      </c>
    </row>
    <row r="969" spans="1:2" x14ac:dyDescent="0.25">
      <c r="A969">
        <v>967</v>
      </c>
      <c r="B969">
        <v>3.3656000000000001</v>
      </c>
    </row>
    <row r="970" spans="1:2" x14ac:dyDescent="0.25">
      <c r="A970">
        <v>968</v>
      </c>
      <c r="B970">
        <v>3.3654999999999999</v>
      </c>
    </row>
    <row r="971" spans="1:2" x14ac:dyDescent="0.25">
      <c r="A971">
        <v>969</v>
      </c>
      <c r="B971">
        <v>3.3654000000000002</v>
      </c>
    </row>
    <row r="972" spans="1:2" x14ac:dyDescent="0.25">
      <c r="A972">
        <v>970</v>
      </c>
      <c r="B972">
        <v>3.3654000000000002</v>
      </c>
    </row>
    <row r="973" spans="1:2" x14ac:dyDescent="0.25">
      <c r="A973">
        <v>971</v>
      </c>
      <c r="B973">
        <v>3.3654000000000002</v>
      </c>
    </row>
    <row r="974" spans="1:2" x14ac:dyDescent="0.25">
      <c r="A974">
        <v>972</v>
      </c>
      <c r="B974">
        <v>3.3653</v>
      </c>
    </row>
    <row r="975" spans="1:2" x14ac:dyDescent="0.25">
      <c r="A975">
        <v>973</v>
      </c>
      <c r="B975">
        <v>3.3653</v>
      </c>
    </row>
    <row r="976" spans="1:2" x14ac:dyDescent="0.25">
      <c r="A976">
        <v>974</v>
      </c>
      <c r="B976">
        <v>3.3651</v>
      </c>
    </row>
    <row r="977" spans="1:2" x14ac:dyDescent="0.25">
      <c r="A977">
        <v>975</v>
      </c>
      <c r="B977">
        <v>3.3649</v>
      </c>
    </row>
    <row r="978" spans="1:2" x14ac:dyDescent="0.25">
      <c r="A978">
        <v>976</v>
      </c>
      <c r="B978">
        <v>3.3647</v>
      </c>
    </row>
    <row r="979" spans="1:2" x14ac:dyDescent="0.25">
      <c r="A979">
        <v>977</v>
      </c>
      <c r="B979">
        <v>3.3645999999999998</v>
      </c>
    </row>
    <row r="980" spans="1:2" x14ac:dyDescent="0.25">
      <c r="A980">
        <v>978</v>
      </c>
      <c r="B980">
        <v>3.3647999999999998</v>
      </c>
    </row>
    <row r="981" spans="1:2" x14ac:dyDescent="0.25">
      <c r="A981">
        <v>979</v>
      </c>
      <c r="B981">
        <v>3.3649</v>
      </c>
    </row>
    <row r="982" spans="1:2" x14ac:dyDescent="0.25">
      <c r="A982">
        <v>980</v>
      </c>
      <c r="B982">
        <v>3.3650000000000002</v>
      </c>
    </row>
    <row r="983" spans="1:2" x14ac:dyDescent="0.25">
      <c r="A983">
        <v>981</v>
      </c>
      <c r="B983">
        <v>3.3647</v>
      </c>
    </row>
    <row r="984" spans="1:2" x14ac:dyDescent="0.25">
      <c r="A984">
        <v>982</v>
      </c>
      <c r="B984">
        <v>3.3649</v>
      </c>
    </row>
    <row r="985" spans="1:2" x14ac:dyDescent="0.25">
      <c r="A985">
        <v>983</v>
      </c>
      <c r="B985">
        <v>3.3650000000000002</v>
      </c>
    </row>
    <row r="986" spans="1:2" x14ac:dyDescent="0.25">
      <c r="A986">
        <v>984</v>
      </c>
      <c r="B986">
        <v>3.3647999999999998</v>
      </c>
    </row>
    <row r="987" spans="1:2" x14ac:dyDescent="0.25">
      <c r="A987">
        <v>985</v>
      </c>
      <c r="B987">
        <v>3.3647</v>
      </c>
    </row>
    <row r="988" spans="1:2" x14ac:dyDescent="0.25">
      <c r="A988">
        <v>986</v>
      </c>
      <c r="B988">
        <v>3.3645999999999998</v>
      </c>
    </row>
    <row r="989" spans="1:2" x14ac:dyDescent="0.25">
      <c r="A989">
        <v>987</v>
      </c>
      <c r="B989">
        <v>3.3645999999999998</v>
      </c>
    </row>
    <row r="990" spans="1:2" x14ac:dyDescent="0.25">
      <c r="A990">
        <v>988</v>
      </c>
      <c r="B990">
        <v>3.3645</v>
      </c>
    </row>
    <row r="991" spans="1:2" x14ac:dyDescent="0.25">
      <c r="A991">
        <v>989</v>
      </c>
      <c r="B991">
        <v>3.3643000000000001</v>
      </c>
    </row>
    <row r="992" spans="1:2" x14ac:dyDescent="0.25">
      <c r="A992">
        <v>990</v>
      </c>
      <c r="B992">
        <v>3.3641000000000001</v>
      </c>
    </row>
    <row r="993" spans="1:2" x14ac:dyDescent="0.25">
      <c r="A993">
        <v>991</v>
      </c>
      <c r="B993">
        <v>3.3641000000000001</v>
      </c>
    </row>
    <row r="994" spans="1:2" x14ac:dyDescent="0.25">
      <c r="A994">
        <v>992</v>
      </c>
      <c r="B994">
        <v>3.3639000000000001</v>
      </c>
    </row>
    <row r="995" spans="1:2" x14ac:dyDescent="0.25">
      <c r="A995">
        <v>993</v>
      </c>
      <c r="B995">
        <v>3.3639000000000001</v>
      </c>
    </row>
    <row r="996" spans="1:2" x14ac:dyDescent="0.25">
      <c r="A996">
        <v>994</v>
      </c>
      <c r="B996">
        <v>3.3637999999999999</v>
      </c>
    </row>
    <row r="997" spans="1:2" x14ac:dyDescent="0.25">
      <c r="A997">
        <v>995</v>
      </c>
      <c r="B997">
        <v>3.3637000000000001</v>
      </c>
    </row>
    <row r="998" spans="1:2" x14ac:dyDescent="0.25">
      <c r="A998">
        <v>996</v>
      </c>
      <c r="B998">
        <v>3.3635999999999999</v>
      </c>
    </row>
    <row r="999" spans="1:2" x14ac:dyDescent="0.25">
      <c r="A999">
        <v>997</v>
      </c>
      <c r="B999">
        <v>3.3635999999999999</v>
      </c>
    </row>
    <row r="1000" spans="1:2" x14ac:dyDescent="0.25">
      <c r="A1000">
        <v>998</v>
      </c>
      <c r="B1000">
        <v>3.3635000000000002</v>
      </c>
    </row>
    <row r="1001" spans="1:2" x14ac:dyDescent="0.25">
      <c r="A1001">
        <v>999</v>
      </c>
      <c r="B1001">
        <v>3.3635999999999999</v>
      </c>
    </row>
    <row r="1002" spans="1:2" x14ac:dyDescent="0.25">
      <c r="A1002">
        <v>1000</v>
      </c>
      <c r="B1002">
        <v>3.3635000000000002</v>
      </c>
    </row>
    <row r="1003" spans="1:2" x14ac:dyDescent="0.25">
      <c r="A1003">
        <v>1001</v>
      </c>
      <c r="B1003">
        <v>3.3635000000000002</v>
      </c>
    </row>
    <row r="1004" spans="1:2" x14ac:dyDescent="0.25">
      <c r="A1004">
        <v>1002</v>
      </c>
      <c r="B1004">
        <v>3.3635000000000002</v>
      </c>
    </row>
    <row r="1005" spans="1:2" x14ac:dyDescent="0.25">
      <c r="A1005">
        <v>1003</v>
      </c>
      <c r="B1005">
        <v>3.3635999999999999</v>
      </c>
    </row>
    <row r="1006" spans="1:2" x14ac:dyDescent="0.25">
      <c r="A1006">
        <v>1004</v>
      </c>
      <c r="B1006">
        <v>3.3633000000000002</v>
      </c>
    </row>
    <row r="1007" spans="1:2" x14ac:dyDescent="0.25">
      <c r="A1007">
        <v>1005</v>
      </c>
      <c r="B1007">
        <v>3.3633000000000002</v>
      </c>
    </row>
    <row r="1008" spans="1:2" x14ac:dyDescent="0.25">
      <c r="A1008">
        <v>1006</v>
      </c>
      <c r="B1008">
        <v>3.3632</v>
      </c>
    </row>
    <row r="1009" spans="1:2" x14ac:dyDescent="0.25">
      <c r="A1009">
        <v>1007</v>
      </c>
      <c r="B1009">
        <v>3.3632</v>
      </c>
    </row>
    <row r="1010" spans="1:2" x14ac:dyDescent="0.25">
      <c r="A1010">
        <v>1008</v>
      </c>
      <c r="B1010">
        <v>3.3632</v>
      </c>
    </row>
    <row r="1011" spans="1:2" x14ac:dyDescent="0.25">
      <c r="A1011">
        <v>1009</v>
      </c>
      <c r="B1011">
        <v>3.3631000000000002</v>
      </c>
    </row>
    <row r="1012" spans="1:2" x14ac:dyDescent="0.25">
      <c r="A1012">
        <v>1010</v>
      </c>
      <c r="B1012">
        <v>3.3631000000000002</v>
      </c>
    </row>
    <row r="1013" spans="1:2" x14ac:dyDescent="0.25">
      <c r="A1013">
        <v>1011</v>
      </c>
      <c r="B1013">
        <v>3.3632</v>
      </c>
    </row>
    <row r="1014" spans="1:2" x14ac:dyDescent="0.25">
      <c r="A1014">
        <v>1012</v>
      </c>
      <c r="B1014">
        <v>3.3632</v>
      </c>
    </row>
    <row r="1015" spans="1:2" x14ac:dyDescent="0.25">
      <c r="A1015">
        <v>1013</v>
      </c>
      <c r="B1015">
        <v>3.3633000000000002</v>
      </c>
    </row>
    <row r="1016" spans="1:2" x14ac:dyDescent="0.25">
      <c r="A1016">
        <v>1014</v>
      </c>
      <c r="B1016">
        <v>3.3631000000000002</v>
      </c>
    </row>
    <row r="1017" spans="1:2" x14ac:dyDescent="0.25">
      <c r="A1017">
        <v>1015</v>
      </c>
      <c r="B1017">
        <v>3.3631000000000002</v>
      </c>
    </row>
    <row r="1018" spans="1:2" x14ac:dyDescent="0.25">
      <c r="A1018">
        <v>1016</v>
      </c>
      <c r="B1018">
        <v>3.3631000000000002</v>
      </c>
    </row>
    <row r="1019" spans="1:2" x14ac:dyDescent="0.25">
      <c r="A1019">
        <v>1017</v>
      </c>
      <c r="B1019">
        <v>3.363</v>
      </c>
    </row>
    <row r="1020" spans="1:2" x14ac:dyDescent="0.25">
      <c r="A1020">
        <v>1018</v>
      </c>
      <c r="B1020">
        <v>3.363</v>
      </c>
    </row>
    <row r="1021" spans="1:2" x14ac:dyDescent="0.25">
      <c r="A1021">
        <v>1019</v>
      </c>
      <c r="B1021">
        <v>3.363</v>
      </c>
    </row>
    <row r="1022" spans="1:2" x14ac:dyDescent="0.25">
      <c r="A1022">
        <v>1020</v>
      </c>
      <c r="B1022">
        <v>3.3628999999999998</v>
      </c>
    </row>
    <row r="1023" spans="1:2" x14ac:dyDescent="0.25">
      <c r="A1023">
        <v>1021</v>
      </c>
      <c r="B1023">
        <v>3.3628999999999998</v>
      </c>
    </row>
    <row r="1024" spans="1:2" x14ac:dyDescent="0.25">
      <c r="A1024">
        <v>1022</v>
      </c>
      <c r="B1024">
        <v>3.3628</v>
      </c>
    </row>
    <row r="1025" spans="1:2" x14ac:dyDescent="0.25">
      <c r="A1025">
        <v>1023</v>
      </c>
      <c r="B1025">
        <v>3.3628</v>
      </c>
    </row>
    <row r="1026" spans="1:2" x14ac:dyDescent="0.25">
      <c r="A1026">
        <v>1024</v>
      </c>
      <c r="B1026">
        <v>3.3628</v>
      </c>
    </row>
    <row r="1027" spans="1:2" x14ac:dyDescent="0.25">
      <c r="A1027">
        <v>1025</v>
      </c>
      <c r="B1027">
        <v>3.3626999999999998</v>
      </c>
    </row>
    <row r="1028" spans="1:2" x14ac:dyDescent="0.25">
      <c r="A1028">
        <v>1026</v>
      </c>
      <c r="B1028">
        <v>3.3626999999999998</v>
      </c>
    </row>
    <row r="1029" spans="1:2" x14ac:dyDescent="0.25">
      <c r="A1029">
        <v>1027</v>
      </c>
      <c r="B1029">
        <v>3.3626999999999998</v>
      </c>
    </row>
    <row r="1030" spans="1:2" x14ac:dyDescent="0.25">
      <c r="A1030">
        <v>1028</v>
      </c>
      <c r="B1030">
        <v>3.3626999999999998</v>
      </c>
    </row>
    <row r="1031" spans="1:2" x14ac:dyDescent="0.25">
      <c r="A1031">
        <v>1029</v>
      </c>
      <c r="B1031">
        <v>3.3624999999999998</v>
      </c>
    </row>
    <row r="1032" spans="1:2" x14ac:dyDescent="0.25">
      <c r="A1032">
        <v>1030</v>
      </c>
      <c r="B1032">
        <v>3.3624999999999998</v>
      </c>
    </row>
    <row r="1033" spans="1:2" x14ac:dyDescent="0.25">
      <c r="A1033">
        <v>1031</v>
      </c>
      <c r="B1033">
        <v>3.3622999999999998</v>
      </c>
    </row>
    <row r="1034" spans="1:2" x14ac:dyDescent="0.25">
      <c r="A1034">
        <v>1032</v>
      </c>
      <c r="B1034">
        <v>3.3624000000000001</v>
      </c>
    </row>
    <row r="1035" spans="1:2" x14ac:dyDescent="0.25">
      <c r="A1035">
        <v>1033</v>
      </c>
      <c r="B1035">
        <v>3.3622999999999998</v>
      </c>
    </row>
    <row r="1036" spans="1:2" x14ac:dyDescent="0.25">
      <c r="A1036">
        <v>1034</v>
      </c>
      <c r="B1036">
        <v>3.3624000000000001</v>
      </c>
    </row>
    <row r="1037" spans="1:2" x14ac:dyDescent="0.25">
      <c r="A1037">
        <v>1035</v>
      </c>
      <c r="B1037">
        <v>3.3622999999999998</v>
      </c>
    </row>
    <row r="1038" spans="1:2" x14ac:dyDescent="0.25">
      <c r="A1038">
        <v>1036</v>
      </c>
      <c r="B1038">
        <v>3.3622000000000001</v>
      </c>
    </row>
    <row r="1039" spans="1:2" x14ac:dyDescent="0.25">
      <c r="A1039">
        <v>1037</v>
      </c>
      <c r="B1039">
        <v>3.3618999999999999</v>
      </c>
    </row>
    <row r="1040" spans="1:2" x14ac:dyDescent="0.25">
      <c r="A1040">
        <v>1038</v>
      </c>
      <c r="B1040">
        <v>3.3618999999999999</v>
      </c>
    </row>
    <row r="1041" spans="1:2" x14ac:dyDescent="0.25">
      <c r="A1041">
        <v>1039</v>
      </c>
      <c r="B1041">
        <v>3.3616999999999999</v>
      </c>
    </row>
    <row r="1042" spans="1:2" x14ac:dyDescent="0.25">
      <c r="A1042">
        <v>1040</v>
      </c>
      <c r="B1042">
        <v>3.3616000000000001</v>
      </c>
    </row>
    <row r="1043" spans="1:2" x14ac:dyDescent="0.25">
      <c r="A1043">
        <v>1041</v>
      </c>
      <c r="B1043">
        <v>3.3614999999999999</v>
      </c>
    </row>
    <row r="1044" spans="1:2" x14ac:dyDescent="0.25">
      <c r="A1044">
        <v>1042</v>
      </c>
      <c r="B1044">
        <v>3.3614999999999999</v>
      </c>
    </row>
    <row r="1045" spans="1:2" x14ac:dyDescent="0.25">
      <c r="A1045">
        <v>1043</v>
      </c>
      <c r="B1045">
        <v>3.3614000000000002</v>
      </c>
    </row>
    <row r="1046" spans="1:2" x14ac:dyDescent="0.25">
      <c r="A1046">
        <v>1044</v>
      </c>
      <c r="B1046">
        <v>3.3612000000000002</v>
      </c>
    </row>
    <row r="1047" spans="1:2" x14ac:dyDescent="0.25">
      <c r="A1047">
        <v>1045</v>
      </c>
      <c r="B1047">
        <v>3.3612000000000002</v>
      </c>
    </row>
    <row r="1048" spans="1:2" x14ac:dyDescent="0.25">
      <c r="A1048">
        <v>1046</v>
      </c>
      <c r="B1048">
        <v>3.3613</v>
      </c>
    </row>
    <row r="1049" spans="1:2" x14ac:dyDescent="0.25">
      <c r="A1049">
        <v>1047</v>
      </c>
      <c r="B1049">
        <v>3.3612000000000002</v>
      </c>
    </row>
    <row r="1050" spans="1:2" x14ac:dyDescent="0.25">
      <c r="A1050">
        <v>1048</v>
      </c>
      <c r="B1050">
        <v>3.3612000000000002</v>
      </c>
    </row>
    <row r="1051" spans="1:2" x14ac:dyDescent="0.25">
      <c r="A1051">
        <v>1049</v>
      </c>
      <c r="B1051">
        <v>3.3610000000000002</v>
      </c>
    </row>
    <row r="1052" spans="1:2" x14ac:dyDescent="0.25">
      <c r="A1052">
        <v>1050</v>
      </c>
      <c r="B1052">
        <v>3.3611</v>
      </c>
    </row>
    <row r="1053" spans="1:2" x14ac:dyDescent="0.25">
      <c r="A1053">
        <v>1051</v>
      </c>
      <c r="B1053">
        <v>3.3610000000000002</v>
      </c>
    </row>
    <row r="1054" spans="1:2" x14ac:dyDescent="0.25">
      <c r="A1054">
        <v>1052</v>
      </c>
      <c r="B1054">
        <v>3.3610000000000002</v>
      </c>
    </row>
    <row r="1055" spans="1:2" x14ac:dyDescent="0.25">
      <c r="A1055">
        <v>1053</v>
      </c>
      <c r="B1055">
        <v>3.3607999999999998</v>
      </c>
    </row>
    <row r="1056" spans="1:2" x14ac:dyDescent="0.25">
      <c r="A1056">
        <v>1054</v>
      </c>
      <c r="B1056">
        <v>3.3607</v>
      </c>
    </row>
    <row r="1057" spans="1:2" x14ac:dyDescent="0.25">
      <c r="A1057">
        <v>1055</v>
      </c>
      <c r="B1057">
        <v>3.3607</v>
      </c>
    </row>
    <row r="1058" spans="1:2" x14ac:dyDescent="0.25">
      <c r="A1058">
        <v>1056</v>
      </c>
      <c r="B1058">
        <v>3.3607999999999998</v>
      </c>
    </row>
    <row r="1059" spans="1:2" x14ac:dyDescent="0.25">
      <c r="A1059">
        <v>1057</v>
      </c>
      <c r="B1059">
        <v>3.3609</v>
      </c>
    </row>
    <row r="1060" spans="1:2" x14ac:dyDescent="0.25">
      <c r="A1060">
        <v>1058</v>
      </c>
      <c r="B1060">
        <v>3.3607999999999998</v>
      </c>
    </row>
    <row r="1061" spans="1:2" x14ac:dyDescent="0.25">
      <c r="A1061">
        <v>1059</v>
      </c>
      <c r="B1061">
        <v>3.3609</v>
      </c>
    </row>
    <row r="1062" spans="1:2" x14ac:dyDescent="0.25">
      <c r="A1062">
        <v>1060</v>
      </c>
      <c r="B1062">
        <v>3.3605999999999998</v>
      </c>
    </row>
    <row r="1063" spans="1:2" x14ac:dyDescent="0.25">
      <c r="A1063">
        <v>1061</v>
      </c>
      <c r="B1063">
        <v>3.3605</v>
      </c>
    </row>
    <row r="1064" spans="1:2" x14ac:dyDescent="0.25">
      <c r="A1064">
        <v>1062</v>
      </c>
      <c r="B1064">
        <v>3.3605</v>
      </c>
    </row>
    <row r="1065" spans="1:2" x14ac:dyDescent="0.25">
      <c r="A1065">
        <v>1063</v>
      </c>
      <c r="B1065">
        <v>3.3607</v>
      </c>
    </row>
    <row r="1066" spans="1:2" x14ac:dyDescent="0.25">
      <c r="A1066">
        <v>1064</v>
      </c>
      <c r="B1066">
        <v>3.3605999999999998</v>
      </c>
    </row>
    <row r="1067" spans="1:2" x14ac:dyDescent="0.25">
      <c r="A1067">
        <v>1065</v>
      </c>
      <c r="B1067">
        <v>3.3603999999999998</v>
      </c>
    </row>
    <row r="1068" spans="1:2" x14ac:dyDescent="0.25">
      <c r="A1068">
        <v>1066</v>
      </c>
      <c r="B1068">
        <v>3.3605</v>
      </c>
    </row>
    <row r="1069" spans="1:2" x14ac:dyDescent="0.25">
      <c r="A1069">
        <v>1067</v>
      </c>
      <c r="B1069">
        <v>3.3603000000000001</v>
      </c>
    </row>
    <row r="1070" spans="1:2" x14ac:dyDescent="0.25">
      <c r="A1070">
        <v>1068</v>
      </c>
      <c r="B1070">
        <v>3.36</v>
      </c>
    </row>
    <row r="1071" spans="1:2" x14ac:dyDescent="0.25">
      <c r="A1071">
        <v>1069</v>
      </c>
      <c r="B1071">
        <v>3.3599000000000001</v>
      </c>
    </row>
    <row r="1072" spans="1:2" x14ac:dyDescent="0.25">
      <c r="A1072">
        <v>1070</v>
      </c>
      <c r="B1072">
        <v>3.3599000000000001</v>
      </c>
    </row>
    <row r="1073" spans="1:2" x14ac:dyDescent="0.25">
      <c r="A1073">
        <v>1071</v>
      </c>
      <c r="B1073">
        <v>3.3597999999999999</v>
      </c>
    </row>
    <row r="1074" spans="1:2" x14ac:dyDescent="0.25">
      <c r="A1074">
        <v>1072</v>
      </c>
      <c r="B1074">
        <v>3.3597999999999999</v>
      </c>
    </row>
    <row r="1075" spans="1:2" x14ac:dyDescent="0.25">
      <c r="A1075">
        <v>1073</v>
      </c>
      <c r="B1075">
        <v>3.3597999999999999</v>
      </c>
    </row>
    <row r="1076" spans="1:2" x14ac:dyDescent="0.25">
      <c r="A1076">
        <v>1074</v>
      </c>
      <c r="B1076">
        <v>3.3599000000000001</v>
      </c>
    </row>
    <row r="1077" spans="1:2" x14ac:dyDescent="0.25">
      <c r="A1077">
        <v>1075</v>
      </c>
      <c r="B1077">
        <v>3.3599000000000001</v>
      </c>
    </row>
    <row r="1078" spans="1:2" x14ac:dyDescent="0.25">
      <c r="A1078">
        <v>1076</v>
      </c>
      <c r="B1078">
        <v>3.3597999999999999</v>
      </c>
    </row>
    <row r="1079" spans="1:2" x14ac:dyDescent="0.25">
      <c r="A1079">
        <v>1077</v>
      </c>
      <c r="B1079">
        <v>3.3597999999999999</v>
      </c>
    </row>
    <row r="1080" spans="1:2" x14ac:dyDescent="0.25">
      <c r="A1080">
        <v>1078</v>
      </c>
      <c r="B1080">
        <v>3.3597999999999999</v>
      </c>
    </row>
    <row r="1081" spans="1:2" x14ac:dyDescent="0.25">
      <c r="A1081">
        <v>1079</v>
      </c>
      <c r="B1081">
        <v>3.3599000000000001</v>
      </c>
    </row>
    <row r="1082" spans="1:2" x14ac:dyDescent="0.25">
      <c r="A1082">
        <v>1080</v>
      </c>
      <c r="B1082">
        <v>3.3597999999999999</v>
      </c>
    </row>
    <row r="1083" spans="1:2" x14ac:dyDescent="0.25">
      <c r="A1083">
        <v>1081</v>
      </c>
      <c r="B1083">
        <v>3.3597999999999999</v>
      </c>
    </row>
    <row r="1084" spans="1:2" x14ac:dyDescent="0.25">
      <c r="A1084">
        <v>1082</v>
      </c>
      <c r="B1084">
        <v>3.3597999999999999</v>
      </c>
    </row>
    <row r="1085" spans="1:2" x14ac:dyDescent="0.25">
      <c r="A1085">
        <v>1083</v>
      </c>
      <c r="B1085">
        <v>3.3597999999999999</v>
      </c>
    </row>
    <row r="1086" spans="1:2" x14ac:dyDescent="0.25">
      <c r="A1086">
        <v>1084</v>
      </c>
      <c r="B1086">
        <v>3.3597000000000001</v>
      </c>
    </row>
    <row r="1087" spans="1:2" x14ac:dyDescent="0.25">
      <c r="A1087">
        <v>1085</v>
      </c>
      <c r="B1087">
        <v>3.3597000000000001</v>
      </c>
    </row>
    <row r="1088" spans="1:2" x14ac:dyDescent="0.25">
      <c r="A1088">
        <v>1086</v>
      </c>
      <c r="B1088">
        <v>3.3597999999999999</v>
      </c>
    </row>
    <row r="1089" spans="1:2" x14ac:dyDescent="0.25">
      <c r="A1089">
        <v>1087</v>
      </c>
      <c r="B1089">
        <v>3.3597000000000001</v>
      </c>
    </row>
    <row r="1090" spans="1:2" x14ac:dyDescent="0.25">
      <c r="A1090">
        <v>1088</v>
      </c>
      <c r="B1090">
        <v>3.3597000000000001</v>
      </c>
    </row>
    <row r="1091" spans="1:2" x14ac:dyDescent="0.25">
      <c r="A1091">
        <v>1089</v>
      </c>
      <c r="B1091">
        <v>3.3595000000000002</v>
      </c>
    </row>
    <row r="1092" spans="1:2" x14ac:dyDescent="0.25">
      <c r="A1092">
        <v>1090</v>
      </c>
      <c r="B1092">
        <v>3.3595999999999999</v>
      </c>
    </row>
    <row r="1093" spans="1:2" x14ac:dyDescent="0.25">
      <c r="A1093">
        <v>1091</v>
      </c>
      <c r="B1093">
        <v>3.3595000000000002</v>
      </c>
    </row>
    <row r="1094" spans="1:2" x14ac:dyDescent="0.25">
      <c r="A1094">
        <v>1092</v>
      </c>
      <c r="B1094">
        <v>3.3593999999999999</v>
      </c>
    </row>
    <row r="1095" spans="1:2" x14ac:dyDescent="0.25">
      <c r="A1095">
        <v>1093</v>
      </c>
      <c r="B1095">
        <v>3.3593999999999999</v>
      </c>
    </row>
    <row r="1096" spans="1:2" x14ac:dyDescent="0.25">
      <c r="A1096">
        <v>1094</v>
      </c>
      <c r="B1096">
        <v>3.3595000000000002</v>
      </c>
    </row>
    <row r="1097" spans="1:2" x14ac:dyDescent="0.25">
      <c r="A1097">
        <v>1095</v>
      </c>
      <c r="B1097">
        <v>3.3593999999999999</v>
      </c>
    </row>
    <row r="1098" spans="1:2" x14ac:dyDescent="0.25">
      <c r="A1098">
        <v>1096</v>
      </c>
      <c r="B1098">
        <v>3.3593999999999999</v>
      </c>
    </row>
    <row r="1099" spans="1:2" x14ac:dyDescent="0.25">
      <c r="A1099">
        <v>1097</v>
      </c>
      <c r="B1099">
        <v>3.3595000000000002</v>
      </c>
    </row>
    <row r="1100" spans="1:2" x14ac:dyDescent="0.25">
      <c r="A1100">
        <v>1098</v>
      </c>
      <c r="B1100">
        <v>3.3595000000000002</v>
      </c>
    </row>
    <row r="1101" spans="1:2" x14ac:dyDescent="0.25">
      <c r="A1101">
        <v>1099</v>
      </c>
      <c r="B1101">
        <v>3.3595000000000002</v>
      </c>
    </row>
    <row r="1102" spans="1:2" x14ac:dyDescent="0.25">
      <c r="A1102">
        <v>1100</v>
      </c>
      <c r="B1102">
        <v>3.3593999999999999</v>
      </c>
    </row>
    <row r="1103" spans="1:2" x14ac:dyDescent="0.25">
      <c r="A1103">
        <v>1101</v>
      </c>
      <c r="B1103">
        <v>3.3593999999999999</v>
      </c>
    </row>
    <row r="1104" spans="1:2" x14ac:dyDescent="0.25">
      <c r="A1104">
        <v>1102</v>
      </c>
      <c r="B1104">
        <v>3.3593999999999999</v>
      </c>
    </row>
    <row r="1105" spans="1:2" x14ac:dyDescent="0.25">
      <c r="A1105">
        <v>1103</v>
      </c>
      <c r="B1105">
        <v>3.3595000000000002</v>
      </c>
    </row>
    <row r="1106" spans="1:2" x14ac:dyDescent="0.25">
      <c r="A1106">
        <v>1104</v>
      </c>
      <c r="B1106">
        <v>3.3593999999999999</v>
      </c>
    </row>
    <row r="1107" spans="1:2" x14ac:dyDescent="0.25">
      <c r="A1107">
        <v>1105</v>
      </c>
      <c r="B1107">
        <v>3.3593000000000002</v>
      </c>
    </row>
    <row r="1108" spans="1:2" x14ac:dyDescent="0.25">
      <c r="A1108">
        <v>1106</v>
      </c>
      <c r="B1108">
        <v>3.3593000000000002</v>
      </c>
    </row>
    <row r="1109" spans="1:2" x14ac:dyDescent="0.25">
      <c r="A1109">
        <v>1107</v>
      </c>
      <c r="B1109">
        <v>3.3593000000000002</v>
      </c>
    </row>
    <row r="1110" spans="1:2" x14ac:dyDescent="0.25">
      <c r="A1110">
        <v>1108</v>
      </c>
      <c r="B1110">
        <v>3.3591000000000002</v>
      </c>
    </row>
    <row r="1111" spans="1:2" x14ac:dyDescent="0.25">
      <c r="A1111">
        <v>1109</v>
      </c>
      <c r="B1111">
        <v>3.3591000000000002</v>
      </c>
    </row>
    <row r="1112" spans="1:2" x14ac:dyDescent="0.25">
      <c r="A1112">
        <v>1110</v>
      </c>
      <c r="B1112">
        <v>3.359</v>
      </c>
    </row>
    <row r="1113" spans="1:2" x14ac:dyDescent="0.25">
      <c r="A1113">
        <v>1111</v>
      </c>
      <c r="B1113">
        <v>3.359</v>
      </c>
    </row>
    <row r="1114" spans="1:2" x14ac:dyDescent="0.25">
      <c r="A1114">
        <v>1112</v>
      </c>
      <c r="B1114">
        <v>3.359</v>
      </c>
    </row>
    <row r="1115" spans="1:2" x14ac:dyDescent="0.25">
      <c r="A1115">
        <v>1113</v>
      </c>
      <c r="B1115">
        <v>3.3589000000000002</v>
      </c>
    </row>
    <row r="1116" spans="1:2" x14ac:dyDescent="0.25">
      <c r="A1116">
        <v>1114</v>
      </c>
      <c r="B1116">
        <v>3.3589000000000002</v>
      </c>
    </row>
    <row r="1117" spans="1:2" x14ac:dyDescent="0.25">
      <c r="A1117">
        <v>1115</v>
      </c>
      <c r="B1117">
        <v>3.3588</v>
      </c>
    </row>
    <row r="1118" spans="1:2" x14ac:dyDescent="0.25">
      <c r="A1118">
        <v>1116</v>
      </c>
      <c r="B1118">
        <v>3.3591000000000002</v>
      </c>
    </row>
    <row r="1119" spans="1:2" x14ac:dyDescent="0.25">
      <c r="A1119">
        <v>1117</v>
      </c>
      <c r="B1119">
        <v>3.3589000000000002</v>
      </c>
    </row>
    <row r="1120" spans="1:2" x14ac:dyDescent="0.25">
      <c r="A1120">
        <v>1118</v>
      </c>
      <c r="B1120">
        <v>3.359</v>
      </c>
    </row>
    <row r="1121" spans="1:2" x14ac:dyDescent="0.25">
      <c r="A1121">
        <v>1119</v>
      </c>
      <c r="B1121">
        <v>3.3589000000000002</v>
      </c>
    </row>
    <row r="1122" spans="1:2" x14ac:dyDescent="0.25">
      <c r="A1122">
        <v>1120</v>
      </c>
      <c r="B1122">
        <v>3.359</v>
      </c>
    </row>
    <row r="1123" spans="1:2" x14ac:dyDescent="0.25">
      <c r="A1123">
        <v>1121</v>
      </c>
      <c r="B1123">
        <v>3.3591000000000002</v>
      </c>
    </row>
    <row r="1124" spans="1:2" x14ac:dyDescent="0.25">
      <c r="A1124">
        <v>1122</v>
      </c>
      <c r="B1124">
        <v>3.3591000000000002</v>
      </c>
    </row>
    <row r="1125" spans="1:2" x14ac:dyDescent="0.25">
      <c r="A1125">
        <v>1123</v>
      </c>
      <c r="B1125">
        <v>3.359</v>
      </c>
    </row>
    <row r="1126" spans="1:2" x14ac:dyDescent="0.25">
      <c r="A1126">
        <v>1124</v>
      </c>
      <c r="B1126">
        <v>3.3588</v>
      </c>
    </row>
    <row r="1127" spans="1:2" x14ac:dyDescent="0.25">
      <c r="A1127">
        <v>1125</v>
      </c>
      <c r="B1127">
        <v>3.3586999999999998</v>
      </c>
    </row>
    <row r="1128" spans="1:2" x14ac:dyDescent="0.25">
      <c r="A1128">
        <v>1126</v>
      </c>
      <c r="B1128">
        <v>3.3586999999999998</v>
      </c>
    </row>
    <row r="1129" spans="1:2" x14ac:dyDescent="0.25">
      <c r="A1129">
        <v>1127</v>
      </c>
      <c r="B1129">
        <v>3.3586999999999998</v>
      </c>
    </row>
    <row r="1130" spans="1:2" x14ac:dyDescent="0.25">
      <c r="A1130">
        <v>1128</v>
      </c>
      <c r="B1130">
        <v>3.3586999999999998</v>
      </c>
    </row>
    <row r="1131" spans="1:2" x14ac:dyDescent="0.25">
      <c r="A1131">
        <v>1129</v>
      </c>
      <c r="B1131">
        <v>3.3586</v>
      </c>
    </row>
    <row r="1132" spans="1:2" x14ac:dyDescent="0.25">
      <c r="A1132">
        <v>1130</v>
      </c>
      <c r="B1132">
        <v>3.3586999999999998</v>
      </c>
    </row>
    <row r="1133" spans="1:2" x14ac:dyDescent="0.25">
      <c r="A1133">
        <v>1131</v>
      </c>
      <c r="B1133">
        <v>3.3586999999999998</v>
      </c>
    </row>
    <row r="1134" spans="1:2" x14ac:dyDescent="0.25">
      <c r="A1134">
        <v>1132</v>
      </c>
      <c r="B1134">
        <v>3.3584999999999998</v>
      </c>
    </row>
    <row r="1135" spans="1:2" x14ac:dyDescent="0.25">
      <c r="A1135">
        <v>1133</v>
      </c>
      <c r="B1135">
        <v>3.3582000000000001</v>
      </c>
    </row>
    <row r="1136" spans="1:2" x14ac:dyDescent="0.25">
      <c r="A1136">
        <v>1134</v>
      </c>
      <c r="B1136">
        <v>3.3582999999999998</v>
      </c>
    </row>
    <row r="1137" spans="1:2" x14ac:dyDescent="0.25">
      <c r="A1137">
        <v>1135</v>
      </c>
      <c r="B1137">
        <v>3.3582000000000001</v>
      </c>
    </row>
    <row r="1138" spans="1:2" x14ac:dyDescent="0.25">
      <c r="A1138">
        <v>1136</v>
      </c>
      <c r="B1138">
        <v>3.3582000000000001</v>
      </c>
    </row>
    <row r="1139" spans="1:2" x14ac:dyDescent="0.25">
      <c r="A1139">
        <v>1137</v>
      </c>
      <c r="B1139">
        <v>3.3584000000000001</v>
      </c>
    </row>
    <row r="1140" spans="1:2" x14ac:dyDescent="0.25">
      <c r="A1140">
        <v>1138</v>
      </c>
      <c r="B1140">
        <v>3.3584000000000001</v>
      </c>
    </row>
    <row r="1141" spans="1:2" x14ac:dyDescent="0.25">
      <c r="A1141">
        <v>1139</v>
      </c>
      <c r="B1141">
        <v>3.3584000000000001</v>
      </c>
    </row>
    <row r="1142" spans="1:2" x14ac:dyDescent="0.25">
      <c r="A1142">
        <v>1140</v>
      </c>
      <c r="B1142">
        <v>3.3584000000000001</v>
      </c>
    </row>
    <row r="1143" spans="1:2" x14ac:dyDescent="0.25">
      <c r="A1143">
        <v>1141</v>
      </c>
      <c r="B1143">
        <v>3.3582999999999998</v>
      </c>
    </row>
    <row r="1144" spans="1:2" x14ac:dyDescent="0.25">
      <c r="A1144">
        <v>1142</v>
      </c>
      <c r="B1144">
        <v>3.3582999999999998</v>
      </c>
    </row>
    <row r="1145" spans="1:2" x14ac:dyDescent="0.25">
      <c r="A1145">
        <v>1143</v>
      </c>
      <c r="B1145">
        <v>3.3582999999999998</v>
      </c>
    </row>
    <row r="1146" spans="1:2" x14ac:dyDescent="0.25">
      <c r="A1146">
        <v>1144</v>
      </c>
      <c r="B1146">
        <v>3.3584000000000001</v>
      </c>
    </row>
    <row r="1147" spans="1:2" x14ac:dyDescent="0.25">
      <c r="A1147">
        <v>1145</v>
      </c>
      <c r="B1147">
        <v>3.3584000000000001</v>
      </c>
    </row>
    <row r="1148" spans="1:2" x14ac:dyDescent="0.25">
      <c r="A1148">
        <v>1146</v>
      </c>
      <c r="B1148">
        <v>3.3582000000000001</v>
      </c>
    </row>
    <row r="1149" spans="1:2" x14ac:dyDescent="0.25">
      <c r="A1149">
        <v>1147</v>
      </c>
      <c r="B1149">
        <v>3.3578999999999999</v>
      </c>
    </row>
    <row r="1150" spans="1:2" x14ac:dyDescent="0.25">
      <c r="A1150">
        <v>1148</v>
      </c>
      <c r="B1150">
        <v>3.3578999999999999</v>
      </c>
    </row>
    <row r="1151" spans="1:2" x14ac:dyDescent="0.25">
      <c r="A1151">
        <v>1149</v>
      </c>
      <c r="B1151">
        <v>3.3576999999999999</v>
      </c>
    </row>
    <row r="1152" spans="1:2" x14ac:dyDescent="0.25">
      <c r="A1152">
        <v>1150</v>
      </c>
      <c r="B1152">
        <v>3.3576999999999999</v>
      </c>
    </row>
    <row r="1153" spans="1:2" x14ac:dyDescent="0.25">
      <c r="A1153">
        <v>1151</v>
      </c>
      <c r="B1153">
        <v>3.3576999999999999</v>
      </c>
    </row>
    <row r="1154" spans="1:2" x14ac:dyDescent="0.25">
      <c r="A1154">
        <v>1152</v>
      </c>
      <c r="B1154">
        <v>3.3578000000000001</v>
      </c>
    </row>
    <row r="1155" spans="1:2" x14ac:dyDescent="0.25">
      <c r="A1155">
        <v>1153</v>
      </c>
      <c r="B1155">
        <v>3.3576999999999999</v>
      </c>
    </row>
    <row r="1156" spans="1:2" x14ac:dyDescent="0.25">
      <c r="A1156">
        <v>1154</v>
      </c>
      <c r="B1156">
        <v>3.3574000000000002</v>
      </c>
    </row>
    <row r="1157" spans="1:2" x14ac:dyDescent="0.25">
      <c r="A1157">
        <v>1155</v>
      </c>
      <c r="B1157">
        <v>3.3572000000000002</v>
      </c>
    </row>
    <row r="1158" spans="1:2" x14ac:dyDescent="0.25">
      <c r="A1158">
        <v>1156</v>
      </c>
      <c r="B1158">
        <v>3.3570000000000002</v>
      </c>
    </row>
    <row r="1159" spans="1:2" x14ac:dyDescent="0.25">
      <c r="A1159">
        <v>1157</v>
      </c>
      <c r="B1159">
        <v>3.3569</v>
      </c>
    </row>
    <row r="1160" spans="1:2" x14ac:dyDescent="0.25">
      <c r="A1160">
        <v>1158</v>
      </c>
      <c r="B1160">
        <v>3.3570000000000002</v>
      </c>
    </row>
    <row r="1161" spans="1:2" x14ac:dyDescent="0.25">
      <c r="A1161">
        <v>1159</v>
      </c>
      <c r="B1161">
        <v>3.3569</v>
      </c>
    </row>
    <row r="1162" spans="1:2" x14ac:dyDescent="0.25">
      <c r="A1162">
        <v>1160</v>
      </c>
      <c r="B1162">
        <v>3.3569</v>
      </c>
    </row>
    <row r="1163" spans="1:2" x14ac:dyDescent="0.25">
      <c r="A1163">
        <v>1161</v>
      </c>
      <c r="B1163">
        <v>3.3569</v>
      </c>
    </row>
    <row r="1164" spans="1:2" x14ac:dyDescent="0.25">
      <c r="A1164">
        <v>1162</v>
      </c>
      <c r="B1164">
        <v>3.3567</v>
      </c>
    </row>
    <row r="1165" spans="1:2" x14ac:dyDescent="0.25">
      <c r="A1165">
        <v>1163</v>
      </c>
      <c r="B1165">
        <v>3.3567999999999998</v>
      </c>
    </row>
    <row r="1166" spans="1:2" x14ac:dyDescent="0.25">
      <c r="A1166">
        <v>1164</v>
      </c>
      <c r="B1166">
        <v>3.3567999999999998</v>
      </c>
    </row>
    <row r="1167" spans="1:2" x14ac:dyDescent="0.25">
      <c r="A1167">
        <v>1165</v>
      </c>
      <c r="B1167">
        <v>3.3571</v>
      </c>
    </row>
    <row r="1168" spans="1:2" x14ac:dyDescent="0.25">
      <c r="A1168">
        <v>1166</v>
      </c>
      <c r="B1168">
        <v>3.3570000000000002</v>
      </c>
    </row>
    <row r="1169" spans="1:2" x14ac:dyDescent="0.25">
      <c r="A1169">
        <v>1167</v>
      </c>
      <c r="B1169">
        <v>3.3567999999999998</v>
      </c>
    </row>
    <row r="1170" spans="1:2" x14ac:dyDescent="0.25">
      <c r="A1170">
        <v>1168</v>
      </c>
      <c r="B1170">
        <v>3.3567999999999998</v>
      </c>
    </row>
    <row r="1171" spans="1:2" x14ac:dyDescent="0.25">
      <c r="A1171">
        <v>1169</v>
      </c>
      <c r="B1171">
        <v>3.3567999999999998</v>
      </c>
    </row>
    <row r="1172" spans="1:2" x14ac:dyDescent="0.25">
      <c r="A1172">
        <v>1170</v>
      </c>
      <c r="B1172">
        <v>3.3567</v>
      </c>
    </row>
    <row r="1173" spans="1:2" x14ac:dyDescent="0.25">
      <c r="A1173">
        <v>1171</v>
      </c>
      <c r="B1173">
        <v>3.3567999999999998</v>
      </c>
    </row>
    <row r="1174" spans="1:2" x14ac:dyDescent="0.25">
      <c r="A1174">
        <v>1172</v>
      </c>
      <c r="B1174">
        <v>3.3567999999999998</v>
      </c>
    </row>
    <row r="1175" spans="1:2" x14ac:dyDescent="0.25">
      <c r="A1175">
        <v>1173</v>
      </c>
      <c r="B1175">
        <v>3.3567999999999998</v>
      </c>
    </row>
    <row r="1176" spans="1:2" x14ac:dyDescent="0.25">
      <c r="A1176">
        <v>1174</v>
      </c>
      <c r="B1176">
        <v>3.3565999999999998</v>
      </c>
    </row>
    <row r="1177" spans="1:2" x14ac:dyDescent="0.25">
      <c r="A1177">
        <v>1175</v>
      </c>
      <c r="B1177">
        <v>3.3565999999999998</v>
      </c>
    </row>
    <row r="1178" spans="1:2" x14ac:dyDescent="0.25">
      <c r="A1178">
        <v>1176</v>
      </c>
      <c r="B1178">
        <v>3.3565</v>
      </c>
    </row>
    <row r="1179" spans="1:2" x14ac:dyDescent="0.25">
      <c r="A1179">
        <v>1177</v>
      </c>
      <c r="B1179">
        <v>3.3563999999999998</v>
      </c>
    </row>
    <row r="1180" spans="1:2" x14ac:dyDescent="0.25">
      <c r="A1180">
        <v>1178</v>
      </c>
      <c r="B1180">
        <v>3.3563999999999998</v>
      </c>
    </row>
    <row r="1181" spans="1:2" x14ac:dyDescent="0.25">
      <c r="A1181">
        <v>1179</v>
      </c>
      <c r="B1181">
        <v>3.3563999999999998</v>
      </c>
    </row>
    <row r="1182" spans="1:2" x14ac:dyDescent="0.25">
      <c r="A1182">
        <v>1180</v>
      </c>
      <c r="B1182">
        <v>3.3563999999999998</v>
      </c>
    </row>
    <row r="1183" spans="1:2" x14ac:dyDescent="0.25">
      <c r="A1183">
        <v>1181</v>
      </c>
      <c r="B1183">
        <v>3.3565</v>
      </c>
    </row>
    <row r="1184" spans="1:2" x14ac:dyDescent="0.25">
      <c r="A1184">
        <v>1182</v>
      </c>
      <c r="B1184">
        <v>3.3565</v>
      </c>
    </row>
    <row r="1185" spans="1:2" x14ac:dyDescent="0.25">
      <c r="A1185">
        <v>1183</v>
      </c>
      <c r="B1185">
        <v>3.3563999999999998</v>
      </c>
    </row>
    <row r="1186" spans="1:2" x14ac:dyDescent="0.25">
      <c r="A1186">
        <v>1184</v>
      </c>
      <c r="B1186">
        <v>3.3563999999999998</v>
      </c>
    </row>
    <row r="1187" spans="1:2" x14ac:dyDescent="0.25">
      <c r="A1187">
        <v>1185</v>
      </c>
      <c r="B1187">
        <v>3.3563000000000001</v>
      </c>
    </row>
    <row r="1188" spans="1:2" x14ac:dyDescent="0.25">
      <c r="A1188">
        <v>1186</v>
      </c>
      <c r="B1188">
        <v>3.3563999999999998</v>
      </c>
    </row>
    <row r="1189" spans="1:2" x14ac:dyDescent="0.25">
      <c r="A1189">
        <v>1187</v>
      </c>
      <c r="B1189">
        <v>3.3563000000000001</v>
      </c>
    </row>
    <row r="1190" spans="1:2" x14ac:dyDescent="0.25">
      <c r="A1190">
        <v>1188</v>
      </c>
      <c r="B1190">
        <v>3.3561999999999999</v>
      </c>
    </row>
    <row r="1191" spans="1:2" x14ac:dyDescent="0.25">
      <c r="A1191">
        <v>1189</v>
      </c>
      <c r="B1191">
        <v>3.3561999999999999</v>
      </c>
    </row>
    <row r="1192" spans="1:2" x14ac:dyDescent="0.25">
      <c r="A1192">
        <v>1190</v>
      </c>
      <c r="B1192">
        <v>3.3557000000000001</v>
      </c>
    </row>
    <row r="1193" spans="1:2" x14ac:dyDescent="0.25">
      <c r="A1193">
        <v>1191</v>
      </c>
      <c r="B1193">
        <v>3.3555000000000001</v>
      </c>
    </row>
    <row r="1194" spans="1:2" x14ac:dyDescent="0.25">
      <c r="A1194">
        <v>1192</v>
      </c>
      <c r="B1194">
        <v>3.3553999999999999</v>
      </c>
    </row>
    <row r="1195" spans="1:2" x14ac:dyDescent="0.25">
      <c r="A1195">
        <v>1193</v>
      </c>
      <c r="B1195">
        <v>3.3553999999999999</v>
      </c>
    </row>
    <row r="1196" spans="1:2" x14ac:dyDescent="0.25">
      <c r="A1196">
        <v>1194</v>
      </c>
      <c r="B1196">
        <v>3.3553999999999999</v>
      </c>
    </row>
    <row r="1197" spans="1:2" x14ac:dyDescent="0.25">
      <c r="A1197">
        <v>1195</v>
      </c>
      <c r="B1197">
        <v>3.3553999999999999</v>
      </c>
    </row>
    <row r="1198" spans="1:2" x14ac:dyDescent="0.25">
      <c r="A1198">
        <v>1196</v>
      </c>
      <c r="B1198">
        <v>3.3553999999999999</v>
      </c>
    </row>
    <row r="1199" spans="1:2" x14ac:dyDescent="0.25">
      <c r="A1199">
        <v>1197</v>
      </c>
      <c r="B1199">
        <v>3.3553000000000002</v>
      </c>
    </row>
    <row r="1200" spans="1:2" x14ac:dyDescent="0.25">
      <c r="A1200">
        <v>1198</v>
      </c>
      <c r="B1200">
        <v>3.3553999999999999</v>
      </c>
    </row>
    <row r="1201" spans="1:2" x14ac:dyDescent="0.25">
      <c r="A1201">
        <v>1199</v>
      </c>
      <c r="B1201">
        <v>3.3555000000000001</v>
      </c>
    </row>
    <row r="1202" spans="1:2" x14ac:dyDescent="0.25">
      <c r="A1202">
        <v>1200</v>
      </c>
      <c r="B1202">
        <v>3.3552</v>
      </c>
    </row>
    <row r="1203" spans="1:2" x14ac:dyDescent="0.25">
      <c r="A1203">
        <v>1201</v>
      </c>
      <c r="B1203">
        <v>3.3553999999999999</v>
      </c>
    </row>
    <row r="1204" spans="1:2" x14ac:dyDescent="0.25">
      <c r="A1204">
        <v>1202</v>
      </c>
      <c r="B1204">
        <v>3.3555000000000001</v>
      </c>
    </row>
    <row r="1205" spans="1:2" x14ac:dyDescent="0.25">
      <c r="A1205">
        <v>1203</v>
      </c>
      <c r="B1205">
        <v>3.3555999999999999</v>
      </c>
    </row>
    <row r="1206" spans="1:2" x14ac:dyDescent="0.25">
      <c r="A1206">
        <v>1204</v>
      </c>
      <c r="B1206">
        <v>3.3555000000000001</v>
      </c>
    </row>
    <row r="1207" spans="1:2" x14ac:dyDescent="0.25">
      <c r="A1207">
        <v>1205</v>
      </c>
      <c r="B1207">
        <v>3.3555000000000001</v>
      </c>
    </row>
    <row r="1208" spans="1:2" x14ac:dyDescent="0.25">
      <c r="A1208">
        <v>1206</v>
      </c>
      <c r="B1208">
        <v>3.3553999999999999</v>
      </c>
    </row>
    <row r="1209" spans="1:2" x14ac:dyDescent="0.25">
      <c r="A1209">
        <v>1207</v>
      </c>
      <c r="B1209">
        <v>3.3553999999999999</v>
      </c>
    </row>
    <row r="1210" spans="1:2" x14ac:dyDescent="0.25">
      <c r="A1210">
        <v>1208</v>
      </c>
      <c r="B1210">
        <v>3.3555000000000001</v>
      </c>
    </row>
    <row r="1211" spans="1:2" x14ac:dyDescent="0.25">
      <c r="A1211">
        <v>1209</v>
      </c>
      <c r="B1211">
        <v>3.3553000000000002</v>
      </c>
    </row>
    <row r="1212" spans="1:2" x14ac:dyDescent="0.25">
      <c r="A1212">
        <v>1210</v>
      </c>
      <c r="B1212">
        <v>3.3553000000000002</v>
      </c>
    </row>
    <row r="1213" spans="1:2" x14ac:dyDescent="0.25">
      <c r="A1213">
        <v>1211</v>
      </c>
      <c r="B1213">
        <v>3.3552</v>
      </c>
    </row>
    <row r="1214" spans="1:2" x14ac:dyDescent="0.25">
      <c r="A1214">
        <v>1212</v>
      </c>
      <c r="B1214">
        <v>3.3552</v>
      </c>
    </row>
    <row r="1215" spans="1:2" x14ac:dyDescent="0.25">
      <c r="A1215">
        <v>1213</v>
      </c>
      <c r="B1215">
        <v>3.3552</v>
      </c>
    </row>
    <row r="1216" spans="1:2" x14ac:dyDescent="0.25">
      <c r="A1216">
        <v>1214</v>
      </c>
      <c r="B1216">
        <v>3.3552</v>
      </c>
    </row>
    <row r="1217" spans="1:2" x14ac:dyDescent="0.25">
      <c r="A1217">
        <v>1215</v>
      </c>
      <c r="B1217">
        <v>3.3551000000000002</v>
      </c>
    </row>
    <row r="1218" spans="1:2" x14ac:dyDescent="0.25">
      <c r="A1218">
        <v>1216</v>
      </c>
      <c r="B1218">
        <v>3.3552</v>
      </c>
    </row>
    <row r="1219" spans="1:2" x14ac:dyDescent="0.25">
      <c r="A1219">
        <v>1217</v>
      </c>
      <c r="B1219">
        <v>3.3551000000000002</v>
      </c>
    </row>
    <row r="1220" spans="1:2" x14ac:dyDescent="0.25">
      <c r="A1220">
        <v>1218</v>
      </c>
      <c r="B1220">
        <v>3.3551000000000002</v>
      </c>
    </row>
    <row r="1221" spans="1:2" x14ac:dyDescent="0.25">
      <c r="A1221">
        <v>1219</v>
      </c>
      <c r="B1221">
        <v>3.3551000000000002</v>
      </c>
    </row>
    <row r="1222" spans="1:2" x14ac:dyDescent="0.25">
      <c r="A1222">
        <v>1220</v>
      </c>
      <c r="B1222">
        <v>3.3552</v>
      </c>
    </row>
    <row r="1223" spans="1:2" x14ac:dyDescent="0.25">
      <c r="A1223">
        <v>1221</v>
      </c>
      <c r="B1223">
        <v>3.3551000000000002</v>
      </c>
    </row>
    <row r="1224" spans="1:2" x14ac:dyDescent="0.25">
      <c r="A1224">
        <v>1222</v>
      </c>
      <c r="B1224">
        <v>3.3552</v>
      </c>
    </row>
    <row r="1225" spans="1:2" x14ac:dyDescent="0.25">
      <c r="A1225">
        <v>1223</v>
      </c>
      <c r="B1225">
        <v>3.3551000000000002</v>
      </c>
    </row>
    <row r="1226" spans="1:2" x14ac:dyDescent="0.25">
      <c r="A1226">
        <v>1224</v>
      </c>
      <c r="B1226">
        <v>3.3551000000000002</v>
      </c>
    </row>
    <row r="1227" spans="1:2" x14ac:dyDescent="0.25">
      <c r="A1227">
        <v>1225</v>
      </c>
      <c r="B1227">
        <v>3.3551000000000002</v>
      </c>
    </row>
    <row r="1228" spans="1:2" x14ac:dyDescent="0.25">
      <c r="A1228">
        <v>1226</v>
      </c>
      <c r="B1228">
        <v>3.3551000000000002</v>
      </c>
    </row>
    <row r="1229" spans="1:2" x14ac:dyDescent="0.25">
      <c r="A1229">
        <v>1227</v>
      </c>
      <c r="B1229">
        <v>3.355</v>
      </c>
    </row>
    <row r="1230" spans="1:2" x14ac:dyDescent="0.25">
      <c r="A1230">
        <v>1228</v>
      </c>
      <c r="B1230">
        <v>3.3551000000000002</v>
      </c>
    </row>
    <row r="1231" spans="1:2" x14ac:dyDescent="0.25">
      <c r="A1231">
        <v>1229</v>
      </c>
      <c r="B1231">
        <v>3.355</v>
      </c>
    </row>
    <row r="1232" spans="1:2" x14ac:dyDescent="0.25">
      <c r="A1232">
        <v>1230</v>
      </c>
      <c r="B1232">
        <v>3.3551000000000002</v>
      </c>
    </row>
    <row r="1233" spans="1:2" x14ac:dyDescent="0.25">
      <c r="A1233">
        <v>1231</v>
      </c>
      <c r="B1233">
        <v>3.3551000000000002</v>
      </c>
    </row>
    <row r="1234" spans="1:2" x14ac:dyDescent="0.25">
      <c r="A1234">
        <v>1232</v>
      </c>
      <c r="B1234">
        <v>3.355</v>
      </c>
    </row>
    <row r="1235" spans="1:2" x14ac:dyDescent="0.25">
      <c r="A1235">
        <v>1233</v>
      </c>
      <c r="B1235">
        <v>3.3551000000000002</v>
      </c>
    </row>
    <row r="1236" spans="1:2" x14ac:dyDescent="0.25">
      <c r="A1236">
        <v>1234</v>
      </c>
      <c r="B1236">
        <v>3.3551000000000002</v>
      </c>
    </row>
    <row r="1237" spans="1:2" x14ac:dyDescent="0.25">
      <c r="A1237">
        <v>1235</v>
      </c>
      <c r="B1237">
        <v>3.3551000000000002</v>
      </c>
    </row>
    <row r="1238" spans="1:2" x14ac:dyDescent="0.25">
      <c r="A1238">
        <v>1236</v>
      </c>
      <c r="B1238">
        <v>3.3549000000000002</v>
      </c>
    </row>
    <row r="1239" spans="1:2" x14ac:dyDescent="0.25">
      <c r="A1239">
        <v>1237</v>
      </c>
      <c r="B1239">
        <v>3.3549000000000002</v>
      </c>
    </row>
    <row r="1240" spans="1:2" x14ac:dyDescent="0.25">
      <c r="A1240">
        <v>1238</v>
      </c>
      <c r="B1240">
        <v>3.355</v>
      </c>
    </row>
    <row r="1241" spans="1:2" x14ac:dyDescent="0.25">
      <c r="A1241">
        <v>1239</v>
      </c>
      <c r="B1241">
        <v>3.3549000000000002</v>
      </c>
    </row>
    <row r="1242" spans="1:2" x14ac:dyDescent="0.25">
      <c r="A1242">
        <v>1240</v>
      </c>
      <c r="B1242">
        <v>3.3549000000000002</v>
      </c>
    </row>
    <row r="1243" spans="1:2" x14ac:dyDescent="0.25">
      <c r="A1243">
        <v>1241</v>
      </c>
      <c r="B1243">
        <v>3.3548</v>
      </c>
    </row>
    <row r="1244" spans="1:2" x14ac:dyDescent="0.25">
      <c r="A1244">
        <v>1242</v>
      </c>
      <c r="B1244">
        <v>3.3549000000000002</v>
      </c>
    </row>
    <row r="1245" spans="1:2" x14ac:dyDescent="0.25">
      <c r="A1245">
        <v>1243</v>
      </c>
      <c r="B1245">
        <v>3.3548</v>
      </c>
    </row>
    <row r="1246" spans="1:2" x14ac:dyDescent="0.25">
      <c r="A1246">
        <v>1244</v>
      </c>
      <c r="B1246">
        <v>3.3548</v>
      </c>
    </row>
    <row r="1247" spans="1:2" x14ac:dyDescent="0.25">
      <c r="A1247">
        <v>1245</v>
      </c>
      <c r="B1247">
        <v>3.3548</v>
      </c>
    </row>
    <row r="1248" spans="1:2" x14ac:dyDescent="0.25">
      <c r="A1248">
        <v>1246</v>
      </c>
      <c r="B1248">
        <v>3.3546999999999998</v>
      </c>
    </row>
    <row r="1249" spans="1:2" x14ac:dyDescent="0.25">
      <c r="A1249">
        <v>1247</v>
      </c>
      <c r="B1249">
        <v>3.3546999999999998</v>
      </c>
    </row>
    <row r="1250" spans="1:2" x14ac:dyDescent="0.25">
      <c r="A1250">
        <v>1248</v>
      </c>
      <c r="B1250">
        <v>3.3546999999999998</v>
      </c>
    </row>
    <row r="1251" spans="1:2" x14ac:dyDescent="0.25">
      <c r="A1251">
        <v>1249</v>
      </c>
      <c r="B1251">
        <v>3.3546</v>
      </c>
    </row>
    <row r="1252" spans="1:2" x14ac:dyDescent="0.25">
      <c r="A1252">
        <v>1250</v>
      </c>
      <c r="B1252">
        <v>3.3546999999999998</v>
      </c>
    </row>
    <row r="1253" spans="1:2" x14ac:dyDescent="0.25">
      <c r="A1253">
        <v>1251</v>
      </c>
      <c r="B1253">
        <v>3.3546999999999998</v>
      </c>
    </row>
    <row r="1254" spans="1:2" x14ac:dyDescent="0.25">
      <c r="A1254">
        <v>1252</v>
      </c>
      <c r="B1254">
        <v>3.3546999999999998</v>
      </c>
    </row>
    <row r="1255" spans="1:2" x14ac:dyDescent="0.25">
      <c r="A1255">
        <v>1253</v>
      </c>
      <c r="B1255">
        <v>3.3546</v>
      </c>
    </row>
    <row r="1256" spans="1:2" x14ac:dyDescent="0.25">
      <c r="A1256">
        <v>1254</v>
      </c>
      <c r="B1256">
        <v>3.3546999999999998</v>
      </c>
    </row>
    <row r="1257" spans="1:2" x14ac:dyDescent="0.25">
      <c r="A1257">
        <v>1255</v>
      </c>
      <c r="B1257">
        <v>3.3546</v>
      </c>
    </row>
    <row r="1258" spans="1:2" x14ac:dyDescent="0.25">
      <c r="A1258">
        <v>1256</v>
      </c>
      <c r="B1258">
        <v>3.3546999999999998</v>
      </c>
    </row>
    <row r="1259" spans="1:2" x14ac:dyDescent="0.25">
      <c r="A1259">
        <v>1257</v>
      </c>
      <c r="B1259">
        <v>3.3546999999999998</v>
      </c>
    </row>
    <row r="1260" spans="1:2" x14ac:dyDescent="0.25">
      <c r="A1260">
        <v>1258</v>
      </c>
      <c r="B1260">
        <v>3.3546999999999998</v>
      </c>
    </row>
    <row r="1261" spans="1:2" x14ac:dyDescent="0.25">
      <c r="A1261">
        <v>1259</v>
      </c>
      <c r="B1261">
        <v>3.3546999999999998</v>
      </c>
    </row>
    <row r="1262" spans="1:2" x14ac:dyDescent="0.25">
      <c r="A1262">
        <v>1260</v>
      </c>
      <c r="B1262">
        <v>3.3546999999999998</v>
      </c>
    </row>
    <row r="1263" spans="1:2" x14ac:dyDescent="0.25">
      <c r="A1263">
        <v>1261</v>
      </c>
      <c r="B1263">
        <v>3.3548</v>
      </c>
    </row>
    <row r="1264" spans="1:2" x14ac:dyDescent="0.25">
      <c r="A1264">
        <v>1262</v>
      </c>
      <c r="B1264">
        <v>3.3546999999999998</v>
      </c>
    </row>
    <row r="1265" spans="1:2" x14ac:dyDescent="0.25">
      <c r="A1265">
        <v>1263</v>
      </c>
      <c r="B1265">
        <v>3.3546999999999998</v>
      </c>
    </row>
    <row r="1266" spans="1:2" x14ac:dyDescent="0.25">
      <c r="A1266">
        <v>1264</v>
      </c>
      <c r="B1266">
        <v>3.3544999999999998</v>
      </c>
    </row>
    <row r="1267" spans="1:2" x14ac:dyDescent="0.25">
      <c r="A1267">
        <v>1265</v>
      </c>
      <c r="B1267">
        <v>3.3544999999999998</v>
      </c>
    </row>
    <row r="1268" spans="1:2" x14ac:dyDescent="0.25">
      <c r="A1268">
        <v>1266</v>
      </c>
      <c r="B1268">
        <v>3.3544999999999998</v>
      </c>
    </row>
    <row r="1269" spans="1:2" x14ac:dyDescent="0.25">
      <c r="A1269">
        <v>1267</v>
      </c>
      <c r="B1269">
        <v>3.3544</v>
      </c>
    </row>
    <row r="1270" spans="1:2" x14ac:dyDescent="0.25">
      <c r="A1270">
        <v>1268</v>
      </c>
      <c r="B1270">
        <v>3.3542999999999998</v>
      </c>
    </row>
    <row r="1271" spans="1:2" x14ac:dyDescent="0.25">
      <c r="A1271">
        <v>1269</v>
      </c>
      <c r="B1271">
        <v>3.3542999999999998</v>
      </c>
    </row>
    <row r="1272" spans="1:2" x14ac:dyDescent="0.25">
      <c r="A1272">
        <v>1270</v>
      </c>
      <c r="B1272">
        <v>3.3542999999999998</v>
      </c>
    </row>
    <row r="1273" spans="1:2" x14ac:dyDescent="0.25">
      <c r="A1273">
        <v>1271</v>
      </c>
      <c r="B1273">
        <v>3.3542999999999998</v>
      </c>
    </row>
    <row r="1274" spans="1:2" x14ac:dyDescent="0.25">
      <c r="A1274">
        <v>1272</v>
      </c>
      <c r="B1274">
        <v>3.3542999999999998</v>
      </c>
    </row>
    <row r="1275" spans="1:2" x14ac:dyDescent="0.25">
      <c r="A1275">
        <v>1273</v>
      </c>
      <c r="B1275">
        <v>3.3542999999999998</v>
      </c>
    </row>
    <row r="1276" spans="1:2" x14ac:dyDescent="0.25">
      <c r="A1276">
        <v>1274</v>
      </c>
      <c r="B1276">
        <v>3.3542999999999998</v>
      </c>
    </row>
    <row r="1277" spans="1:2" x14ac:dyDescent="0.25">
      <c r="A1277">
        <v>1275</v>
      </c>
      <c r="B1277">
        <v>3.3542999999999998</v>
      </c>
    </row>
    <row r="1278" spans="1:2" x14ac:dyDescent="0.25">
      <c r="A1278">
        <v>1276</v>
      </c>
      <c r="B1278">
        <v>3.3542000000000001</v>
      </c>
    </row>
    <row r="1279" spans="1:2" x14ac:dyDescent="0.25">
      <c r="A1279">
        <v>1277</v>
      </c>
      <c r="B1279">
        <v>3.3542000000000001</v>
      </c>
    </row>
    <row r="1280" spans="1:2" x14ac:dyDescent="0.25">
      <c r="A1280">
        <v>1278</v>
      </c>
      <c r="B1280">
        <v>3.3542000000000001</v>
      </c>
    </row>
    <row r="1281" spans="1:2" x14ac:dyDescent="0.25">
      <c r="A1281">
        <v>1279</v>
      </c>
      <c r="B1281">
        <v>3.3540999999999999</v>
      </c>
    </row>
    <row r="1282" spans="1:2" x14ac:dyDescent="0.25">
      <c r="A1282">
        <v>1280</v>
      </c>
      <c r="B1282">
        <v>3.3540999999999999</v>
      </c>
    </row>
    <row r="1283" spans="1:2" x14ac:dyDescent="0.25">
      <c r="A1283">
        <v>1281</v>
      </c>
      <c r="B1283">
        <v>3.3540999999999999</v>
      </c>
    </row>
    <row r="1284" spans="1:2" x14ac:dyDescent="0.25">
      <c r="A1284">
        <v>1282</v>
      </c>
      <c r="B1284">
        <v>3.3540999999999999</v>
      </c>
    </row>
    <row r="1285" spans="1:2" x14ac:dyDescent="0.25">
      <c r="A1285">
        <v>1283</v>
      </c>
      <c r="B1285">
        <v>3.3540999999999999</v>
      </c>
    </row>
    <row r="1286" spans="1:2" x14ac:dyDescent="0.25">
      <c r="A1286">
        <v>1284</v>
      </c>
      <c r="B1286">
        <v>3.3540999999999999</v>
      </c>
    </row>
    <row r="1287" spans="1:2" x14ac:dyDescent="0.25">
      <c r="A1287">
        <v>1285</v>
      </c>
      <c r="B1287">
        <v>3.3540999999999999</v>
      </c>
    </row>
    <row r="1288" spans="1:2" x14ac:dyDescent="0.25">
      <c r="A1288">
        <v>1286</v>
      </c>
      <c r="B1288">
        <v>3.3540999999999999</v>
      </c>
    </row>
    <row r="1289" spans="1:2" x14ac:dyDescent="0.25">
      <c r="A1289">
        <v>1287</v>
      </c>
      <c r="B1289">
        <v>3.3540999999999999</v>
      </c>
    </row>
    <row r="1290" spans="1:2" x14ac:dyDescent="0.25">
      <c r="A1290">
        <v>1288</v>
      </c>
      <c r="B1290">
        <v>3.3540999999999999</v>
      </c>
    </row>
    <row r="1291" spans="1:2" x14ac:dyDescent="0.25">
      <c r="A1291">
        <v>1289</v>
      </c>
      <c r="B1291">
        <v>3.3540999999999999</v>
      </c>
    </row>
    <row r="1292" spans="1:2" x14ac:dyDescent="0.25">
      <c r="A1292">
        <v>1290</v>
      </c>
      <c r="B1292">
        <v>3.3540999999999999</v>
      </c>
    </row>
    <row r="1293" spans="1:2" x14ac:dyDescent="0.25">
      <c r="A1293">
        <v>1291</v>
      </c>
      <c r="B1293">
        <v>3.3540999999999999</v>
      </c>
    </row>
    <row r="1294" spans="1:2" x14ac:dyDescent="0.25">
      <c r="A1294">
        <v>1292</v>
      </c>
      <c r="B1294">
        <v>3.3540000000000001</v>
      </c>
    </row>
    <row r="1295" spans="1:2" x14ac:dyDescent="0.25">
      <c r="A1295">
        <v>1293</v>
      </c>
      <c r="B1295">
        <v>3.3540000000000001</v>
      </c>
    </row>
    <row r="1296" spans="1:2" x14ac:dyDescent="0.25">
      <c r="A1296">
        <v>1294</v>
      </c>
      <c r="B1296">
        <v>3.3538999999999999</v>
      </c>
    </row>
    <row r="1297" spans="1:2" x14ac:dyDescent="0.25">
      <c r="A1297">
        <v>1295</v>
      </c>
      <c r="B1297">
        <v>3.3540999999999999</v>
      </c>
    </row>
    <row r="1298" spans="1:2" x14ac:dyDescent="0.25">
      <c r="A1298">
        <v>1296</v>
      </c>
      <c r="B1298">
        <v>3.3538999999999999</v>
      </c>
    </row>
    <row r="1299" spans="1:2" x14ac:dyDescent="0.25">
      <c r="A1299">
        <v>1297</v>
      </c>
      <c r="B1299">
        <v>3.3538000000000001</v>
      </c>
    </row>
    <row r="1300" spans="1:2" x14ac:dyDescent="0.25">
      <c r="A1300">
        <v>1298</v>
      </c>
      <c r="B1300">
        <v>3.3536999999999999</v>
      </c>
    </row>
    <row r="1301" spans="1:2" x14ac:dyDescent="0.25">
      <c r="A1301">
        <v>1299</v>
      </c>
      <c r="B1301">
        <v>3.3536999999999999</v>
      </c>
    </row>
    <row r="1302" spans="1:2" x14ac:dyDescent="0.25">
      <c r="A1302">
        <v>1300</v>
      </c>
      <c r="B1302">
        <v>3.3538000000000001</v>
      </c>
    </row>
    <row r="1303" spans="1:2" x14ac:dyDescent="0.25">
      <c r="A1303">
        <v>1301</v>
      </c>
      <c r="B1303">
        <v>3.3536999999999999</v>
      </c>
    </row>
    <row r="1304" spans="1:2" x14ac:dyDescent="0.25">
      <c r="A1304">
        <v>1302</v>
      </c>
      <c r="B1304">
        <v>3.3538000000000001</v>
      </c>
    </row>
    <row r="1305" spans="1:2" x14ac:dyDescent="0.25">
      <c r="A1305">
        <v>1303</v>
      </c>
      <c r="B1305">
        <v>3.3536999999999999</v>
      </c>
    </row>
    <row r="1306" spans="1:2" x14ac:dyDescent="0.25">
      <c r="A1306">
        <v>1304</v>
      </c>
      <c r="B1306">
        <v>3.3536999999999999</v>
      </c>
    </row>
    <row r="1307" spans="1:2" x14ac:dyDescent="0.25">
      <c r="A1307">
        <v>1305</v>
      </c>
      <c r="B1307">
        <v>3.3536999999999999</v>
      </c>
    </row>
    <row r="1308" spans="1:2" x14ac:dyDescent="0.25">
      <c r="A1308">
        <v>1306</v>
      </c>
      <c r="B1308">
        <v>3.3536999999999999</v>
      </c>
    </row>
    <row r="1309" spans="1:2" x14ac:dyDescent="0.25">
      <c r="A1309">
        <v>1307</v>
      </c>
      <c r="B1309">
        <v>3.3536000000000001</v>
      </c>
    </row>
    <row r="1310" spans="1:2" x14ac:dyDescent="0.25">
      <c r="A1310">
        <v>1308</v>
      </c>
      <c r="B1310">
        <v>3.3536000000000001</v>
      </c>
    </row>
    <row r="1311" spans="1:2" x14ac:dyDescent="0.25">
      <c r="A1311">
        <v>1309</v>
      </c>
      <c r="B1311">
        <v>3.3534999999999999</v>
      </c>
    </row>
    <row r="1312" spans="1:2" x14ac:dyDescent="0.25">
      <c r="A1312">
        <v>1310</v>
      </c>
      <c r="B1312">
        <v>3.3534999999999999</v>
      </c>
    </row>
    <row r="1313" spans="1:2" x14ac:dyDescent="0.25">
      <c r="A1313">
        <v>1311</v>
      </c>
      <c r="B1313">
        <v>3.3534999999999999</v>
      </c>
    </row>
    <row r="1314" spans="1:2" x14ac:dyDescent="0.25">
      <c r="A1314">
        <v>1312</v>
      </c>
      <c r="B1314">
        <v>3.3532999999999999</v>
      </c>
    </row>
    <row r="1315" spans="1:2" x14ac:dyDescent="0.25">
      <c r="A1315">
        <v>1313</v>
      </c>
      <c r="B1315">
        <v>3.3530000000000002</v>
      </c>
    </row>
    <row r="1316" spans="1:2" x14ac:dyDescent="0.25">
      <c r="A1316">
        <v>1314</v>
      </c>
      <c r="B1316">
        <v>3.3527999999999998</v>
      </c>
    </row>
    <row r="1317" spans="1:2" x14ac:dyDescent="0.25">
      <c r="A1317">
        <v>1315</v>
      </c>
      <c r="B1317">
        <v>3.3527999999999998</v>
      </c>
    </row>
    <row r="1318" spans="1:2" x14ac:dyDescent="0.25">
      <c r="A1318">
        <v>1316</v>
      </c>
      <c r="B1318">
        <v>3.3527999999999998</v>
      </c>
    </row>
    <row r="1319" spans="1:2" x14ac:dyDescent="0.25">
      <c r="A1319">
        <v>1317</v>
      </c>
      <c r="B1319">
        <v>3.3529</v>
      </c>
    </row>
    <row r="1320" spans="1:2" x14ac:dyDescent="0.25">
      <c r="A1320">
        <v>1318</v>
      </c>
      <c r="B1320">
        <v>3.3529</v>
      </c>
    </row>
    <row r="1321" spans="1:2" x14ac:dyDescent="0.25">
      <c r="A1321">
        <v>1319</v>
      </c>
      <c r="B1321">
        <v>3.3530000000000002</v>
      </c>
    </row>
    <row r="1322" spans="1:2" x14ac:dyDescent="0.25">
      <c r="A1322">
        <v>1320</v>
      </c>
      <c r="B1322">
        <v>3.3530000000000002</v>
      </c>
    </row>
    <row r="1323" spans="1:2" x14ac:dyDescent="0.25">
      <c r="A1323">
        <v>1321</v>
      </c>
      <c r="B1323">
        <v>3.3530000000000002</v>
      </c>
    </row>
    <row r="1324" spans="1:2" x14ac:dyDescent="0.25">
      <c r="A1324">
        <v>1322</v>
      </c>
      <c r="B1324">
        <v>3.3530000000000002</v>
      </c>
    </row>
    <row r="1325" spans="1:2" x14ac:dyDescent="0.25">
      <c r="A1325">
        <v>1323</v>
      </c>
      <c r="B1325">
        <v>3.3532000000000002</v>
      </c>
    </row>
    <row r="1326" spans="1:2" x14ac:dyDescent="0.25">
      <c r="A1326">
        <v>1324</v>
      </c>
      <c r="B1326">
        <v>3.3530000000000002</v>
      </c>
    </row>
    <row r="1327" spans="1:2" x14ac:dyDescent="0.25">
      <c r="A1327">
        <v>1325</v>
      </c>
      <c r="B1327">
        <v>3.3527</v>
      </c>
    </row>
    <row r="1328" spans="1:2" x14ac:dyDescent="0.25">
      <c r="A1328">
        <v>1326</v>
      </c>
      <c r="B1328">
        <v>3.3527</v>
      </c>
    </row>
    <row r="1329" spans="1:2" x14ac:dyDescent="0.25">
      <c r="A1329">
        <v>1327</v>
      </c>
      <c r="B1329">
        <v>3.3527999999999998</v>
      </c>
    </row>
    <row r="1330" spans="1:2" x14ac:dyDescent="0.25">
      <c r="A1330">
        <v>1328</v>
      </c>
      <c r="B1330">
        <v>3.3534999999999999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4"/>
  <sheetViews>
    <sheetView zoomScale="80" zoomScaleNormal="80" workbookViewId="0">
      <selection activeCell="B1" sqref="B1:C1048576"/>
    </sheetView>
  </sheetViews>
  <sheetFormatPr defaultRowHeight="15" x14ac:dyDescent="0.25"/>
  <cols>
    <col min="1" max="1" width="6.5703125" customWidth="1"/>
    <col min="11" max="11" width="11.85546875" bestFit="1" customWidth="1"/>
    <col min="12" max="12" width="12.42578125" bestFit="1" customWidth="1"/>
    <col min="14" max="14" width="12.85546875" bestFit="1" customWidth="1"/>
    <col min="15" max="15" width="9.5703125" customWidth="1"/>
  </cols>
  <sheetData>
    <row r="1" spans="1:15" x14ac:dyDescent="0.25">
      <c r="B1" s="2">
        <v>45125.619047619046</v>
      </c>
      <c r="C1" s="2">
        <v>45171.333333333336</v>
      </c>
      <c r="I1" s="5"/>
      <c r="K1" t="s">
        <v>17</v>
      </c>
      <c r="L1" s="9">
        <f>C1-B1</f>
        <v>45.714285714289872</v>
      </c>
      <c r="M1" s="9"/>
    </row>
    <row r="2" spans="1:15" x14ac:dyDescent="0.25">
      <c r="A2" t="s">
        <v>0</v>
      </c>
      <c r="B2" t="s">
        <v>1</v>
      </c>
      <c r="C2" t="s">
        <v>1</v>
      </c>
      <c r="D2" s="6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6" t="s">
        <v>10</v>
      </c>
      <c r="J2" s="6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15</v>
      </c>
    </row>
    <row r="3" spans="1:15" x14ac:dyDescent="0.25">
      <c r="A3">
        <v>0</v>
      </c>
      <c r="B3" s="3">
        <v>12.700319047619049</v>
      </c>
      <c r="C3" s="3">
        <v>10.090655555555555</v>
      </c>
      <c r="D3">
        <f>C3-B3</f>
        <v>-2.6096634920634934</v>
      </c>
      <c r="E3">
        <f>(D3+D4)/2</f>
        <v>-1.8260246031746039</v>
      </c>
      <c r="F3">
        <v>70</v>
      </c>
      <c r="G3">
        <v>7381</v>
      </c>
      <c r="H3">
        <f>E3*F3</f>
        <v>-127.82172222222228</v>
      </c>
      <c r="I3">
        <f t="shared" ref="I3:I22" si="0">I4+H3</f>
        <v>-233.52332619047644</v>
      </c>
      <c r="J3">
        <f t="shared" ref="J3:J23" si="1">(I3/G3)*1000</f>
        <v>-31.638440074580199</v>
      </c>
    </row>
    <row r="4" spans="1:15" x14ac:dyDescent="0.25">
      <c r="A4">
        <v>10</v>
      </c>
      <c r="B4" s="3">
        <v>7.9357857142857142</v>
      </c>
      <c r="C4" s="3">
        <v>6.8933999999999997</v>
      </c>
      <c r="D4">
        <f t="shared" ref="D4:D38" si="2">C4-B4</f>
        <v>-1.0423857142857145</v>
      </c>
      <c r="E4">
        <f t="shared" ref="E4:E38" si="3">(D4+D5)/2</f>
        <v>-0.77905079365079333</v>
      </c>
      <c r="F4">
        <v>70</v>
      </c>
      <c r="G4">
        <v>7338</v>
      </c>
      <c r="H4">
        <f t="shared" ref="H4:H38" si="4">E4*F4</f>
        <v>-54.53355555555553</v>
      </c>
      <c r="I4">
        <f t="shared" si="0"/>
        <v>-105.70160396825415</v>
      </c>
      <c r="J4">
        <f t="shared" si="1"/>
        <v>-14.404688466646789</v>
      </c>
      <c r="K4">
        <f>(B5-B3)/(A5-A3)</f>
        <v>-0.35532404761904768</v>
      </c>
      <c r="L4">
        <f>(C5-C3)/(A5-A3)</f>
        <v>-0.25062666666666666</v>
      </c>
      <c r="M4">
        <f>(K4+L4)/2</f>
        <v>-0.30297535714285717</v>
      </c>
      <c r="N4">
        <f>-J4/(M4*86400*$L$1)</f>
        <v>-1.2037349859634459E-5</v>
      </c>
      <c r="O4" s="3">
        <f>N4*10000</f>
        <v>-0.12037349859634459</v>
      </c>
    </row>
    <row r="5" spans="1:15" x14ac:dyDescent="0.25">
      <c r="A5">
        <v>20</v>
      </c>
      <c r="B5" s="3">
        <v>5.5938380952380946</v>
      </c>
      <c r="C5" s="3">
        <v>5.0781222222222224</v>
      </c>
      <c r="D5">
        <f t="shared" si="2"/>
        <v>-0.51571587301587218</v>
      </c>
      <c r="E5">
        <f t="shared" si="3"/>
        <v>-0.40047380952380918</v>
      </c>
      <c r="F5">
        <v>70</v>
      </c>
      <c r="G5">
        <v>7252</v>
      </c>
      <c r="H5">
        <f t="shared" si="4"/>
        <v>-28.033166666666641</v>
      </c>
      <c r="I5">
        <f t="shared" si="0"/>
        <v>-51.16804841269861</v>
      </c>
      <c r="J5">
        <f t="shared" si="1"/>
        <v>-7.0557154457664941</v>
      </c>
      <c r="K5">
        <f t="shared" ref="K5:K38" si="5">(B6-B4)/(A6-A4)</f>
        <v>-0.16276714285714283</v>
      </c>
      <c r="L5">
        <f t="shared" ref="L5:L38" si="6">(C6-C4)/(A6-A4)</f>
        <v>-0.12490944444444443</v>
      </c>
      <c r="M5">
        <f t="shared" ref="M5:M38" si="7">(K5+L5)/2</f>
        <v>-0.14383829365079365</v>
      </c>
      <c r="N5">
        <f t="shared" ref="N5:N38" si="8">-J5/(M5*86400*$L$1)</f>
        <v>-1.241940684733435E-5</v>
      </c>
      <c r="O5" s="3">
        <f t="shared" ref="O5:O38" si="9">N5*10000</f>
        <v>-0.12419406847334351</v>
      </c>
    </row>
    <row r="6" spans="1:15" x14ac:dyDescent="0.25">
      <c r="A6">
        <v>30</v>
      </c>
      <c r="B6" s="3">
        <v>4.6804428571428573</v>
      </c>
      <c r="C6" s="3">
        <v>4.3952111111111112</v>
      </c>
      <c r="D6">
        <f t="shared" si="2"/>
        <v>-0.28523174603174617</v>
      </c>
      <c r="E6">
        <f t="shared" si="3"/>
        <v>-0.18655952380952368</v>
      </c>
      <c r="F6">
        <v>70</v>
      </c>
      <c r="G6">
        <v>7218</v>
      </c>
      <c r="H6">
        <f t="shared" si="4"/>
        <v>-13.059166666666657</v>
      </c>
      <c r="I6">
        <f t="shared" si="0"/>
        <v>-23.134881746031972</v>
      </c>
      <c r="J6">
        <f t="shared" si="1"/>
        <v>-3.2051651075134346</v>
      </c>
      <c r="K6">
        <f t="shared" si="5"/>
        <v>-6.8749761904761897E-2</v>
      </c>
      <c r="L6">
        <f t="shared" si="6"/>
        <v>-4.7358333333333349E-2</v>
      </c>
      <c r="M6">
        <f t="shared" si="7"/>
        <v>-5.8054047619047623E-2</v>
      </c>
      <c r="N6">
        <f t="shared" si="8"/>
        <v>-1.3978231238176101E-5</v>
      </c>
      <c r="O6" s="3">
        <f t="shared" si="9"/>
        <v>-0.139782312381761</v>
      </c>
    </row>
    <row r="7" spans="1:15" x14ac:dyDescent="0.25">
      <c r="A7">
        <v>40</v>
      </c>
      <c r="B7" s="3">
        <v>4.2188428571428567</v>
      </c>
      <c r="C7" s="3">
        <v>4.1309555555555555</v>
      </c>
      <c r="D7">
        <f t="shared" si="2"/>
        <v>-8.7887301587301181E-2</v>
      </c>
      <c r="E7">
        <f t="shared" si="3"/>
        <v>-6.1246825396825244E-2</v>
      </c>
      <c r="F7">
        <v>70</v>
      </c>
      <c r="G7">
        <v>7128.25</v>
      </c>
      <c r="H7">
        <f t="shared" si="4"/>
        <v>-4.2872777777777671</v>
      </c>
      <c r="I7">
        <f t="shared" si="0"/>
        <v>-10.075715079365317</v>
      </c>
      <c r="J7">
        <f t="shared" si="1"/>
        <v>-1.4134906995918095</v>
      </c>
      <c r="K7">
        <f t="shared" si="5"/>
        <v>-3.0159047619047641E-2</v>
      </c>
      <c r="L7">
        <f t="shared" si="6"/>
        <v>-1.7627777777777798E-2</v>
      </c>
      <c r="M7">
        <f t="shared" si="7"/>
        <v>-2.3893412698412719E-2</v>
      </c>
      <c r="N7">
        <f t="shared" si="8"/>
        <v>-1.4977836656553409E-5</v>
      </c>
      <c r="O7" s="3">
        <f t="shared" si="9"/>
        <v>-0.14977836656553409</v>
      </c>
    </row>
    <row r="8" spans="1:15" x14ac:dyDescent="0.25">
      <c r="A8">
        <v>50</v>
      </c>
      <c r="B8" s="3">
        <v>4.0772619047619045</v>
      </c>
      <c r="C8" s="3">
        <v>4.0426555555555552</v>
      </c>
      <c r="D8">
        <f t="shared" si="2"/>
        <v>-3.4606349206349307E-2</v>
      </c>
      <c r="E8">
        <f t="shared" si="3"/>
        <v>-2.5581746031746233E-2</v>
      </c>
      <c r="F8">
        <v>65</v>
      </c>
      <c r="G8">
        <v>6875.5</v>
      </c>
      <c r="H8">
        <f t="shared" si="4"/>
        <v>-1.6628134920635051</v>
      </c>
      <c r="I8">
        <f t="shared" si="0"/>
        <v>-5.7884373015875505</v>
      </c>
      <c r="J8">
        <f t="shared" si="1"/>
        <v>-0.84189328799178975</v>
      </c>
      <c r="K8">
        <f t="shared" si="5"/>
        <v>-1.0982619047619014E-2</v>
      </c>
      <c r="L8">
        <f t="shared" si="6"/>
        <v>-7.416111111111112E-3</v>
      </c>
      <c r="M8">
        <f t="shared" si="7"/>
        <v>-9.1993650793650624E-3</v>
      </c>
      <c r="N8">
        <f t="shared" si="8"/>
        <v>-2.3170398974317319E-5</v>
      </c>
      <c r="O8" s="3">
        <f t="shared" si="9"/>
        <v>-0.23170398974317319</v>
      </c>
    </row>
    <row r="9" spans="1:15" x14ac:dyDescent="0.25">
      <c r="A9">
        <v>60</v>
      </c>
      <c r="B9" s="3">
        <v>3.9991904761904764</v>
      </c>
      <c r="C9" s="3">
        <v>3.9826333333333332</v>
      </c>
      <c r="D9">
        <f t="shared" si="2"/>
        <v>-1.6557142857143159E-2</v>
      </c>
      <c r="E9">
        <f t="shared" si="3"/>
        <v>-1.3375396825396679E-2</v>
      </c>
      <c r="F9">
        <v>65</v>
      </c>
      <c r="G9">
        <v>6622.75</v>
      </c>
      <c r="H9">
        <f t="shared" si="4"/>
        <v>-0.86940079365078415</v>
      </c>
      <c r="I9">
        <f>I10+H9</f>
        <v>-4.1256238095240452</v>
      </c>
      <c r="J9">
        <f>(I9/G9)*1000</f>
        <v>-0.62294723634804949</v>
      </c>
      <c r="K9">
        <f t="shared" si="5"/>
        <v>-6.6578571428571598E-3</v>
      </c>
      <c r="L9">
        <f t="shared" si="6"/>
        <v>-5.4372222222222044E-3</v>
      </c>
      <c r="M9">
        <f t="shared" si="7"/>
        <v>-6.0475396825396821E-3</v>
      </c>
      <c r="N9">
        <f t="shared" si="8"/>
        <v>-2.6079956092431878E-5</v>
      </c>
      <c r="O9" s="3">
        <f>N9*10000</f>
        <v>-0.26079956092431877</v>
      </c>
    </row>
    <row r="10" spans="1:15" x14ac:dyDescent="0.25">
      <c r="A10">
        <v>70</v>
      </c>
      <c r="B10" s="3">
        <v>3.9441047619047613</v>
      </c>
      <c r="C10" s="3">
        <v>3.9339111111111111</v>
      </c>
      <c r="D10">
        <f t="shared" si="2"/>
        <v>-1.01936507936502E-2</v>
      </c>
      <c r="E10">
        <f t="shared" si="3"/>
        <v>-1.6034126984126651E-2</v>
      </c>
      <c r="F10">
        <v>65</v>
      </c>
      <c r="G10">
        <v>6370</v>
      </c>
      <c r="H10">
        <f>E10*F10</f>
        <v>-1.0422182539682323</v>
      </c>
      <c r="I10">
        <f t="shared" si="0"/>
        <v>-3.2562230158732612</v>
      </c>
      <c r="J10">
        <f t="shared" si="1"/>
        <v>-0.51118100720145399</v>
      </c>
      <c r="K10">
        <f t="shared" si="5"/>
        <v>-4.0019047619047395E-3</v>
      </c>
      <c r="L10">
        <f t="shared" si="6"/>
        <v>-4.2677777777777367E-3</v>
      </c>
      <c r="M10">
        <f t="shared" si="7"/>
        <v>-4.1348412698412381E-3</v>
      </c>
      <c r="N10">
        <f t="shared" si="8"/>
        <v>-3.1300421524291941E-5</v>
      </c>
      <c r="O10" s="3">
        <f t="shared" si="9"/>
        <v>-0.31300421524291938</v>
      </c>
    </row>
    <row r="11" spans="1:15" x14ac:dyDescent="0.25">
      <c r="A11">
        <v>80</v>
      </c>
      <c r="B11" s="3">
        <v>3.9191523809523816</v>
      </c>
      <c r="C11" s="3">
        <v>3.8972777777777785</v>
      </c>
      <c r="D11">
        <f t="shared" si="2"/>
        <v>-2.1874603174603102E-2</v>
      </c>
      <c r="E11">
        <f>(D11+D12)/2</f>
        <v>-2.5184126984127087E-2</v>
      </c>
      <c r="F11">
        <v>65</v>
      </c>
      <c r="G11">
        <v>6223</v>
      </c>
      <c r="H11">
        <f t="shared" si="4"/>
        <v>-1.6369682539682606</v>
      </c>
      <c r="I11">
        <f t="shared" si="0"/>
        <v>-2.2140047619050289</v>
      </c>
      <c r="J11">
        <f t="shared" si="1"/>
        <v>-0.35577772166238614</v>
      </c>
      <c r="K11">
        <f t="shared" si="5"/>
        <v>-2.8199999999999558E-3</v>
      </c>
      <c r="L11">
        <f t="shared" si="6"/>
        <v>-3.7349999999999996E-3</v>
      </c>
      <c r="M11">
        <f t="shared" si="7"/>
        <v>-3.2774999999999775E-3</v>
      </c>
      <c r="N11">
        <f t="shared" si="8"/>
        <v>-2.7483394289643339E-5</v>
      </c>
      <c r="O11" s="3">
        <f t="shared" si="9"/>
        <v>-0.27483394289643337</v>
      </c>
    </row>
    <row r="12" spans="1:15" x14ac:dyDescent="0.25">
      <c r="A12">
        <v>90</v>
      </c>
      <c r="B12" s="3">
        <v>3.8877047619047622</v>
      </c>
      <c r="C12" s="3">
        <v>3.8592111111111111</v>
      </c>
      <c r="D12">
        <f t="shared" si="2"/>
        <v>-2.8493650793651071E-2</v>
      </c>
      <c r="E12">
        <f t="shared" si="3"/>
        <v>-2.3116666666666452E-2</v>
      </c>
      <c r="F12">
        <v>65</v>
      </c>
      <c r="G12">
        <v>6076</v>
      </c>
      <c r="H12">
        <f t="shared" si="4"/>
        <v>-1.5025833333333194</v>
      </c>
      <c r="I12">
        <f t="shared" si="0"/>
        <v>-0.57703650793676853</v>
      </c>
      <c r="J12">
        <f t="shared" si="1"/>
        <v>-9.4969800516255518E-2</v>
      </c>
      <c r="K12">
        <f t="shared" si="5"/>
        <v>-3.0761904761905214E-3</v>
      </c>
      <c r="L12">
        <f t="shared" si="6"/>
        <v>-2.8694444444444579E-3</v>
      </c>
      <c r="M12">
        <f t="shared" si="7"/>
        <v>-2.9728174603174898E-3</v>
      </c>
      <c r="N12">
        <f t="shared" si="8"/>
        <v>-8.0881947896783899E-6</v>
      </c>
      <c r="O12" s="3">
        <f t="shared" si="9"/>
        <v>-8.0881947896783893E-2</v>
      </c>
    </row>
    <row r="13" spans="1:15" x14ac:dyDescent="0.25">
      <c r="A13">
        <v>100</v>
      </c>
      <c r="B13" s="3">
        <v>3.8576285714285712</v>
      </c>
      <c r="C13" s="3">
        <v>3.8398888888888894</v>
      </c>
      <c r="D13">
        <f t="shared" si="2"/>
        <v>-1.7739682539681834E-2</v>
      </c>
      <c r="E13">
        <f t="shared" si="3"/>
        <v>-1.5727777777777785E-2</v>
      </c>
      <c r="F13">
        <v>315</v>
      </c>
      <c r="G13">
        <v>5919</v>
      </c>
      <c r="H13">
        <f t="shared" si="4"/>
        <v>-4.9542500000000018</v>
      </c>
      <c r="I13">
        <f t="shared" si="0"/>
        <v>0.92554682539655087</v>
      </c>
      <c r="J13">
        <f t="shared" si="1"/>
        <v>0.15636878280056613</v>
      </c>
      <c r="K13">
        <f t="shared" si="5"/>
        <v>-2.2022222222222239E-3</v>
      </c>
      <c r="L13">
        <f t="shared" si="6"/>
        <v>-1.9559259259259352E-3</v>
      </c>
      <c r="M13">
        <f t="shared" si="7"/>
        <v>-2.0790740740740795E-3</v>
      </c>
      <c r="N13">
        <f t="shared" si="8"/>
        <v>1.904208116461468E-5</v>
      </c>
      <c r="O13" s="3">
        <f t="shared" si="9"/>
        <v>0.1904208116461468</v>
      </c>
    </row>
    <row r="14" spans="1:15" x14ac:dyDescent="0.25">
      <c r="A14">
        <v>150</v>
      </c>
      <c r="B14" s="3">
        <v>3.7555714285714288</v>
      </c>
      <c r="C14" s="3">
        <v>3.741855555555555</v>
      </c>
      <c r="D14">
        <f t="shared" si="2"/>
        <v>-1.3715873015873736E-2</v>
      </c>
      <c r="E14">
        <f t="shared" si="3"/>
        <v>-1.3753174603175156E-2</v>
      </c>
      <c r="F14">
        <v>311</v>
      </c>
      <c r="G14">
        <v>5762</v>
      </c>
      <c r="H14">
        <f t="shared" si="4"/>
        <v>-4.2772373015874736</v>
      </c>
      <c r="I14">
        <f t="shared" si="0"/>
        <v>5.8797968253965527</v>
      </c>
      <c r="J14">
        <f t="shared" si="1"/>
        <v>1.0204437392218939</v>
      </c>
      <c r="K14">
        <f t="shared" si="5"/>
        <v>-1.7643809523809485E-3</v>
      </c>
      <c r="L14">
        <f t="shared" si="6"/>
        <v>-1.7248888888888958E-3</v>
      </c>
      <c r="M14">
        <f t="shared" si="7"/>
        <v>-1.7446349206349221E-3</v>
      </c>
      <c r="N14">
        <f t="shared" si="8"/>
        <v>1.480876439488126E-4</v>
      </c>
      <c r="O14" s="3">
        <f t="shared" si="9"/>
        <v>1.480876439488126</v>
      </c>
    </row>
    <row r="15" spans="1:15" x14ac:dyDescent="0.25">
      <c r="A15">
        <v>200</v>
      </c>
      <c r="B15" s="3">
        <v>3.6811904761904763</v>
      </c>
      <c r="C15" s="3">
        <v>3.6673999999999998</v>
      </c>
      <c r="D15">
        <f t="shared" si="2"/>
        <v>-1.3790476190476575E-2</v>
      </c>
      <c r="E15">
        <f t="shared" si="3"/>
        <v>-1.0852380952381502E-2</v>
      </c>
      <c r="F15">
        <v>305</v>
      </c>
      <c r="G15">
        <v>5461</v>
      </c>
      <c r="H15">
        <f t="shared" si="4"/>
        <v>-3.309976190476358</v>
      </c>
      <c r="I15">
        <f t="shared" si="0"/>
        <v>10.157034126984026</v>
      </c>
      <c r="J15">
        <f t="shared" si="1"/>
        <v>1.8599220155619898</v>
      </c>
      <c r="K15">
        <f t="shared" si="5"/>
        <v>-1.3295714285714232E-3</v>
      </c>
      <c r="L15">
        <f t="shared" si="6"/>
        <v>-1.2715555555555503E-3</v>
      </c>
      <c r="M15">
        <f t="shared" si="7"/>
        <v>-1.3005634920634868E-3</v>
      </c>
      <c r="N15">
        <f t="shared" si="8"/>
        <v>3.6207412974344775E-4</v>
      </c>
      <c r="O15" s="3">
        <f t="shared" si="9"/>
        <v>3.6207412974344773</v>
      </c>
    </row>
    <row r="16" spans="1:15" x14ac:dyDescent="0.25">
      <c r="A16">
        <v>250</v>
      </c>
      <c r="B16" s="3">
        <v>3.6226142857142865</v>
      </c>
      <c r="C16" s="3">
        <v>3.6147</v>
      </c>
      <c r="D16">
        <f t="shared" si="2"/>
        <v>-7.9142857142864287E-3</v>
      </c>
      <c r="E16">
        <f t="shared" si="3"/>
        <v>3.198412698410813E-4</v>
      </c>
      <c r="F16">
        <v>298</v>
      </c>
      <c r="G16">
        <v>5186</v>
      </c>
      <c r="H16">
        <f t="shared" si="4"/>
        <v>9.5312698412642227E-2</v>
      </c>
      <c r="I16">
        <f t="shared" si="0"/>
        <v>13.467010317460385</v>
      </c>
      <c r="J16">
        <f t="shared" si="1"/>
        <v>2.5968010639144592</v>
      </c>
      <c r="K16">
        <f t="shared" si="5"/>
        <v>-1.124000000000005E-3</v>
      </c>
      <c r="L16">
        <f t="shared" si="6"/>
        <v>-9.0055555555555332E-4</v>
      </c>
      <c r="M16">
        <f t="shared" si="7"/>
        <v>-1.012277777777779E-3</v>
      </c>
      <c r="N16">
        <f t="shared" si="8"/>
        <v>6.4949123805320278E-4</v>
      </c>
      <c r="O16" s="3">
        <f t="shared" si="9"/>
        <v>6.4949123805320275</v>
      </c>
    </row>
    <row r="17" spans="1:15" x14ac:dyDescent="0.25">
      <c r="A17">
        <v>300</v>
      </c>
      <c r="B17" s="3">
        <v>3.5687904761904758</v>
      </c>
      <c r="C17" s="3">
        <v>3.5773444444444444</v>
      </c>
      <c r="D17">
        <f t="shared" si="2"/>
        <v>8.5539682539685913E-3</v>
      </c>
      <c r="E17">
        <f t="shared" si="3"/>
        <v>1.0033333333333339E-2</v>
      </c>
      <c r="F17">
        <v>289</v>
      </c>
      <c r="G17">
        <v>4893</v>
      </c>
      <c r="H17">
        <f t="shared" si="4"/>
        <v>2.8996333333333348</v>
      </c>
      <c r="I17">
        <f t="shared" si="0"/>
        <v>13.371697619047744</v>
      </c>
      <c r="J17">
        <f t="shared" si="1"/>
        <v>2.7328219127422324</v>
      </c>
      <c r="K17">
        <f t="shared" si="5"/>
        <v>-9.0904761904762486E-4</v>
      </c>
      <c r="L17">
        <f t="shared" si="6"/>
        <v>-7.1477777777777978E-4</v>
      </c>
      <c r="M17">
        <f t="shared" si="7"/>
        <v>-8.1191269841270237E-4</v>
      </c>
      <c r="N17">
        <f t="shared" si="8"/>
        <v>8.5218977044174843E-4</v>
      </c>
      <c r="O17" s="3">
        <f t="shared" si="9"/>
        <v>8.5218977044174835</v>
      </c>
    </row>
    <row r="18" spans="1:15" x14ac:dyDescent="0.25">
      <c r="A18">
        <v>350</v>
      </c>
      <c r="B18" s="3">
        <v>3.531709523809524</v>
      </c>
      <c r="C18" s="3">
        <v>3.5432222222222221</v>
      </c>
      <c r="D18">
        <f t="shared" si="2"/>
        <v>1.1512698412698086E-2</v>
      </c>
      <c r="E18">
        <f t="shared" si="3"/>
        <v>9.7396825396824926E-3</v>
      </c>
      <c r="F18">
        <v>284</v>
      </c>
      <c r="G18">
        <v>4615</v>
      </c>
      <c r="H18">
        <f t="shared" si="4"/>
        <v>2.7660698412698279</v>
      </c>
      <c r="I18">
        <f t="shared" si="0"/>
        <v>10.47206428571441</v>
      </c>
      <c r="J18">
        <f t="shared" si="1"/>
        <v>2.2691363566011722</v>
      </c>
      <c r="K18">
        <f t="shared" si="5"/>
        <v>-6.4490476190476103E-4</v>
      </c>
      <c r="L18">
        <f t="shared" si="6"/>
        <v>-6.507777777777779E-4</v>
      </c>
      <c r="M18">
        <f t="shared" si="7"/>
        <v>-6.4784126984126947E-4</v>
      </c>
      <c r="N18">
        <f t="shared" si="8"/>
        <v>8.8680126254809188E-4</v>
      </c>
      <c r="O18" s="3">
        <f t="shared" si="9"/>
        <v>8.8680126254809188</v>
      </c>
    </row>
    <row r="19" spans="1:15" x14ac:dyDescent="0.25">
      <c r="A19">
        <v>400</v>
      </c>
      <c r="B19" s="3">
        <v>3.5042999999999997</v>
      </c>
      <c r="C19" s="3">
        <v>3.5122666666666666</v>
      </c>
      <c r="D19">
        <f t="shared" si="2"/>
        <v>7.9666666666668995E-3</v>
      </c>
      <c r="E19">
        <f t="shared" si="3"/>
        <v>7.140476190475642E-3</v>
      </c>
      <c r="F19">
        <v>279</v>
      </c>
      <c r="G19">
        <v>4306</v>
      </c>
      <c r="H19">
        <f t="shared" si="4"/>
        <v>1.9921928571427041</v>
      </c>
      <c r="I19">
        <f t="shared" si="0"/>
        <v>7.7059944444445829</v>
      </c>
      <c r="J19">
        <f t="shared" si="1"/>
        <v>1.7895946224906139</v>
      </c>
      <c r="K19">
        <f t="shared" si="5"/>
        <v>-4.9157142857142238E-4</v>
      </c>
      <c r="L19">
        <f t="shared" si="6"/>
        <v>-5.4355555555555938E-4</v>
      </c>
      <c r="M19">
        <f t="shared" si="7"/>
        <v>-5.1756349206349083E-4</v>
      </c>
      <c r="N19">
        <f t="shared" si="8"/>
        <v>8.7543791296996944E-4</v>
      </c>
      <c r="O19" s="3">
        <f t="shared" si="9"/>
        <v>8.7543791296996947</v>
      </c>
    </row>
    <row r="20" spans="1:15" x14ac:dyDescent="0.25">
      <c r="A20">
        <v>450</v>
      </c>
      <c r="B20" s="3">
        <v>3.4825523809523817</v>
      </c>
      <c r="C20" s="3">
        <v>3.4888666666666661</v>
      </c>
      <c r="D20">
        <f t="shared" si="2"/>
        <v>6.3142857142843845E-3</v>
      </c>
      <c r="E20">
        <f t="shared" si="3"/>
        <v>6.057142857142539E-3</v>
      </c>
      <c r="F20">
        <v>271</v>
      </c>
      <c r="G20">
        <v>3966</v>
      </c>
      <c r="H20">
        <f t="shared" si="4"/>
        <v>1.6414857142856281</v>
      </c>
      <c r="I20">
        <f t="shared" si="0"/>
        <v>5.7138015873018793</v>
      </c>
      <c r="J20">
        <f t="shared" si="1"/>
        <v>1.4406963155072818</v>
      </c>
      <c r="K20">
        <f t="shared" si="5"/>
        <v>-4.2666666666666406E-4</v>
      </c>
      <c r="L20">
        <f t="shared" si="6"/>
        <v>-4.4833333333332614E-4</v>
      </c>
      <c r="M20">
        <f t="shared" si="7"/>
        <v>-4.3749999999999508E-4</v>
      </c>
      <c r="N20">
        <f t="shared" si="8"/>
        <v>8.3373629369627722E-4</v>
      </c>
      <c r="O20" s="3">
        <f t="shared" si="9"/>
        <v>8.3373629369627729</v>
      </c>
    </row>
    <row r="21" spans="1:15" x14ac:dyDescent="0.25">
      <c r="A21">
        <v>500</v>
      </c>
      <c r="B21" s="3">
        <v>3.4616333333333333</v>
      </c>
      <c r="C21" s="3">
        <v>3.467433333333334</v>
      </c>
      <c r="D21">
        <f t="shared" si="2"/>
        <v>5.8000000000006935E-3</v>
      </c>
      <c r="E21">
        <f t="shared" si="3"/>
        <v>5.2452380952385802E-3</v>
      </c>
      <c r="F21">
        <v>262</v>
      </c>
      <c r="G21">
        <v>3571</v>
      </c>
      <c r="H21">
        <f t="shared" si="4"/>
        <v>1.374252380952508</v>
      </c>
      <c r="I21">
        <f t="shared" si="0"/>
        <v>4.072315873016251</v>
      </c>
      <c r="J21">
        <f t="shared" si="1"/>
        <v>1.1403852906794318</v>
      </c>
      <c r="K21">
        <f t="shared" si="5"/>
        <v>-3.860952380952476E-4</v>
      </c>
      <c r="L21">
        <f t="shared" si="6"/>
        <v>-4.0233333333332676E-4</v>
      </c>
      <c r="M21">
        <f t="shared" si="7"/>
        <v>-3.9421428571428718E-4</v>
      </c>
      <c r="N21">
        <f t="shared" si="8"/>
        <v>7.3240882353918567E-4</v>
      </c>
      <c r="O21" s="3">
        <f t="shared" si="9"/>
        <v>7.3240882353918568</v>
      </c>
    </row>
    <row r="22" spans="1:15" x14ac:dyDescent="0.25">
      <c r="A22">
        <v>550</v>
      </c>
      <c r="B22" s="3">
        <v>3.443942857142857</v>
      </c>
      <c r="C22" s="3">
        <v>3.4486333333333334</v>
      </c>
      <c r="D22">
        <f t="shared" si="2"/>
        <v>4.6904761904764669E-3</v>
      </c>
      <c r="E22">
        <f t="shared" si="3"/>
        <v>4.3373015873020559E-3</v>
      </c>
      <c r="F22">
        <v>251</v>
      </c>
      <c r="G22">
        <v>3239</v>
      </c>
      <c r="H22">
        <f t="shared" si="4"/>
        <v>1.088662698412816</v>
      </c>
      <c r="I22">
        <f t="shared" si="0"/>
        <v>2.698063492063743</v>
      </c>
      <c r="J22">
        <f t="shared" si="1"/>
        <v>0.83299274222406383</v>
      </c>
      <c r="K22">
        <f t="shared" si="5"/>
        <v>-3.042857142857214E-4</v>
      </c>
      <c r="L22">
        <f t="shared" si="6"/>
        <v>-3.2244444444445185E-4</v>
      </c>
      <c r="M22">
        <f t="shared" si="7"/>
        <v>-3.1336507936508662E-4</v>
      </c>
      <c r="N22">
        <f t="shared" si="8"/>
        <v>6.7301530183663642E-4</v>
      </c>
      <c r="O22" s="3">
        <f t="shared" si="9"/>
        <v>6.730153018366364</v>
      </c>
    </row>
    <row r="23" spans="1:15" x14ac:dyDescent="0.25">
      <c r="A23">
        <v>600</v>
      </c>
      <c r="B23" s="3">
        <v>3.4312047619047612</v>
      </c>
      <c r="C23" s="3">
        <v>3.4351888888888888</v>
      </c>
      <c r="D23">
        <f t="shared" si="2"/>
        <v>3.984126984127645E-3</v>
      </c>
      <c r="E23">
        <f t="shared" si="3"/>
        <v>3.6880952380955456E-3</v>
      </c>
      <c r="F23">
        <v>240</v>
      </c>
      <c r="G23">
        <v>2767</v>
      </c>
      <c r="H23">
        <f t="shared" si="4"/>
        <v>0.88514285714293095</v>
      </c>
      <c r="I23">
        <f>I24+H23</f>
        <v>1.6094007936509269</v>
      </c>
      <c r="J23">
        <f t="shared" si="1"/>
        <v>0.5816410529999736</v>
      </c>
      <c r="K23">
        <f t="shared" si="5"/>
        <v>-2.4657142857142933E-4</v>
      </c>
      <c r="L23">
        <f t="shared" si="6"/>
        <v>-2.5955555555555953E-4</v>
      </c>
      <c r="M23">
        <f t="shared" si="7"/>
        <v>-2.5306349206349443E-4</v>
      </c>
      <c r="N23">
        <f t="shared" si="8"/>
        <v>5.8191543206404601E-4</v>
      </c>
      <c r="O23" s="3">
        <f t="shared" si="9"/>
        <v>5.8191543206404601</v>
      </c>
    </row>
    <row r="24" spans="1:15" x14ac:dyDescent="0.25">
      <c r="A24">
        <v>650</v>
      </c>
      <c r="B24" s="3">
        <v>3.419285714285714</v>
      </c>
      <c r="C24" s="3">
        <v>3.4226777777777775</v>
      </c>
      <c r="D24">
        <f t="shared" si="2"/>
        <v>3.3920634920634463E-3</v>
      </c>
      <c r="E24">
        <f t="shared" si="3"/>
        <v>3.1626984126986724E-3</v>
      </c>
      <c r="F24">
        <v>229</v>
      </c>
      <c r="G24">
        <v>2129</v>
      </c>
      <c r="H24">
        <f t="shared" si="4"/>
        <v>0.72425793650799597</v>
      </c>
      <c r="I24">
        <f>H24</f>
        <v>0.72425793650799597</v>
      </c>
      <c r="J24">
        <f>(I24/G24)*1000</f>
        <v>0.34018691240394361</v>
      </c>
      <c r="K24">
        <f t="shared" si="5"/>
        <v>-2.1704761904761671E-4</v>
      </c>
      <c r="L24">
        <f t="shared" si="6"/>
        <v>-2.2755555555555417E-4</v>
      </c>
      <c r="M24">
        <f t="shared" si="7"/>
        <v>-2.2230158730158545E-4</v>
      </c>
      <c r="N24">
        <f t="shared" si="8"/>
        <v>3.8744437226176338E-4</v>
      </c>
      <c r="O24" s="3">
        <f t="shared" si="9"/>
        <v>3.8744437226176336</v>
      </c>
    </row>
    <row r="25" spans="1:15" x14ac:dyDescent="0.25">
      <c r="A25">
        <v>700</v>
      </c>
      <c r="B25" s="3">
        <v>3.4094999999999995</v>
      </c>
      <c r="C25" s="3">
        <v>3.4124333333333334</v>
      </c>
      <c r="D25">
        <f t="shared" si="2"/>
        <v>2.9333333333338985E-3</v>
      </c>
      <c r="E25">
        <f t="shared" si="3"/>
        <v>2.6095238095242834E-3</v>
      </c>
      <c r="F25" s="3">
        <v>216</v>
      </c>
      <c r="G25">
        <v>2130</v>
      </c>
      <c r="H25">
        <f t="shared" si="4"/>
        <v>0.56365714285724522</v>
      </c>
      <c r="I25">
        <f t="shared" ref="I25:I38" si="10">H25</f>
        <v>0.56365714285724522</v>
      </c>
      <c r="J25">
        <f t="shared" ref="J25:J38" si="11">(I25/G25)*1000</f>
        <v>0.26462776659964565</v>
      </c>
      <c r="K25">
        <f t="shared" si="5"/>
        <v>-1.8238095238094941E-4</v>
      </c>
      <c r="L25">
        <f t="shared" si="6"/>
        <v>-1.934444444444372E-4</v>
      </c>
      <c r="M25">
        <f t="shared" si="7"/>
        <v>-1.8791269841269331E-4</v>
      </c>
      <c r="N25">
        <f t="shared" si="8"/>
        <v>3.5654438520301129E-4</v>
      </c>
      <c r="O25" s="3">
        <f t="shared" si="9"/>
        <v>3.5654438520301128</v>
      </c>
    </row>
    <row r="26" spans="1:15" x14ac:dyDescent="0.25">
      <c r="A26">
        <v>750</v>
      </c>
      <c r="B26" s="3">
        <v>3.4010476190476191</v>
      </c>
      <c r="C26" s="3">
        <v>3.4033333333333338</v>
      </c>
      <c r="D26">
        <f t="shared" si="2"/>
        <v>2.2857142857146684E-3</v>
      </c>
      <c r="E26">
        <f t="shared" si="3"/>
        <v>3.0595238095236788E-3</v>
      </c>
      <c r="F26" s="3">
        <v>205</v>
      </c>
      <c r="G26">
        <v>2131</v>
      </c>
      <c r="H26">
        <f t="shared" si="4"/>
        <v>0.62720238095235414</v>
      </c>
      <c r="I26">
        <f t="shared" si="10"/>
        <v>0.62720238095235414</v>
      </c>
      <c r="J26">
        <f t="shared" si="11"/>
        <v>0.294323031887543</v>
      </c>
      <c r="K26">
        <f t="shared" si="5"/>
        <v>-1.6533333333332401E-4</v>
      </c>
      <c r="L26">
        <f t="shared" si="6"/>
        <v>-1.5633333333333609E-4</v>
      </c>
      <c r="M26">
        <f t="shared" si="7"/>
        <v>-1.6083333333333005E-4</v>
      </c>
      <c r="N26">
        <f t="shared" si="8"/>
        <v>4.6332155458689907E-4</v>
      </c>
      <c r="O26" s="3">
        <f t="shared" si="9"/>
        <v>4.6332155458689908</v>
      </c>
    </row>
    <row r="27" spans="1:15" x14ac:dyDescent="0.25">
      <c r="A27">
        <v>800</v>
      </c>
      <c r="B27" s="3">
        <v>3.3929666666666671</v>
      </c>
      <c r="C27" s="3">
        <v>3.3967999999999998</v>
      </c>
      <c r="D27">
        <f t="shared" si="2"/>
        <v>3.8333333333326891E-3</v>
      </c>
      <c r="E27">
        <f t="shared" si="3"/>
        <v>3.3055555555554506E-3</v>
      </c>
      <c r="F27" s="3">
        <v>192</v>
      </c>
      <c r="G27">
        <v>2132</v>
      </c>
      <c r="H27">
        <f t="shared" si="4"/>
        <v>0.63466666666664651</v>
      </c>
      <c r="I27">
        <f t="shared" si="10"/>
        <v>0.63466666666664651</v>
      </c>
      <c r="J27">
        <f t="shared" si="11"/>
        <v>0.2976860537836053</v>
      </c>
      <c r="K27">
        <f t="shared" si="5"/>
        <v>-1.4014285714286423E-4</v>
      </c>
      <c r="L27">
        <f t="shared" si="6"/>
        <v>-1.3522222222222879E-4</v>
      </c>
      <c r="M27">
        <f t="shared" si="7"/>
        <v>-1.3768253968254651E-4</v>
      </c>
      <c r="N27">
        <f t="shared" si="8"/>
        <v>5.4741152901400917E-4</v>
      </c>
      <c r="O27" s="3">
        <f t="shared" si="9"/>
        <v>5.4741152901400918</v>
      </c>
    </row>
    <row r="28" spans="1:15" x14ac:dyDescent="0.25">
      <c r="A28">
        <v>850</v>
      </c>
      <c r="B28" s="3">
        <v>3.3870333333333327</v>
      </c>
      <c r="C28" s="3">
        <v>3.3898111111111109</v>
      </c>
      <c r="D28">
        <f t="shared" si="2"/>
        <v>2.777777777778212E-3</v>
      </c>
      <c r="E28">
        <f t="shared" si="3"/>
        <v>2.2802777777781724E-3</v>
      </c>
      <c r="F28" s="3">
        <v>181</v>
      </c>
      <c r="G28">
        <v>2133</v>
      </c>
      <c r="H28">
        <f t="shared" si="4"/>
        <v>0.41273027777784921</v>
      </c>
      <c r="I28">
        <f t="shared" si="10"/>
        <v>0.41273027777784921</v>
      </c>
      <c r="J28">
        <f t="shared" si="11"/>
        <v>0.19349755170082006</v>
      </c>
      <c r="K28">
        <f t="shared" si="5"/>
        <v>-1.1371666666667668E-4</v>
      </c>
      <c r="L28">
        <f t="shared" si="6"/>
        <v>-1.3422222222222224E-4</v>
      </c>
      <c r="M28">
        <f t="shared" si="7"/>
        <v>-1.2396944444444946E-4</v>
      </c>
      <c r="N28">
        <f t="shared" si="8"/>
        <v>3.9518016531243537E-4</v>
      </c>
      <c r="O28" s="3">
        <f t="shared" si="9"/>
        <v>3.9518016531243538</v>
      </c>
    </row>
    <row r="29" spans="1:15" x14ac:dyDescent="0.25">
      <c r="A29">
        <v>900</v>
      </c>
      <c r="B29" s="3">
        <v>3.3815949999999995</v>
      </c>
      <c r="C29" s="3">
        <v>3.3833777777777776</v>
      </c>
      <c r="D29">
        <f t="shared" si="2"/>
        <v>1.7827777777781328E-3</v>
      </c>
      <c r="E29">
        <f t="shared" si="3"/>
        <v>2.2427777777780378E-3</v>
      </c>
      <c r="F29" s="3">
        <v>177</v>
      </c>
      <c r="G29">
        <v>2134</v>
      </c>
      <c r="H29">
        <f t="shared" si="4"/>
        <v>0.39697166666671269</v>
      </c>
      <c r="I29">
        <f t="shared" si="10"/>
        <v>0.39697166666671269</v>
      </c>
      <c r="J29">
        <f t="shared" si="11"/>
        <v>0.18602233676978103</v>
      </c>
      <c r="K29">
        <f t="shared" si="5"/>
        <v>-1.1358333333332915E-4</v>
      </c>
      <c r="L29">
        <f t="shared" si="6"/>
        <v>-1.1433333333333185E-4</v>
      </c>
      <c r="M29">
        <f t="shared" si="7"/>
        <v>-1.139583333333305E-4</v>
      </c>
      <c r="N29">
        <f t="shared" si="8"/>
        <v>4.1328850465556483E-4</v>
      </c>
      <c r="O29" s="3">
        <f t="shared" si="9"/>
        <v>4.1328850465556481</v>
      </c>
    </row>
    <row r="30" spans="1:15" x14ac:dyDescent="0.25">
      <c r="A30">
        <v>950</v>
      </c>
      <c r="B30" s="3">
        <v>3.3756749999999998</v>
      </c>
      <c r="C30" s="3">
        <v>3.3783777777777777</v>
      </c>
      <c r="D30">
        <f t="shared" si="2"/>
        <v>2.7027777777779427E-3</v>
      </c>
      <c r="E30">
        <f t="shared" si="3"/>
        <v>2.8938888888891956E-3</v>
      </c>
      <c r="F30" s="3">
        <v>172</v>
      </c>
      <c r="G30">
        <v>2135</v>
      </c>
      <c r="H30">
        <f t="shared" si="4"/>
        <v>0.49774888888894164</v>
      </c>
      <c r="I30">
        <f t="shared" si="10"/>
        <v>0.49774888888894164</v>
      </c>
      <c r="J30">
        <f t="shared" si="11"/>
        <v>0.23313765287538252</v>
      </c>
      <c r="K30">
        <f t="shared" si="5"/>
        <v>-1.02799999999994E-4</v>
      </c>
      <c r="L30">
        <f t="shared" si="6"/>
        <v>-8.977777777777085E-5</v>
      </c>
      <c r="M30">
        <f t="shared" si="7"/>
        <v>-9.6288888888882432E-5</v>
      </c>
      <c r="N30">
        <f t="shared" si="8"/>
        <v>6.1301424107730292E-4</v>
      </c>
      <c r="O30" s="3">
        <f t="shared" si="9"/>
        <v>6.1301424107730291</v>
      </c>
    </row>
    <row r="31" spans="1:15" x14ac:dyDescent="0.25">
      <c r="A31">
        <v>1000</v>
      </c>
      <c r="B31" s="3">
        <v>3.3713150000000001</v>
      </c>
      <c r="C31" s="3">
        <v>3.3744000000000005</v>
      </c>
      <c r="D31">
        <f t="shared" si="2"/>
        <v>3.0850000000004485E-3</v>
      </c>
      <c r="E31">
        <f t="shared" si="3"/>
        <v>2.8077777777777424E-3</v>
      </c>
      <c r="F31" s="3">
        <v>167</v>
      </c>
      <c r="G31">
        <v>2136</v>
      </c>
      <c r="H31">
        <f t="shared" si="4"/>
        <v>0.46889888888888298</v>
      </c>
      <c r="I31">
        <f t="shared" si="10"/>
        <v>0.46889888888888298</v>
      </c>
      <c r="J31">
        <f t="shared" si="11"/>
        <v>0.21952195172700514</v>
      </c>
      <c r="K31">
        <f t="shared" si="5"/>
        <v>-7.6499999999994907E-5</v>
      </c>
      <c r="L31">
        <f t="shared" si="6"/>
        <v>-7.8222222222223964E-5</v>
      </c>
      <c r="M31">
        <f t="shared" si="7"/>
        <v>-7.7361111111109429E-5</v>
      </c>
      <c r="N31">
        <f t="shared" si="8"/>
        <v>7.1843846409753228E-4</v>
      </c>
      <c r="O31" s="3">
        <f t="shared" si="9"/>
        <v>7.1843846409753231</v>
      </c>
    </row>
    <row r="32" spans="1:15" x14ac:dyDescent="0.25">
      <c r="A32">
        <v>1050</v>
      </c>
      <c r="B32" s="3">
        <v>3.3680250000000003</v>
      </c>
      <c r="C32" s="3">
        <v>3.3705555555555553</v>
      </c>
      <c r="D32">
        <f t="shared" si="2"/>
        <v>2.5305555555550363E-3</v>
      </c>
      <c r="E32">
        <f t="shared" si="3"/>
        <v>2.2036111111107815E-3</v>
      </c>
      <c r="F32" s="3">
        <v>160</v>
      </c>
      <c r="G32">
        <v>2137</v>
      </c>
      <c r="H32">
        <f t="shared" si="4"/>
        <v>0.35257777777772503</v>
      </c>
      <c r="I32">
        <f t="shared" si="10"/>
        <v>0.35257777777772503</v>
      </c>
      <c r="J32">
        <f t="shared" si="11"/>
        <v>0.16498726147764392</v>
      </c>
      <c r="K32">
        <f t="shared" si="5"/>
        <v>-5.9249999999995138E-5</v>
      </c>
      <c r="L32">
        <f t="shared" si="6"/>
        <v>-7.1333333333334353E-5</v>
      </c>
      <c r="M32">
        <f t="shared" si="7"/>
        <v>-6.5291666666664753E-5</v>
      </c>
      <c r="N32">
        <f t="shared" si="8"/>
        <v>6.3977457718627931E-4</v>
      </c>
      <c r="O32" s="3">
        <f t="shared" si="9"/>
        <v>6.3977457718627928</v>
      </c>
    </row>
    <row r="33" spans="1:15" x14ac:dyDescent="0.25">
      <c r="A33">
        <v>1100</v>
      </c>
      <c r="B33" s="3">
        <v>3.3653900000000005</v>
      </c>
      <c r="C33" s="3">
        <v>3.3672666666666671</v>
      </c>
      <c r="D33">
        <f t="shared" si="2"/>
        <v>1.8766666666665266E-3</v>
      </c>
      <c r="E33">
        <f t="shared" si="3"/>
        <v>1.7147222222222425E-3</v>
      </c>
      <c r="F33" s="3">
        <v>151</v>
      </c>
      <c r="G33">
        <v>2138</v>
      </c>
      <c r="H33">
        <f t="shared" si="4"/>
        <v>0.25892305555555861</v>
      </c>
      <c r="I33">
        <f t="shared" si="10"/>
        <v>0.25892305555555861</v>
      </c>
      <c r="J33">
        <f t="shared" si="11"/>
        <v>0.12110526452551852</v>
      </c>
      <c r="K33">
        <f t="shared" si="5"/>
        <v>-4.5027777777781885E-5</v>
      </c>
      <c r="L33">
        <f t="shared" si="6"/>
        <v>-5.4805555555552667E-5</v>
      </c>
      <c r="M33">
        <f t="shared" si="7"/>
        <v>-4.9916666666667279E-5</v>
      </c>
      <c r="N33">
        <f t="shared" si="8"/>
        <v>6.1425933534952802E-4</v>
      </c>
      <c r="O33" s="3">
        <f t="shared" si="9"/>
        <v>6.1425933534952799</v>
      </c>
    </row>
    <row r="34" spans="1:15" x14ac:dyDescent="0.25">
      <c r="A34">
        <v>1150</v>
      </c>
      <c r="B34" s="3">
        <v>3.3635222222222221</v>
      </c>
      <c r="C34" s="3">
        <v>3.365075</v>
      </c>
      <c r="D34">
        <f t="shared" si="2"/>
        <v>1.5527777777779583E-3</v>
      </c>
      <c r="E34">
        <f t="shared" si="3"/>
        <v>1.2770833333335396E-3</v>
      </c>
      <c r="F34" s="3">
        <v>145</v>
      </c>
      <c r="G34">
        <v>2139</v>
      </c>
      <c r="H34">
        <f t="shared" si="4"/>
        <v>0.18517708333336325</v>
      </c>
      <c r="I34">
        <f t="shared" si="10"/>
        <v>0.18517708333336325</v>
      </c>
      <c r="J34">
        <f t="shared" si="11"/>
        <v>8.6571801464872949E-2</v>
      </c>
      <c r="K34">
        <f t="shared" si="5"/>
        <v>-3.8788888888894316E-5</v>
      </c>
      <c r="L34">
        <f t="shared" si="6"/>
        <v>-4.7541666666668367E-5</v>
      </c>
      <c r="M34">
        <f t="shared" si="7"/>
        <v>-4.3165277777781338E-5</v>
      </c>
      <c r="N34">
        <f t="shared" si="8"/>
        <v>5.0778075148379066E-4</v>
      </c>
      <c r="O34" s="3">
        <f t="shared" si="9"/>
        <v>5.0778075148379065</v>
      </c>
    </row>
    <row r="35" spans="1:15" x14ac:dyDescent="0.25">
      <c r="A35">
        <v>1200</v>
      </c>
      <c r="B35" s="3">
        <v>3.3615111111111111</v>
      </c>
      <c r="C35" s="3">
        <v>3.3625125000000002</v>
      </c>
      <c r="D35">
        <f t="shared" si="2"/>
        <v>1.0013888888891209E-3</v>
      </c>
      <c r="E35">
        <f t="shared" si="3"/>
        <v>8.3750000000049063E-4</v>
      </c>
      <c r="F35" s="3">
        <v>137</v>
      </c>
      <c r="G35">
        <v>2140</v>
      </c>
      <c r="H35">
        <f t="shared" si="4"/>
        <v>0.11473750000006722</v>
      </c>
      <c r="I35">
        <f t="shared" si="10"/>
        <v>0.11473750000006722</v>
      </c>
      <c r="J35">
        <f t="shared" si="11"/>
        <v>5.3615654205638887E-2</v>
      </c>
      <c r="K35">
        <f t="shared" si="5"/>
        <v>-2.8833333333335709E-5</v>
      </c>
      <c r="L35">
        <f t="shared" si="6"/>
        <v>-3.7624999999996686E-5</v>
      </c>
      <c r="M35">
        <f t="shared" si="7"/>
        <v>-3.3229166666666196E-5</v>
      </c>
      <c r="N35">
        <f t="shared" si="8"/>
        <v>4.0851356173746454E-4</v>
      </c>
      <c r="O35" s="3">
        <f t="shared" si="9"/>
        <v>4.0851356173746458</v>
      </c>
    </row>
    <row r="36" spans="1:15" x14ac:dyDescent="0.25">
      <c r="A36">
        <v>1250</v>
      </c>
      <c r="B36" s="3">
        <v>3.3606388888888885</v>
      </c>
      <c r="C36" s="3">
        <v>3.3613125000000004</v>
      </c>
      <c r="D36">
        <f t="shared" si="2"/>
        <v>6.7361111111186034E-4</v>
      </c>
      <c r="E36">
        <f t="shared" si="3"/>
        <v>6.2326388888922502E-4</v>
      </c>
      <c r="F36" s="3">
        <v>124</v>
      </c>
      <c r="G36">
        <v>2141</v>
      </c>
      <c r="H36">
        <f t="shared" si="4"/>
        <v>7.7284722222263902E-2</v>
      </c>
      <c r="I36">
        <f t="shared" si="10"/>
        <v>7.7284722222263902E-2</v>
      </c>
      <c r="J36">
        <f t="shared" si="11"/>
        <v>3.6097488193490845E-2</v>
      </c>
      <c r="K36">
        <f t="shared" si="5"/>
        <v>-2.0673611111106106E-5</v>
      </c>
      <c r="L36">
        <f t="shared" si="6"/>
        <v>-2.4958333333331417E-5</v>
      </c>
      <c r="M36">
        <f t="shared" si="7"/>
        <v>-2.2815972222218761E-5</v>
      </c>
      <c r="N36">
        <f t="shared" si="8"/>
        <v>4.0056437591064794E-4</v>
      </c>
      <c r="O36" s="3">
        <f t="shared" si="9"/>
        <v>4.0056437591064791</v>
      </c>
    </row>
    <row r="37" spans="1:15" x14ac:dyDescent="0.25">
      <c r="A37">
        <v>1300</v>
      </c>
      <c r="B37" s="3">
        <v>3.3594437500000005</v>
      </c>
      <c r="C37" s="3">
        <v>3.3600166666666671</v>
      </c>
      <c r="D37">
        <f t="shared" si="2"/>
        <v>5.7291666666658969E-4</v>
      </c>
      <c r="E37">
        <f t="shared" si="3"/>
        <v>6.1221590909110724E-4</v>
      </c>
      <c r="F37" s="3">
        <v>101</v>
      </c>
      <c r="G37">
        <v>2142</v>
      </c>
      <c r="H37">
        <f t="shared" si="4"/>
        <v>6.1833806818201831E-2</v>
      </c>
      <c r="I37">
        <f t="shared" si="10"/>
        <v>6.1833806818201831E-2</v>
      </c>
      <c r="J37">
        <f t="shared" si="11"/>
        <v>2.886732344453867E-2</v>
      </c>
      <c r="K37">
        <f t="shared" si="5"/>
        <v>-1.1570707070704956E-5</v>
      </c>
      <c r="L37">
        <f t="shared" si="6"/>
        <v>-1.1791666666667311E-5</v>
      </c>
      <c r="M37">
        <f t="shared" si="7"/>
        <v>-1.1681186868686133E-5</v>
      </c>
      <c r="N37">
        <f t="shared" si="8"/>
        <v>6.2568229510907456E-4</v>
      </c>
      <c r="O37" s="3">
        <f t="shared" si="9"/>
        <v>6.2568229510907454</v>
      </c>
    </row>
    <row r="38" spans="1:15" x14ac:dyDescent="0.25">
      <c r="A38">
        <v>1350</v>
      </c>
      <c r="B38" s="3">
        <v>3.359481818181818</v>
      </c>
      <c r="C38" s="3">
        <v>3.3601333333333336</v>
      </c>
      <c r="D38">
        <f t="shared" si="2"/>
        <v>6.5151515151562478E-4</v>
      </c>
      <c r="E38">
        <f t="shared" si="3"/>
        <v>3.2575757575781239E-4</v>
      </c>
      <c r="F38" s="3">
        <v>67</v>
      </c>
      <c r="G38">
        <v>2143</v>
      </c>
      <c r="H38">
        <f t="shared" si="4"/>
        <v>2.182575757577343E-2</v>
      </c>
      <c r="I38">
        <f t="shared" si="10"/>
        <v>2.182575757577343E-2</v>
      </c>
      <c r="J38">
        <f t="shared" si="11"/>
        <v>1.0184674557057129E-2</v>
      </c>
      <c r="K38">
        <f t="shared" si="5"/>
        <v>1.2419642857137703E-5</v>
      </c>
      <c r="L38">
        <f t="shared" si="6"/>
        <v>1.7833333333330258E-5</v>
      </c>
      <c r="M38">
        <f t="shared" si="7"/>
        <v>1.512648809523398E-5</v>
      </c>
      <c r="N38">
        <f t="shared" si="8"/>
        <v>-1.7046819604849486E-4</v>
      </c>
      <c r="O38" s="3">
        <f t="shared" si="9"/>
        <v>-1.7046819604849486</v>
      </c>
    </row>
    <row r="39" spans="1:15" x14ac:dyDescent="0.25">
      <c r="A39">
        <v>1400</v>
      </c>
      <c r="B39" s="3">
        <v>3.3606857142857143</v>
      </c>
      <c r="C39" s="3">
        <v>3.3618000000000001</v>
      </c>
      <c r="F39" s="3">
        <v>25.9</v>
      </c>
      <c r="O39" s="3"/>
    </row>
    <row r="40" spans="1:15" x14ac:dyDescent="0.25">
      <c r="B40" s="3"/>
      <c r="C40" s="3"/>
      <c r="D40" s="8"/>
      <c r="E40" s="8"/>
      <c r="F40" s="3"/>
      <c r="G40" s="9"/>
      <c r="O40" s="3"/>
    </row>
    <row r="41" spans="1:15" x14ac:dyDescent="0.25">
      <c r="B41" s="3"/>
      <c r="C41" s="3"/>
      <c r="D41" s="8"/>
      <c r="E41" s="8"/>
      <c r="F41" s="3"/>
      <c r="G41" s="9"/>
      <c r="O41" s="3"/>
    </row>
    <row r="42" spans="1:15" x14ac:dyDescent="0.25">
      <c r="B42" s="3"/>
      <c r="C42" s="3"/>
      <c r="D42" s="8"/>
      <c r="E42" s="8"/>
      <c r="F42" s="3"/>
      <c r="G42" s="9"/>
      <c r="O42" s="3"/>
    </row>
    <row r="43" spans="1:15" x14ac:dyDescent="0.25">
      <c r="B43" s="3"/>
      <c r="C43" s="3"/>
      <c r="D43" s="8"/>
      <c r="E43" s="8"/>
      <c r="F43" s="3"/>
      <c r="G43" s="9"/>
      <c r="O43" s="3"/>
    </row>
    <row r="44" spans="1:15" x14ac:dyDescent="0.25">
      <c r="B44" s="3"/>
      <c r="C44" s="3"/>
      <c r="D44" s="8"/>
      <c r="E44" s="8"/>
      <c r="F44" s="3"/>
      <c r="G44" s="9"/>
      <c r="O44" s="3"/>
    </row>
    <row r="45" spans="1:15" x14ac:dyDescent="0.25">
      <c r="B45" s="3"/>
      <c r="C45" s="3"/>
      <c r="D45" s="8"/>
      <c r="E45" s="8"/>
      <c r="F45" s="3"/>
      <c r="G45" s="9"/>
      <c r="O45" s="3"/>
    </row>
    <row r="46" spans="1:15" x14ac:dyDescent="0.25">
      <c r="B46" s="3"/>
      <c r="C46" s="3"/>
      <c r="D46" s="8"/>
      <c r="E46" s="8"/>
      <c r="F46" s="3"/>
      <c r="G46" s="9"/>
      <c r="O46" s="3"/>
    </row>
    <row r="47" spans="1:15" x14ac:dyDescent="0.25">
      <c r="B47" s="3"/>
      <c r="C47" s="3"/>
      <c r="D47" s="8"/>
      <c r="E47" s="8"/>
      <c r="F47" s="3"/>
      <c r="G47" s="9"/>
      <c r="O47" s="3"/>
    </row>
    <row r="48" spans="1:15" x14ac:dyDescent="0.25">
      <c r="B48" s="3"/>
      <c r="C48" s="3"/>
      <c r="D48" s="8"/>
      <c r="E48" s="8"/>
      <c r="F48" s="3"/>
      <c r="G48" s="9"/>
      <c r="O48" s="3"/>
    </row>
    <row r="49" spans="2:15" x14ac:dyDescent="0.25">
      <c r="B49" s="3"/>
      <c r="C49" s="3"/>
      <c r="D49" s="8"/>
      <c r="E49" s="8"/>
      <c r="F49" s="3"/>
      <c r="G49" s="9"/>
      <c r="O49" s="3"/>
    </row>
    <row r="50" spans="2:15" x14ac:dyDescent="0.25">
      <c r="B50" s="3"/>
      <c r="C50" s="3"/>
      <c r="D50" s="8"/>
      <c r="E50" s="8"/>
      <c r="F50" s="3"/>
      <c r="G50" s="9"/>
      <c r="O50" s="3"/>
    </row>
    <row r="51" spans="2:15" x14ac:dyDescent="0.25">
      <c r="B51" s="3"/>
      <c r="C51" s="3"/>
      <c r="D51" s="8"/>
      <c r="E51" s="8"/>
      <c r="F51" s="3"/>
      <c r="G51" s="9"/>
      <c r="O51" s="3"/>
    </row>
    <row r="52" spans="2:15" x14ac:dyDescent="0.25">
      <c r="B52" s="3"/>
      <c r="C52" s="3"/>
      <c r="D52" s="8"/>
      <c r="E52" s="8"/>
      <c r="F52" s="3"/>
      <c r="O52" s="3"/>
    </row>
    <row r="53" spans="2:15" x14ac:dyDescent="0.25">
      <c r="B53" s="3"/>
      <c r="C53" s="3"/>
      <c r="D53" s="8"/>
      <c r="E53" s="8"/>
      <c r="F53" s="3"/>
      <c r="G53" s="9"/>
      <c r="O53" s="3"/>
    </row>
    <row r="54" spans="2:15" x14ac:dyDescent="0.25">
      <c r="B54" s="3"/>
      <c r="C54" s="3"/>
      <c r="D54" s="8"/>
      <c r="E54" s="8"/>
      <c r="F54" s="3"/>
      <c r="G54" s="9"/>
      <c r="O54" s="3"/>
    </row>
    <row r="55" spans="2:15" x14ac:dyDescent="0.25">
      <c r="B55" s="3"/>
      <c r="C55" s="3"/>
      <c r="D55" s="8"/>
      <c r="E55" s="8"/>
      <c r="F55" s="3"/>
      <c r="G55" s="9"/>
      <c r="O55" s="3"/>
    </row>
    <row r="56" spans="2:15" x14ac:dyDescent="0.25">
      <c r="B56" s="3"/>
      <c r="C56" s="3"/>
      <c r="D56" s="8"/>
      <c r="E56" s="8"/>
      <c r="F56" s="3"/>
      <c r="G56" s="9"/>
      <c r="O56" s="3"/>
    </row>
    <row r="57" spans="2:15" x14ac:dyDescent="0.25">
      <c r="B57" s="3"/>
      <c r="D57" s="8"/>
      <c r="E57" s="8"/>
      <c r="F57" s="3"/>
      <c r="G57" s="9"/>
      <c r="O57" s="3"/>
    </row>
    <row r="58" spans="2:15" x14ac:dyDescent="0.25">
      <c r="B58" s="3"/>
      <c r="D58" s="8"/>
      <c r="E58" s="8"/>
      <c r="F58" s="3"/>
      <c r="G58" s="9"/>
      <c r="O58" s="3"/>
    </row>
    <row r="59" spans="2:15" x14ac:dyDescent="0.25">
      <c r="B59" s="3"/>
      <c r="D59" s="8"/>
      <c r="E59" s="8"/>
      <c r="F59" s="3"/>
      <c r="G59" s="9"/>
      <c r="O59" s="3"/>
    </row>
    <row r="60" spans="2:15" x14ac:dyDescent="0.25">
      <c r="B60" s="3"/>
      <c r="D60" s="8"/>
      <c r="E60" s="8"/>
      <c r="F60" s="3"/>
      <c r="G60" s="9"/>
      <c r="O60" s="3"/>
    </row>
    <row r="61" spans="2:15" x14ac:dyDescent="0.25">
      <c r="B61" s="3"/>
      <c r="D61" s="8"/>
      <c r="E61" s="8"/>
      <c r="F61" s="3"/>
      <c r="G61" s="9"/>
      <c r="O61" s="3"/>
    </row>
    <row r="62" spans="2:15" x14ac:dyDescent="0.25">
      <c r="B62" s="3"/>
      <c r="D62" s="8"/>
      <c r="E62" s="8"/>
      <c r="F62" s="3"/>
      <c r="G62" s="9"/>
      <c r="O62" s="3"/>
    </row>
    <row r="63" spans="2:15" x14ac:dyDescent="0.25">
      <c r="B63" s="3"/>
      <c r="D63" s="8"/>
      <c r="E63" s="8"/>
      <c r="F63" s="3"/>
      <c r="G63" s="9"/>
      <c r="O63" s="3"/>
    </row>
    <row r="64" spans="2:15" x14ac:dyDescent="0.25">
      <c r="B64" s="3"/>
      <c r="D64" s="8"/>
      <c r="E64" s="8"/>
      <c r="F64" s="3"/>
      <c r="G64" s="9"/>
      <c r="O64" s="3"/>
    </row>
    <row r="65" spans="2:15" x14ac:dyDescent="0.25">
      <c r="B65" s="3"/>
      <c r="D65" s="8"/>
      <c r="E65" s="8"/>
      <c r="F65" s="3"/>
      <c r="G65" s="9"/>
      <c r="O65" s="3"/>
    </row>
    <row r="66" spans="2:15" x14ac:dyDescent="0.25">
      <c r="B66" s="3"/>
      <c r="D66" s="8"/>
      <c r="E66" s="8"/>
      <c r="F66" s="3"/>
      <c r="G66" s="9"/>
      <c r="O66" s="3"/>
    </row>
    <row r="67" spans="2:15" x14ac:dyDescent="0.25">
      <c r="B67" s="3"/>
      <c r="D67" s="8"/>
      <c r="E67" s="8"/>
      <c r="F67" s="3"/>
      <c r="G67" s="9"/>
      <c r="O67" s="3"/>
    </row>
    <row r="68" spans="2:15" x14ac:dyDescent="0.25">
      <c r="B68" s="3"/>
      <c r="D68" s="8"/>
      <c r="E68" s="8"/>
      <c r="F68" s="3"/>
      <c r="G68" s="9"/>
      <c r="O68" s="3"/>
    </row>
    <row r="69" spans="2:15" x14ac:dyDescent="0.25">
      <c r="B69" s="3"/>
      <c r="D69" s="8"/>
      <c r="E69" s="8"/>
      <c r="F69" s="3"/>
      <c r="G69" s="9"/>
      <c r="O69" s="3"/>
    </row>
    <row r="70" spans="2:15" x14ac:dyDescent="0.25">
      <c r="B70" s="3"/>
      <c r="D70" s="8"/>
      <c r="E70" s="8"/>
      <c r="F70" s="3"/>
      <c r="G70" s="9"/>
      <c r="O70" s="3"/>
    </row>
    <row r="71" spans="2:15" x14ac:dyDescent="0.25">
      <c r="B71" s="3"/>
      <c r="D71" s="8"/>
      <c r="E71" s="8"/>
      <c r="F71" s="3"/>
      <c r="G71" s="9"/>
      <c r="O71" s="3"/>
    </row>
    <row r="72" spans="2:15" x14ac:dyDescent="0.25">
      <c r="B72" s="3"/>
      <c r="D72" s="8"/>
      <c r="E72" s="8"/>
      <c r="F72" s="3"/>
      <c r="G72" s="9"/>
      <c r="O72" s="3"/>
    </row>
    <row r="73" spans="2:15" x14ac:dyDescent="0.25">
      <c r="B73" s="3"/>
      <c r="D73" s="8"/>
      <c r="E73" s="8"/>
      <c r="F73" s="3"/>
      <c r="G73" s="9"/>
      <c r="O73" s="3"/>
    </row>
    <row r="74" spans="2:15" x14ac:dyDescent="0.25">
      <c r="B74" s="3"/>
      <c r="D74" s="8"/>
      <c r="E74" s="8"/>
      <c r="F74" s="3"/>
      <c r="G74" s="9"/>
      <c r="O74" s="3"/>
    </row>
    <row r="75" spans="2:15" x14ac:dyDescent="0.25">
      <c r="B75" s="3"/>
      <c r="D75" s="8"/>
      <c r="E75" s="8"/>
      <c r="F75" s="3"/>
      <c r="G75" s="9"/>
      <c r="O75" s="3"/>
    </row>
    <row r="76" spans="2:15" x14ac:dyDescent="0.25">
      <c r="B76" s="3"/>
      <c r="D76" s="8"/>
      <c r="E76" s="8"/>
      <c r="F76" s="3"/>
      <c r="G76" s="9"/>
      <c r="O76" s="3"/>
    </row>
    <row r="77" spans="2:15" x14ac:dyDescent="0.25">
      <c r="B77" s="3"/>
      <c r="D77" s="8"/>
      <c r="E77" s="8"/>
      <c r="F77" s="3"/>
      <c r="O77" s="3"/>
    </row>
    <row r="78" spans="2:15" x14ac:dyDescent="0.25">
      <c r="B78" s="3"/>
      <c r="D78" s="8"/>
      <c r="E78" s="8"/>
      <c r="F78" s="3"/>
      <c r="G78" s="9"/>
      <c r="O78" s="3"/>
    </row>
    <row r="79" spans="2:15" x14ac:dyDescent="0.25">
      <c r="B79" s="3"/>
      <c r="D79" s="8"/>
      <c r="E79" s="8"/>
      <c r="F79" s="3"/>
      <c r="G79" s="9"/>
      <c r="O79" s="3"/>
    </row>
    <row r="80" spans="2:15" x14ac:dyDescent="0.25">
      <c r="D80" s="8"/>
      <c r="E80" s="8"/>
      <c r="F80" s="3"/>
      <c r="G80" s="9"/>
      <c r="O80" s="3"/>
    </row>
    <row r="81" spans="4:15" x14ac:dyDescent="0.25">
      <c r="D81" s="8"/>
      <c r="E81" s="8"/>
      <c r="F81" s="3"/>
      <c r="G81" s="9"/>
      <c r="O81" s="3"/>
    </row>
    <row r="82" spans="4:15" x14ac:dyDescent="0.25">
      <c r="D82" s="8"/>
      <c r="E82" s="8"/>
      <c r="F82" s="3"/>
      <c r="G82" s="9"/>
      <c r="O82" s="3"/>
    </row>
    <row r="83" spans="4:15" x14ac:dyDescent="0.25">
      <c r="D83" s="8"/>
      <c r="E83" s="8"/>
      <c r="F83" s="3"/>
      <c r="G83" s="9"/>
      <c r="O83" s="3"/>
    </row>
    <row r="84" spans="4:15" x14ac:dyDescent="0.25">
      <c r="D84" s="8"/>
      <c r="E84" s="8"/>
      <c r="F84" s="3"/>
      <c r="G84" s="9"/>
      <c r="O84" s="3"/>
    </row>
    <row r="85" spans="4:15" x14ac:dyDescent="0.25">
      <c r="D85" s="8"/>
      <c r="E85" s="8"/>
      <c r="F85" s="3"/>
      <c r="G85" s="9"/>
      <c r="O85" s="3"/>
    </row>
    <row r="86" spans="4:15" x14ac:dyDescent="0.25">
      <c r="D86" s="8"/>
      <c r="E86" s="8"/>
      <c r="F86" s="3"/>
      <c r="G86" s="9"/>
      <c r="O86" s="3"/>
    </row>
    <row r="87" spans="4:15" x14ac:dyDescent="0.25">
      <c r="D87" s="8"/>
      <c r="E87" s="8"/>
      <c r="F87" s="3"/>
      <c r="G87" s="9"/>
      <c r="O87" s="3"/>
    </row>
    <row r="88" spans="4:15" x14ac:dyDescent="0.25">
      <c r="D88" s="8"/>
      <c r="E88" s="8"/>
      <c r="F88" s="3"/>
      <c r="G88" s="9"/>
      <c r="O88" s="3"/>
    </row>
    <row r="89" spans="4:15" x14ac:dyDescent="0.25">
      <c r="D89" s="8"/>
      <c r="E89" s="8"/>
      <c r="F89" s="3"/>
      <c r="G89" s="9"/>
      <c r="O89" s="3"/>
    </row>
    <row r="90" spans="4:15" x14ac:dyDescent="0.25">
      <c r="D90" s="8"/>
      <c r="E90" s="8"/>
      <c r="F90" s="3"/>
      <c r="G90" s="9"/>
      <c r="O90" s="3"/>
    </row>
    <row r="91" spans="4:15" x14ac:dyDescent="0.25">
      <c r="D91" s="8"/>
      <c r="E91" s="8"/>
      <c r="F91" s="3"/>
      <c r="G91" s="9"/>
      <c r="O91" s="3"/>
    </row>
    <row r="92" spans="4:15" x14ac:dyDescent="0.25">
      <c r="D92" s="8"/>
      <c r="E92" s="8"/>
      <c r="F92" s="3"/>
      <c r="G92" s="9"/>
      <c r="O92" s="3"/>
    </row>
    <row r="93" spans="4:15" x14ac:dyDescent="0.25">
      <c r="D93" s="8"/>
      <c r="E93" s="8"/>
      <c r="F93" s="3"/>
      <c r="G93" s="9"/>
      <c r="O93" s="3"/>
    </row>
    <row r="94" spans="4:15" x14ac:dyDescent="0.25">
      <c r="D94" s="8"/>
      <c r="E94" s="8"/>
      <c r="F94" s="3"/>
      <c r="G94" s="9"/>
      <c r="O94" s="3"/>
    </row>
    <row r="95" spans="4:15" x14ac:dyDescent="0.25">
      <c r="D95" s="8"/>
      <c r="E95" s="8"/>
      <c r="F95" s="3"/>
      <c r="G95" s="9"/>
      <c r="O95" s="3"/>
    </row>
    <row r="96" spans="4:15" x14ac:dyDescent="0.25">
      <c r="D96" s="8"/>
      <c r="E96" s="8"/>
      <c r="F96" s="3"/>
      <c r="G96" s="9"/>
      <c r="O96" s="3"/>
    </row>
    <row r="97" spans="4:15" x14ac:dyDescent="0.25">
      <c r="D97" s="8"/>
      <c r="E97" s="8"/>
      <c r="F97" s="3"/>
      <c r="G97" s="9"/>
      <c r="O97" s="3"/>
    </row>
    <row r="98" spans="4:15" x14ac:dyDescent="0.25">
      <c r="D98" s="8"/>
      <c r="E98" s="8"/>
      <c r="F98" s="3"/>
      <c r="G98" s="9"/>
      <c r="O98" s="3"/>
    </row>
    <row r="99" spans="4:15" x14ac:dyDescent="0.25">
      <c r="D99" s="8"/>
      <c r="E99" s="8"/>
      <c r="F99" s="3"/>
      <c r="G99" s="9"/>
      <c r="O99" s="3"/>
    </row>
    <row r="100" spans="4:15" x14ac:dyDescent="0.25">
      <c r="D100" s="8"/>
      <c r="E100" s="8"/>
      <c r="F100" s="3"/>
      <c r="G100" s="9"/>
      <c r="O100" s="3"/>
    </row>
    <row r="101" spans="4:15" x14ac:dyDescent="0.25">
      <c r="D101" s="8"/>
      <c r="E101" s="8"/>
      <c r="F101" s="3"/>
      <c r="G101" s="9"/>
      <c r="O101" s="3"/>
    </row>
    <row r="102" spans="4:15" x14ac:dyDescent="0.25">
      <c r="D102" s="8"/>
      <c r="E102" s="8"/>
      <c r="F102" s="3"/>
      <c r="O102" s="3"/>
    </row>
    <row r="103" spans="4:15" x14ac:dyDescent="0.25">
      <c r="D103" s="8"/>
      <c r="E103" s="8"/>
      <c r="F103" s="3"/>
      <c r="G103" s="9"/>
      <c r="O103" s="3"/>
    </row>
    <row r="104" spans="4:15" x14ac:dyDescent="0.25">
      <c r="D104" s="8"/>
      <c r="E104" s="8"/>
      <c r="F104" s="3"/>
      <c r="G104" s="9"/>
      <c r="O104" s="3"/>
    </row>
    <row r="105" spans="4:15" x14ac:dyDescent="0.25">
      <c r="D105" s="8"/>
      <c r="E105" s="8"/>
      <c r="F105" s="3"/>
      <c r="G105" s="9"/>
      <c r="O105" s="3"/>
    </row>
    <row r="106" spans="4:15" x14ac:dyDescent="0.25">
      <c r="D106" s="8"/>
      <c r="E106" s="8"/>
      <c r="F106" s="3"/>
      <c r="G106" s="9"/>
      <c r="O106" s="3"/>
    </row>
    <row r="107" spans="4:15" x14ac:dyDescent="0.25">
      <c r="D107" s="8"/>
      <c r="E107" s="8"/>
      <c r="F107" s="3"/>
      <c r="G107" s="9"/>
      <c r="O107" s="3"/>
    </row>
    <row r="108" spans="4:15" x14ac:dyDescent="0.25">
      <c r="D108" s="8"/>
      <c r="E108" s="8"/>
      <c r="F108" s="3"/>
      <c r="G108" s="9"/>
      <c r="O108" s="3"/>
    </row>
    <row r="109" spans="4:15" x14ac:dyDescent="0.25">
      <c r="D109" s="8"/>
      <c r="E109" s="8"/>
      <c r="F109" s="3"/>
      <c r="G109" s="9"/>
      <c r="O109" s="3"/>
    </row>
    <row r="110" spans="4:15" x14ac:dyDescent="0.25">
      <c r="D110" s="8"/>
      <c r="E110" s="8"/>
      <c r="F110" s="3"/>
      <c r="G110" s="9"/>
      <c r="O110" s="3"/>
    </row>
    <row r="111" spans="4:15" x14ac:dyDescent="0.25">
      <c r="D111" s="8"/>
      <c r="E111" s="8"/>
      <c r="F111" s="3"/>
      <c r="G111" s="9"/>
      <c r="O111" s="3"/>
    </row>
    <row r="112" spans="4:15" x14ac:dyDescent="0.25">
      <c r="D112" s="8"/>
      <c r="E112" s="8"/>
      <c r="F112" s="3"/>
      <c r="G112" s="9"/>
      <c r="O112" s="3"/>
    </row>
    <row r="113" spans="4:15" x14ac:dyDescent="0.25">
      <c r="D113" s="8"/>
      <c r="E113" s="8"/>
      <c r="F113" s="3"/>
      <c r="G113" s="9"/>
      <c r="O113" s="3"/>
    </row>
    <row r="114" spans="4:15" x14ac:dyDescent="0.25">
      <c r="D114" s="8"/>
      <c r="E114" s="8"/>
      <c r="F114" s="3"/>
      <c r="G114" s="9"/>
      <c r="O114" s="3"/>
    </row>
    <row r="115" spans="4:15" x14ac:dyDescent="0.25">
      <c r="D115" s="8"/>
      <c r="E115" s="8"/>
      <c r="F115" s="3"/>
      <c r="G115" s="9"/>
      <c r="O115" s="3"/>
    </row>
    <row r="116" spans="4:15" x14ac:dyDescent="0.25">
      <c r="D116" s="8"/>
      <c r="E116" s="8"/>
      <c r="F116" s="3"/>
      <c r="G116" s="9"/>
      <c r="O116" s="3"/>
    </row>
    <row r="117" spans="4:15" x14ac:dyDescent="0.25">
      <c r="D117" s="8"/>
      <c r="E117" s="8"/>
      <c r="F117" s="3"/>
      <c r="G117" s="9"/>
      <c r="O117" s="3"/>
    </row>
    <row r="118" spans="4:15" x14ac:dyDescent="0.25">
      <c r="D118" s="8"/>
      <c r="E118" s="8"/>
      <c r="F118" s="3"/>
      <c r="G118" s="9"/>
      <c r="O118" s="3"/>
    </row>
    <row r="119" spans="4:15" x14ac:dyDescent="0.25">
      <c r="D119" s="8"/>
      <c r="E119" s="8"/>
      <c r="F119" s="3"/>
      <c r="G119" s="9"/>
      <c r="O119" s="3"/>
    </row>
    <row r="120" spans="4:15" x14ac:dyDescent="0.25">
      <c r="D120" s="8"/>
      <c r="E120" s="8"/>
      <c r="F120" s="3"/>
      <c r="G120" s="9"/>
      <c r="O120" s="3"/>
    </row>
    <row r="121" spans="4:15" x14ac:dyDescent="0.25">
      <c r="D121" s="8"/>
      <c r="E121" s="8"/>
      <c r="F121" s="3"/>
      <c r="G121" s="9"/>
      <c r="O121" s="3"/>
    </row>
    <row r="122" spans="4:15" x14ac:dyDescent="0.25">
      <c r="D122" s="8"/>
      <c r="E122" s="8"/>
      <c r="F122" s="3"/>
      <c r="G122" s="9"/>
      <c r="O122" s="3"/>
    </row>
    <row r="123" spans="4:15" x14ac:dyDescent="0.25">
      <c r="D123" s="8"/>
      <c r="E123" s="8"/>
      <c r="F123" s="3"/>
      <c r="G123" s="9"/>
      <c r="O123" s="3"/>
    </row>
    <row r="124" spans="4:15" x14ac:dyDescent="0.25">
      <c r="D124" s="8"/>
      <c r="E124" s="8"/>
      <c r="F124" s="3"/>
      <c r="G124" s="9"/>
      <c r="O124" s="3"/>
    </row>
    <row r="125" spans="4:15" x14ac:dyDescent="0.25">
      <c r="D125" s="8"/>
      <c r="E125" s="8"/>
      <c r="F125" s="3"/>
      <c r="G125" s="9"/>
      <c r="O125" s="3"/>
    </row>
    <row r="126" spans="4:15" x14ac:dyDescent="0.25">
      <c r="D126" s="8"/>
      <c r="E126" s="8"/>
      <c r="F126" s="3"/>
      <c r="G126" s="9"/>
      <c r="O126" s="3"/>
    </row>
    <row r="127" spans="4:15" x14ac:dyDescent="0.25">
      <c r="D127" s="8"/>
      <c r="E127" s="8"/>
      <c r="F127" s="3"/>
      <c r="O127" s="3"/>
    </row>
    <row r="128" spans="4:15" x14ac:dyDescent="0.25">
      <c r="D128" s="8"/>
      <c r="E128" s="8"/>
      <c r="F128" s="3"/>
      <c r="G128" s="9"/>
      <c r="O128" s="3"/>
    </row>
    <row r="129" spans="4:15" x14ac:dyDescent="0.25">
      <c r="D129" s="8"/>
      <c r="E129" s="8"/>
      <c r="F129" s="3"/>
      <c r="G129" s="9"/>
      <c r="O129" s="3"/>
    </row>
    <row r="130" spans="4:15" x14ac:dyDescent="0.25">
      <c r="D130" s="8"/>
      <c r="E130" s="8"/>
      <c r="F130" s="3"/>
      <c r="G130" s="9"/>
      <c r="O130" s="3"/>
    </row>
    <row r="131" spans="4:15" x14ac:dyDescent="0.25">
      <c r="D131" s="8"/>
      <c r="E131" s="8"/>
      <c r="F131" s="3"/>
      <c r="G131" s="9"/>
      <c r="O131" s="3"/>
    </row>
    <row r="132" spans="4:15" x14ac:dyDescent="0.25">
      <c r="D132" s="8"/>
      <c r="E132" s="8"/>
      <c r="F132" s="3"/>
      <c r="G132" s="9"/>
      <c r="O132" s="3"/>
    </row>
    <row r="133" spans="4:15" x14ac:dyDescent="0.25">
      <c r="D133" s="8"/>
      <c r="E133" s="8"/>
      <c r="F133" s="3"/>
      <c r="G133" s="9"/>
      <c r="O133" s="3"/>
    </row>
    <row r="134" spans="4:15" x14ac:dyDescent="0.25">
      <c r="D134" s="8"/>
      <c r="E134" s="8"/>
      <c r="F134" s="3"/>
      <c r="G134" s="9"/>
      <c r="O134" s="3"/>
    </row>
    <row r="135" spans="4:15" x14ac:dyDescent="0.25">
      <c r="D135" s="8"/>
      <c r="E135" s="8"/>
      <c r="F135" s="3"/>
      <c r="G135" s="9"/>
      <c r="O135" s="3"/>
    </row>
    <row r="136" spans="4:15" x14ac:dyDescent="0.25">
      <c r="D136" s="8"/>
      <c r="E136" s="8"/>
      <c r="F136" s="3"/>
      <c r="G136" s="9"/>
      <c r="O136" s="3"/>
    </row>
    <row r="137" spans="4:15" x14ac:dyDescent="0.25">
      <c r="D137" s="8"/>
      <c r="E137" s="8"/>
      <c r="F137" s="3"/>
      <c r="G137" s="9"/>
      <c r="O137" s="3"/>
    </row>
    <row r="138" spans="4:15" x14ac:dyDescent="0.25">
      <c r="D138" s="8"/>
      <c r="E138" s="8"/>
      <c r="F138" s="3"/>
      <c r="G138" s="9"/>
      <c r="O138" s="3"/>
    </row>
    <row r="139" spans="4:15" x14ac:dyDescent="0.25">
      <c r="D139" s="8"/>
      <c r="E139" s="8"/>
      <c r="F139" s="3"/>
      <c r="G139" s="9"/>
      <c r="O139" s="3"/>
    </row>
    <row r="140" spans="4:15" x14ac:dyDescent="0.25">
      <c r="D140" s="8"/>
      <c r="E140" s="8"/>
      <c r="F140" s="3"/>
      <c r="G140" s="9"/>
      <c r="O140" s="3"/>
    </row>
    <row r="141" spans="4:15" x14ac:dyDescent="0.25">
      <c r="D141" s="8"/>
      <c r="E141" s="8"/>
      <c r="F141" s="3"/>
      <c r="G141" s="9"/>
      <c r="O141" s="3"/>
    </row>
    <row r="142" spans="4:15" x14ac:dyDescent="0.25">
      <c r="D142" s="8"/>
      <c r="E142" s="8"/>
      <c r="F142" s="3"/>
      <c r="G142" s="9"/>
      <c r="O142" s="3"/>
    </row>
    <row r="143" spans="4:15" x14ac:dyDescent="0.25">
      <c r="D143" s="8"/>
      <c r="E143" s="8"/>
      <c r="F143" s="3"/>
      <c r="G143" s="9"/>
      <c r="O143" s="3"/>
    </row>
    <row r="144" spans="4:15" x14ac:dyDescent="0.25">
      <c r="D144" s="8"/>
      <c r="E144" s="8"/>
      <c r="F144" s="3"/>
      <c r="G144" s="9"/>
      <c r="O144" s="3"/>
    </row>
    <row r="145" spans="4:15" x14ac:dyDescent="0.25">
      <c r="D145" s="8"/>
      <c r="E145" s="8"/>
      <c r="F145" s="3"/>
      <c r="G145" s="9"/>
      <c r="O145" s="3"/>
    </row>
    <row r="146" spans="4:15" x14ac:dyDescent="0.25">
      <c r="D146" s="8"/>
      <c r="E146" s="8"/>
      <c r="F146" s="3"/>
      <c r="G146" s="9"/>
      <c r="O146" s="3"/>
    </row>
    <row r="147" spans="4:15" x14ac:dyDescent="0.25">
      <c r="D147" s="8"/>
      <c r="E147" s="8"/>
      <c r="F147" s="3"/>
      <c r="G147" s="9"/>
      <c r="O147" s="3"/>
    </row>
    <row r="148" spans="4:15" x14ac:dyDescent="0.25">
      <c r="D148" s="8"/>
      <c r="E148" s="8"/>
      <c r="F148" s="3"/>
      <c r="G148" s="9"/>
      <c r="O148" s="3"/>
    </row>
    <row r="149" spans="4:15" x14ac:dyDescent="0.25">
      <c r="D149" s="8"/>
      <c r="E149" s="8"/>
      <c r="F149" s="3"/>
      <c r="G149" s="9"/>
      <c r="O149" s="3"/>
    </row>
    <row r="150" spans="4:15" x14ac:dyDescent="0.25">
      <c r="D150" s="8"/>
      <c r="E150" s="8"/>
      <c r="F150" s="3"/>
      <c r="G150" s="9"/>
      <c r="O150" s="3"/>
    </row>
    <row r="151" spans="4:15" x14ac:dyDescent="0.25">
      <c r="D151" s="8"/>
      <c r="E151" s="8"/>
      <c r="F151" s="3"/>
      <c r="G151" s="9"/>
      <c r="O151" s="3"/>
    </row>
    <row r="152" spans="4:15" x14ac:dyDescent="0.25">
      <c r="D152" s="8"/>
      <c r="E152" s="8"/>
      <c r="F152" s="3"/>
      <c r="O152" s="3"/>
    </row>
    <row r="153" spans="4:15" x14ac:dyDescent="0.25">
      <c r="D153" s="8"/>
      <c r="E153" s="8"/>
      <c r="F153" s="3"/>
      <c r="G153" s="9"/>
      <c r="O153" s="3"/>
    </row>
    <row r="154" spans="4:15" x14ac:dyDescent="0.25">
      <c r="D154" s="8"/>
      <c r="E154" s="8"/>
      <c r="F154" s="3"/>
      <c r="G154" s="9"/>
      <c r="O154" s="3"/>
    </row>
    <row r="155" spans="4:15" x14ac:dyDescent="0.25">
      <c r="D155" s="8"/>
      <c r="E155" s="8"/>
      <c r="F155" s="3"/>
      <c r="G155" s="9"/>
      <c r="O155" s="3"/>
    </row>
    <row r="156" spans="4:15" x14ac:dyDescent="0.25">
      <c r="D156" s="8"/>
      <c r="E156" s="8"/>
      <c r="F156" s="3"/>
      <c r="G156" s="9"/>
      <c r="O156" s="3"/>
    </row>
    <row r="157" spans="4:15" x14ac:dyDescent="0.25">
      <c r="D157" s="8"/>
      <c r="E157" s="8"/>
      <c r="F157" s="3"/>
      <c r="G157" s="9"/>
      <c r="O157" s="3"/>
    </row>
    <row r="158" spans="4:15" x14ac:dyDescent="0.25">
      <c r="D158" s="8"/>
      <c r="E158" s="8"/>
      <c r="F158" s="3"/>
      <c r="G158" s="9"/>
      <c r="O158" s="3"/>
    </row>
    <row r="159" spans="4:15" x14ac:dyDescent="0.25">
      <c r="D159" s="8"/>
      <c r="E159" s="8"/>
      <c r="F159" s="3"/>
      <c r="G159" s="9"/>
      <c r="O159" s="3"/>
    </row>
    <row r="160" spans="4:15" x14ac:dyDescent="0.25">
      <c r="D160" s="8"/>
      <c r="E160" s="8"/>
      <c r="F160" s="3"/>
      <c r="G160" s="9"/>
      <c r="O160" s="3"/>
    </row>
    <row r="161" spans="4:15" x14ac:dyDescent="0.25">
      <c r="D161" s="8"/>
      <c r="E161" s="8"/>
      <c r="F161" s="3"/>
      <c r="G161" s="9"/>
      <c r="O161" s="3"/>
    </row>
    <row r="162" spans="4:15" x14ac:dyDescent="0.25">
      <c r="D162" s="8"/>
      <c r="E162" s="8"/>
      <c r="F162" s="3"/>
      <c r="G162" s="9"/>
      <c r="O162" s="3"/>
    </row>
    <row r="163" spans="4:15" x14ac:dyDescent="0.25">
      <c r="D163" s="8"/>
      <c r="E163" s="8"/>
      <c r="F163" s="3"/>
      <c r="G163" s="9"/>
      <c r="O163" s="3"/>
    </row>
    <row r="164" spans="4:15" x14ac:dyDescent="0.25">
      <c r="D164" s="8"/>
      <c r="E164" s="8"/>
      <c r="F164" s="3"/>
      <c r="G164" s="9"/>
      <c r="O164" s="3"/>
    </row>
    <row r="165" spans="4:15" x14ac:dyDescent="0.25">
      <c r="D165" s="8"/>
      <c r="E165" s="8"/>
      <c r="F165" s="3"/>
      <c r="G165" s="9"/>
      <c r="O165" s="3"/>
    </row>
    <row r="166" spans="4:15" x14ac:dyDescent="0.25">
      <c r="D166" s="8"/>
      <c r="E166" s="8"/>
      <c r="F166" s="3"/>
      <c r="G166" s="9"/>
      <c r="O166" s="3"/>
    </row>
    <row r="167" spans="4:15" x14ac:dyDescent="0.25">
      <c r="D167" s="8"/>
      <c r="E167" s="8"/>
      <c r="F167" s="3"/>
      <c r="G167" s="9"/>
      <c r="O167" s="3"/>
    </row>
    <row r="168" spans="4:15" x14ac:dyDescent="0.25">
      <c r="D168" s="8"/>
      <c r="E168" s="8"/>
      <c r="F168" s="3"/>
      <c r="G168" s="9"/>
      <c r="O168" s="3"/>
    </row>
    <row r="169" spans="4:15" x14ac:dyDescent="0.25">
      <c r="D169" s="8"/>
      <c r="E169" s="8"/>
      <c r="F169" s="3"/>
      <c r="G169" s="9"/>
      <c r="O169" s="3"/>
    </row>
    <row r="170" spans="4:15" x14ac:dyDescent="0.25">
      <c r="D170" s="8"/>
      <c r="E170" s="8"/>
      <c r="F170" s="3"/>
      <c r="G170" s="9"/>
      <c r="O170" s="3"/>
    </row>
    <row r="171" spans="4:15" x14ac:dyDescent="0.25">
      <c r="D171" s="8"/>
      <c r="E171" s="8"/>
      <c r="F171" s="3"/>
      <c r="G171" s="9"/>
      <c r="O171" s="3"/>
    </row>
    <row r="172" spans="4:15" x14ac:dyDescent="0.25">
      <c r="D172" s="8"/>
      <c r="E172" s="8"/>
      <c r="F172" s="3"/>
      <c r="G172" s="9"/>
      <c r="O172" s="3"/>
    </row>
    <row r="173" spans="4:15" x14ac:dyDescent="0.25">
      <c r="D173" s="8"/>
      <c r="E173" s="8"/>
      <c r="F173" s="3"/>
      <c r="G173" s="9"/>
      <c r="O173" s="3"/>
    </row>
    <row r="174" spans="4:15" x14ac:dyDescent="0.25">
      <c r="D174" s="8"/>
      <c r="E174" s="8"/>
      <c r="F174" s="3"/>
      <c r="G174" s="9"/>
      <c r="O174" s="3"/>
    </row>
    <row r="175" spans="4:15" x14ac:dyDescent="0.25">
      <c r="D175" s="8"/>
      <c r="E175" s="8"/>
      <c r="F175" s="3"/>
      <c r="G175" s="9"/>
      <c r="O175" s="3"/>
    </row>
    <row r="176" spans="4:15" x14ac:dyDescent="0.25">
      <c r="D176" s="8"/>
      <c r="E176" s="8"/>
      <c r="F176" s="3"/>
      <c r="G176" s="9"/>
      <c r="O176" s="3"/>
    </row>
    <row r="177" spans="4:15" x14ac:dyDescent="0.25">
      <c r="D177" s="8"/>
      <c r="E177" s="8"/>
      <c r="F177" s="3"/>
      <c r="O177" s="3"/>
    </row>
    <row r="178" spans="4:15" x14ac:dyDescent="0.25">
      <c r="D178" s="8"/>
      <c r="E178" s="8"/>
      <c r="F178" s="3"/>
      <c r="G178" s="9"/>
      <c r="O178" s="3"/>
    </row>
    <row r="179" spans="4:15" x14ac:dyDescent="0.25">
      <c r="D179" s="8"/>
      <c r="E179" s="8"/>
      <c r="F179" s="3"/>
      <c r="G179" s="9"/>
      <c r="O179" s="3"/>
    </row>
    <row r="180" spans="4:15" x14ac:dyDescent="0.25">
      <c r="D180" s="8"/>
      <c r="E180" s="8"/>
      <c r="F180" s="3"/>
      <c r="G180" s="9"/>
      <c r="O180" s="3"/>
    </row>
    <row r="181" spans="4:15" x14ac:dyDescent="0.25">
      <c r="D181" s="8"/>
      <c r="E181" s="8"/>
      <c r="F181" s="3"/>
      <c r="G181" s="9"/>
      <c r="O181" s="3"/>
    </row>
    <row r="182" spans="4:15" x14ac:dyDescent="0.25">
      <c r="D182" s="8"/>
      <c r="E182" s="8"/>
      <c r="F182" s="3"/>
      <c r="G182" s="9"/>
      <c r="O182" s="3"/>
    </row>
    <row r="183" spans="4:15" x14ac:dyDescent="0.25">
      <c r="D183" s="8"/>
      <c r="E183" s="8"/>
      <c r="F183" s="3"/>
      <c r="G183" s="9"/>
      <c r="O183" s="3"/>
    </row>
    <row r="184" spans="4:15" x14ac:dyDescent="0.25">
      <c r="D184" s="8"/>
      <c r="E184" s="8"/>
      <c r="F184" s="3"/>
      <c r="G184" s="9"/>
      <c r="O184" s="3"/>
    </row>
    <row r="185" spans="4:15" x14ac:dyDescent="0.25">
      <c r="D185" s="8"/>
      <c r="E185" s="8"/>
      <c r="F185" s="3"/>
      <c r="G185" s="9"/>
      <c r="O185" s="3"/>
    </row>
    <row r="186" spans="4:15" x14ac:dyDescent="0.25">
      <c r="D186" s="8"/>
      <c r="E186" s="8"/>
      <c r="F186" s="3"/>
      <c r="G186" s="9"/>
      <c r="O186" s="3"/>
    </row>
    <row r="187" spans="4:15" x14ac:dyDescent="0.25">
      <c r="D187" s="8"/>
      <c r="E187" s="8"/>
      <c r="F187" s="3"/>
      <c r="G187" s="9"/>
      <c r="O187" s="3"/>
    </row>
    <row r="188" spans="4:15" x14ac:dyDescent="0.25">
      <c r="D188" s="8"/>
      <c r="E188" s="8"/>
      <c r="F188" s="3"/>
      <c r="G188" s="9"/>
      <c r="O188" s="3"/>
    </row>
    <row r="189" spans="4:15" x14ac:dyDescent="0.25">
      <c r="D189" s="8"/>
      <c r="E189" s="8"/>
      <c r="F189" s="3"/>
      <c r="G189" s="9"/>
      <c r="O189" s="3"/>
    </row>
    <row r="190" spans="4:15" x14ac:dyDescent="0.25">
      <c r="D190" s="8"/>
      <c r="E190" s="8"/>
      <c r="F190" s="3"/>
      <c r="G190" s="9"/>
      <c r="O190" s="3"/>
    </row>
    <row r="191" spans="4:15" x14ac:dyDescent="0.25">
      <c r="D191" s="8"/>
      <c r="E191" s="8"/>
      <c r="F191" s="3"/>
      <c r="G191" s="9"/>
      <c r="O191" s="3"/>
    </row>
    <row r="192" spans="4:15" x14ac:dyDescent="0.25">
      <c r="D192" s="8"/>
      <c r="E192" s="8"/>
      <c r="F192" s="3"/>
      <c r="G192" s="9"/>
      <c r="O192" s="3"/>
    </row>
    <row r="193" spans="4:15" x14ac:dyDescent="0.25">
      <c r="D193" s="8"/>
      <c r="E193" s="8"/>
      <c r="F193" s="3"/>
      <c r="G193" s="9"/>
      <c r="O193" s="3"/>
    </row>
    <row r="194" spans="4:15" x14ac:dyDescent="0.25">
      <c r="D194" s="8"/>
      <c r="E194" s="8"/>
      <c r="F194" s="3"/>
      <c r="G194" s="9"/>
      <c r="O194" s="3"/>
    </row>
    <row r="195" spans="4:15" x14ac:dyDescent="0.25">
      <c r="D195" s="8"/>
      <c r="E195" s="8"/>
      <c r="F195" s="3"/>
      <c r="G195" s="9"/>
      <c r="O195" s="3"/>
    </row>
    <row r="196" spans="4:15" x14ac:dyDescent="0.25">
      <c r="D196" s="8"/>
      <c r="E196" s="8"/>
      <c r="F196" s="3"/>
      <c r="G196" s="9"/>
      <c r="O196" s="3"/>
    </row>
    <row r="197" spans="4:15" x14ac:dyDescent="0.25">
      <c r="D197" s="8"/>
      <c r="E197" s="8"/>
      <c r="F197" s="3"/>
      <c r="G197" s="9"/>
      <c r="O197" s="3"/>
    </row>
    <row r="198" spans="4:15" x14ac:dyDescent="0.25">
      <c r="D198" s="8"/>
      <c r="E198" s="8"/>
      <c r="F198" s="3"/>
      <c r="G198" s="9"/>
      <c r="O198" s="3"/>
    </row>
    <row r="199" spans="4:15" x14ac:dyDescent="0.25">
      <c r="D199" s="8"/>
      <c r="E199" s="8"/>
      <c r="F199" s="3"/>
      <c r="G199" s="9"/>
      <c r="O199" s="3"/>
    </row>
    <row r="200" spans="4:15" x14ac:dyDescent="0.25">
      <c r="D200" s="8"/>
      <c r="E200" s="8"/>
      <c r="F200" s="3"/>
      <c r="G200" s="9"/>
      <c r="O200" s="3"/>
    </row>
    <row r="201" spans="4:15" x14ac:dyDescent="0.25">
      <c r="D201" s="8"/>
      <c r="E201" s="8"/>
      <c r="F201" s="3"/>
      <c r="G201" s="9"/>
      <c r="O201" s="3"/>
    </row>
    <row r="202" spans="4:15" x14ac:dyDescent="0.25">
      <c r="D202" s="8"/>
      <c r="E202" s="8"/>
      <c r="F202" s="3"/>
      <c r="O202" s="3"/>
    </row>
    <row r="203" spans="4:15" x14ac:dyDescent="0.25">
      <c r="D203" s="8"/>
      <c r="E203" s="8"/>
      <c r="F203" s="3"/>
      <c r="G203" s="9"/>
      <c r="O203" s="3"/>
    </row>
    <row r="204" spans="4:15" x14ac:dyDescent="0.25">
      <c r="D204" s="8"/>
      <c r="E204" s="8"/>
      <c r="F204" s="3"/>
      <c r="G204" s="9"/>
      <c r="O204" s="3"/>
    </row>
    <row r="205" spans="4:15" x14ac:dyDescent="0.25">
      <c r="D205" s="8"/>
      <c r="E205" s="8"/>
      <c r="F205" s="3"/>
      <c r="G205" s="9"/>
      <c r="O205" s="3"/>
    </row>
    <row r="206" spans="4:15" x14ac:dyDescent="0.25">
      <c r="D206" s="8"/>
      <c r="E206" s="8"/>
      <c r="F206" s="3"/>
      <c r="G206" s="9"/>
      <c r="O206" s="3"/>
    </row>
    <row r="207" spans="4:15" x14ac:dyDescent="0.25">
      <c r="D207" s="8"/>
      <c r="E207" s="8"/>
      <c r="F207" s="3"/>
      <c r="G207" s="9"/>
      <c r="O207" s="3"/>
    </row>
    <row r="208" spans="4:15" x14ac:dyDescent="0.25">
      <c r="D208" s="8"/>
      <c r="E208" s="8"/>
      <c r="F208" s="3"/>
      <c r="G208" s="9"/>
      <c r="O208" s="3"/>
    </row>
    <row r="209" spans="4:15" x14ac:dyDescent="0.25">
      <c r="D209" s="8"/>
      <c r="E209" s="8"/>
      <c r="F209" s="3"/>
      <c r="G209" s="9"/>
      <c r="O209" s="3"/>
    </row>
    <row r="210" spans="4:15" x14ac:dyDescent="0.25">
      <c r="D210" s="8"/>
      <c r="E210" s="8"/>
      <c r="F210" s="3"/>
      <c r="G210" s="9"/>
      <c r="O210" s="3"/>
    </row>
    <row r="211" spans="4:15" x14ac:dyDescent="0.25">
      <c r="D211" s="8"/>
      <c r="E211" s="8"/>
      <c r="F211" s="3"/>
      <c r="G211" s="9"/>
      <c r="O211" s="3"/>
    </row>
    <row r="212" spans="4:15" x14ac:dyDescent="0.25">
      <c r="D212" s="8"/>
      <c r="E212" s="8"/>
      <c r="F212" s="3"/>
      <c r="G212" s="9"/>
      <c r="O212" s="3"/>
    </row>
    <row r="213" spans="4:15" x14ac:dyDescent="0.25">
      <c r="D213" s="8"/>
      <c r="E213" s="8"/>
      <c r="F213" s="3"/>
      <c r="G213" s="9"/>
      <c r="O213" s="3"/>
    </row>
    <row r="214" spans="4:15" x14ac:dyDescent="0.25">
      <c r="D214" s="8"/>
      <c r="E214" s="8"/>
      <c r="F214" s="3"/>
      <c r="G214" s="9"/>
      <c r="O214" s="3"/>
    </row>
    <row r="215" spans="4:15" x14ac:dyDescent="0.25">
      <c r="D215" s="8"/>
      <c r="E215" s="8"/>
      <c r="F215" s="3"/>
      <c r="G215" s="9"/>
      <c r="O215" s="3"/>
    </row>
    <row r="216" spans="4:15" x14ac:dyDescent="0.25">
      <c r="D216" s="8"/>
      <c r="E216" s="8"/>
      <c r="F216" s="3"/>
      <c r="G216" s="9"/>
      <c r="O216" s="3"/>
    </row>
    <row r="217" spans="4:15" x14ac:dyDescent="0.25">
      <c r="D217" s="8"/>
      <c r="E217" s="8"/>
      <c r="F217" s="3"/>
      <c r="G217" s="9"/>
      <c r="O217" s="3"/>
    </row>
    <row r="218" spans="4:15" x14ac:dyDescent="0.25">
      <c r="D218" s="8"/>
      <c r="E218" s="8"/>
      <c r="F218" s="3"/>
      <c r="G218" s="9"/>
      <c r="O218" s="3"/>
    </row>
    <row r="219" spans="4:15" x14ac:dyDescent="0.25">
      <c r="D219" s="8"/>
      <c r="E219" s="8"/>
      <c r="F219" s="3"/>
      <c r="G219" s="9"/>
      <c r="O219" s="3"/>
    </row>
    <row r="220" spans="4:15" x14ac:dyDescent="0.25">
      <c r="D220" s="8"/>
      <c r="E220" s="8"/>
      <c r="F220" s="3"/>
      <c r="G220" s="9"/>
      <c r="O220" s="3"/>
    </row>
    <row r="221" spans="4:15" x14ac:dyDescent="0.25">
      <c r="D221" s="8"/>
      <c r="E221" s="8"/>
      <c r="F221" s="3"/>
      <c r="G221" s="9"/>
      <c r="O221" s="3"/>
    </row>
    <row r="222" spans="4:15" x14ac:dyDescent="0.25">
      <c r="D222" s="8"/>
      <c r="E222" s="8"/>
      <c r="F222" s="3"/>
      <c r="G222" s="9"/>
      <c r="O222" s="3"/>
    </row>
    <row r="223" spans="4:15" x14ac:dyDescent="0.25">
      <c r="D223" s="8"/>
      <c r="E223" s="8"/>
      <c r="F223" s="3"/>
      <c r="G223" s="9"/>
      <c r="O223" s="3"/>
    </row>
    <row r="224" spans="4:15" x14ac:dyDescent="0.25">
      <c r="D224" s="8"/>
      <c r="E224" s="8"/>
      <c r="F224" s="3"/>
      <c r="G224" s="9"/>
      <c r="O224" s="3"/>
    </row>
    <row r="225" spans="4:15" x14ac:dyDescent="0.25">
      <c r="D225" s="8"/>
      <c r="E225" s="8"/>
      <c r="F225" s="3"/>
      <c r="G225" s="9"/>
      <c r="O225" s="3"/>
    </row>
    <row r="226" spans="4:15" x14ac:dyDescent="0.25">
      <c r="D226" s="8"/>
      <c r="E226" s="8"/>
      <c r="F226" s="3"/>
      <c r="G226" s="9"/>
      <c r="O226" s="3"/>
    </row>
    <row r="227" spans="4:15" x14ac:dyDescent="0.25">
      <c r="D227" s="8"/>
      <c r="E227" s="8"/>
      <c r="F227" s="3"/>
      <c r="O227" s="3"/>
    </row>
    <row r="228" spans="4:15" x14ac:dyDescent="0.25">
      <c r="D228" s="8"/>
      <c r="E228" s="8"/>
      <c r="F228" s="3"/>
      <c r="G228" s="9"/>
      <c r="O228" s="3"/>
    </row>
    <row r="229" spans="4:15" x14ac:dyDescent="0.25">
      <c r="D229" s="8"/>
      <c r="E229" s="8"/>
      <c r="F229" s="3"/>
      <c r="G229" s="9"/>
      <c r="O229" s="3"/>
    </row>
    <row r="230" spans="4:15" x14ac:dyDescent="0.25">
      <c r="D230" s="8"/>
      <c r="E230" s="8"/>
      <c r="F230" s="3"/>
      <c r="G230" s="9"/>
      <c r="O230" s="3"/>
    </row>
    <row r="231" spans="4:15" x14ac:dyDescent="0.25">
      <c r="D231" s="8"/>
      <c r="E231" s="8"/>
      <c r="F231" s="3"/>
      <c r="G231" s="9"/>
      <c r="O231" s="3"/>
    </row>
    <row r="232" spans="4:15" x14ac:dyDescent="0.25">
      <c r="D232" s="8"/>
      <c r="E232" s="8"/>
      <c r="F232" s="3"/>
      <c r="G232" s="9"/>
      <c r="O232" s="3"/>
    </row>
    <row r="233" spans="4:15" x14ac:dyDescent="0.25">
      <c r="D233" s="8"/>
      <c r="E233" s="8"/>
      <c r="F233" s="3"/>
      <c r="G233" s="9"/>
      <c r="O233" s="3"/>
    </row>
    <row r="234" spans="4:15" x14ac:dyDescent="0.25">
      <c r="D234" s="8"/>
      <c r="E234" s="8"/>
      <c r="F234" s="3"/>
      <c r="G234" s="9"/>
      <c r="O234" s="3"/>
    </row>
    <row r="235" spans="4:15" x14ac:dyDescent="0.25">
      <c r="D235" s="8"/>
      <c r="E235" s="8"/>
      <c r="F235" s="3"/>
      <c r="G235" s="9"/>
      <c r="O235" s="3"/>
    </row>
    <row r="236" spans="4:15" x14ac:dyDescent="0.25">
      <c r="D236" s="8"/>
      <c r="E236" s="8"/>
      <c r="F236" s="3"/>
      <c r="G236" s="9"/>
      <c r="O236" s="3"/>
    </row>
    <row r="237" spans="4:15" x14ac:dyDescent="0.25">
      <c r="D237" s="8"/>
      <c r="E237" s="8"/>
      <c r="F237" s="3"/>
      <c r="G237" s="9"/>
      <c r="O237" s="3"/>
    </row>
    <row r="238" spans="4:15" x14ac:dyDescent="0.25">
      <c r="D238" s="8"/>
      <c r="E238" s="8"/>
      <c r="F238" s="3"/>
      <c r="G238" s="9"/>
      <c r="O238" s="3"/>
    </row>
    <row r="239" spans="4:15" x14ac:dyDescent="0.25">
      <c r="D239" s="8"/>
      <c r="E239" s="8"/>
      <c r="F239" s="3"/>
      <c r="G239" s="9"/>
      <c r="O239" s="3"/>
    </row>
    <row r="240" spans="4:15" x14ac:dyDescent="0.25">
      <c r="D240" s="8"/>
      <c r="E240" s="8"/>
      <c r="F240" s="3"/>
      <c r="G240" s="9"/>
      <c r="O240" s="3"/>
    </row>
    <row r="241" spans="4:15" x14ac:dyDescent="0.25">
      <c r="D241" s="8"/>
      <c r="E241" s="8"/>
      <c r="F241" s="3"/>
      <c r="G241" s="9"/>
      <c r="O241" s="3"/>
    </row>
    <row r="242" spans="4:15" x14ac:dyDescent="0.25">
      <c r="D242" s="8"/>
      <c r="E242" s="8"/>
      <c r="F242" s="3"/>
      <c r="G242" s="9"/>
      <c r="O242" s="3"/>
    </row>
    <row r="243" spans="4:15" x14ac:dyDescent="0.25">
      <c r="D243" s="8"/>
      <c r="E243" s="8"/>
      <c r="F243" s="3"/>
      <c r="G243" s="9"/>
      <c r="O243" s="3"/>
    </row>
    <row r="244" spans="4:15" x14ac:dyDescent="0.25">
      <c r="D244" s="8"/>
      <c r="E244" s="8"/>
      <c r="F244" s="3"/>
      <c r="G244" s="9"/>
      <c r="O244" s="3"/>
    </row>
    <row r="245" spans="4:15" x14ac:dyDescent="0.25">
      <c r="D245" s="8"/>
      <c r="E245" s="8"/>
      <c r="F245" s="3"/>
      <c r="G245" s="9"/>
      <c r="O245" s="3"/>
    </row>
    <row r="246" spans="4:15" x14ac:dyDescent="0.25">
      <c r="D246" s="8"/>
      <c r="E246" s="8"/>
      <c r="F246" s="3"/>
      <c r="G246" s="9"/>
      <c r="O246" s="3"/>
    </row>
    <row r="247" spans="4:15" x14ac:dyDescent="0.25">
      <c r="D247" s="8"/>
      <c r="E247" s="8"/>
      <c r="F247" s="3"/>
      <c r="G247" s="9"/>
      <c r="O247" s="3"/>
    </row>
    <row r="248" spans="4:15" x14ac:dyDescent="0.25">
      <c r="D248" s="8"/>
      <c r="E248" s="8"/>
      <c r="F248" s="3"/>
      <c r="G248" s="9"/>
      <c r="O248" s="3"/>
    </row>
    <row r="249" spans="4:15" x14ac:dyDescent="0.25">
      <c r="D249" s="8"/>
      <c r="E249" s="8"/>
      <c r="F249" s="3"/>
      <c r="G249" s="9"/>
      <c r="O249" s="3"/>
    </row>
    <row r="250" spans="4:15" x14ac:dyDescent="0.25">
      <c r="D250" s="8"/>
      <c r="E250" s="8"/>
      <c r="F250" s="3"/>
      <c r="G250" s="9"/>
      <c r="O250" s="3"/>
    </row>
    <row r="251" spans="4:15" x14ac:dyDescent="0.25">
      <c r="D251" s="8"/>
      <c r="E251" s="8"/>
      <c r="F251" s="3"/>
      <c r="G251" s="9"/>
      <c r="O251" s="3"/>
    </row>
    <row r="252" spans="4:15" x14ac:dyDescent="0.25">
      <c r="D252" s="8"/>
      <c r="E252" s="8"/>
      <c r="F252" s="3"/>
      <c r="O252" s="3"/>
    </row>
    <row r="253" spans="4:15" x14ac:dyDescent="0.25">
      <c r="D253" s="8"/>
      <c r="E253" s="8"/>
      <c r="F253" s="3"/>
      <c r="G253" s="9"/>
      <c r="O253" s="3"/>
    </row>
    <row r="254" spans="4:15" x14ac:dyDescent="0.25">
      <c r="D254" s="8"/>
      <c r="E254" s="8"/>
      <c r="F254" s="3"/>
      <c r="G254" s="9"/>
      <c r="O254" s="3"/>
    </row>
    <row r="255" spans="4:15" x14ac:dyDescent="0.25">
      <c r="D255" s="8"/>
      <c r="E255" s="8"/>
      <c r="F255" s="3"/>
      <c r="G255" s="9"/>
      <c r="O255" s="3"/>
    </row>
    <row r="256" spans="4:15" x14ac:dyDescent="0.25">
      <c r="D256" s="8"/>
      <c r="E256" s="8"/>
      <c r="F256" s="3"/>
      <c r="G256" s="9"/>
      <c r="O256" s="3"/>
    </row>
    <row r="257" spans="4:15" x14ac:dyDescent="0.25">
      <c r="D257" s="8"/>
      <c r="E257" s="8"/>
      <c r="F257" s="3"/>
      <c r="G257" s="9"/>
      <c r="O257" s="3"/>
    </row>
    <row r="258" spans="4:15" x14ac:dyDescent="0.25">
      <c r="D258" s="8"/>
      <c r="E258" s="8"/>
      <c r="F258" s="3"/>
      <c r="G258" s="9"/>
      <c r="O258" s="3"/>
    </row>
    <row r="259" spans="4:15" x14ac:dyDescent="0.25">
      <c r="D259" s="8"/>
      <c r="E259" s="8"/>
      <c r="F259" s="3"/>
      <c r="G259" s="9"/>
      <c r="O259" s="3"/>
    </row>
    <row r="260" spans="4:15" x14ac:dyDescent="0.25">
      <c r="D260" s="8"/>
      <c r="E260" s="8"/>
      <c r="F260" s="3"/>
      <c r="G260" s="9"/>
      <c r="O260" s="3"/>
    </row>
    <row r="261" spans="4:15" x14ac:dyDescent="0.25">
      <c r="D261" s="8"/>
      <c r="E261" s="8"/>
      <c r="F261" s="3"/>
      <c r="G261" s="9"/>
      <c r="O261" s="3"/>
    </row>
    <row r="262" spans="4:15" x14ac:dyDescent="0.25">
      <c r="D262" s="8"/>
      <c r="E262" s="8"/>
      <c r="F262" s="3"/>
      <c r="G262" s="9"/>
      <c r="O262" s="3"/>
    </row>
    <row r="263" spans="4:15" x14ac:dyDescent="0.25">
      <c r="D263" s="8"/>
      <c r="E263" s="8"/>
      <c r="F263" s="3"/>
      <c r="G263" s="9"/>
      <c r="O263" s="3"/>
    </row>
    <row r="264" spans="4:15" x14ac:dyDescent="0.25">
      <c r="D264" s="8"/>
      <c r="E264" s="8"/>
      <c r="F264" s="3"/>
      <c r="G264" s="9"/>
      <c r="O264" s="3"/>
    </row>
    <row r="265" spans="4:15" x14ac:dyDescent="0.25">
      <c r="D265" s="8"/>
      <c r="E265" s="8"/>
      <c r="F265" s="3"/>
      <c r="G265" s="9"/>
      <c r="O265" s="3"/>
    </row>
    <row r="266" spans="4:15" x14ac:dyDescent="0.25">
      <c r="D266" s="8"/>
      <c r="E266" s="8"/>
      <c r="F266" s="3"/>
      <c r="G266" s="9"/>
      <c r="O266" s="3"/>
    </row>
    <row r="267" spans="4:15" x14ac:dyDescent="0.25">
      <c r="D267" s="8"/>
      <c r="E267" s="8"/>
      <c r="F267" s="3"/>
      <c r="G267" s="9"/>
      <c r="O267" s="3"/>
    </row>
    <row r="268" spans="4:15" x14ac:dyDescent="0.25">
      <c r="D268" s="8"/>
      <c r="E268" s="8"/>
      <c r="F268" s="3"/>
      <c r="G268" s="9"/>
      <c r="O268" s="3"/>
    </row>
    <row r="269" spans="4:15" x14ac:dyDescent="0.25">
      <c r="D269" s="8"/>
      <c r="E269" s="8"/>
      <c r="F269" s="3"/>
      <c r="G269" s="9"/>
      <c r="O269" s="3"/>
    </row>
    <row r="270" spans="4:15" x14ac:dyDescent="0.25">
      <c r="D270" s="8"/>
      <c r="E270" s="8"/>
      <c r="F270" s="3"/>
      <c r="G270" s="9"/>
      <c r="O270" s="3"/>
    </row>
    <row r="271" spans="4:15" x14ac:dyDescent="0.25">
      <c r="D271" s="8"/>
      <c r="E271" s="8"/>
      <c r="F271" s="3"/>
      <c r="G271" s="9"/>
      <c r="O271" s="3"/>
    </row>
    <row r="272" spans="4:15" x14ac:dyDescent="0.25">
      <c r="D272" s="8"/>
      <c r="E272" s="8"/>
      <c r="F272" s="3"/>
      <c r="G272" s="9"/>
      <c r="O272" s="3"/>
    </row>
    <row r="273" spans="4:15" x14ac:dyDescent="0.25">
      <c r="D273" s="8"/>
      <c r="E273" s="8"/>
      <c r="F273" s="3"/>
      <c r="G273" s="9"/>
      <c r="O273" s="3"/>
    </row>
    <row r="274" spans="4:15" x14ac:dyDescent="0.25">
      <c r="D274" s="8"/>
      <c r="E274" s="8"/>
      <c r="F274" s="3"/>
      <c r="G274" s="9"/>
      <c r="O274" s="3"/>
    </row>
    <row r="275" spans="4:15" x14ac:dyDescent="0.25">
      <c r="D275" s="8"/>
      <c r="E275" s="8"/>
      <c r="F275" s="3"/>
      <c r="G275" s="9"/>
      <c r="O275" s="3"/>
    </row>
    <row r="276" spans="4:15" x14ac:dyDescent="0.25">
      <c r="D276" s="8"/>
      <c r="E276" s="8"/>
      <c r="F276" s="3"/>
      <c r="G276" s="9"/>
      <c r="O276" s="3"/>
    </row>
    <row r="277" spans="4:15" x14ac:dyDescent="0.25">
      <c r="D277" s="8"/>
      <c r="E277" s="8"/>
      <c r="F277" s="3"/>
      <c r="O277" s="3"/>
    </row>
    <row r="278" spans="4:15" x14ac:dyDescent="0.25">
      <c r="D278" s="8"/>
      <c r="E278" s="8"/>
      <c r="F278" s="3"/>
      <c r="G278" s="9"/>
      <c r="O278" s="3"/>
    </row>
    <row r="279" spans="4:15" x14ac:dyDescent="0.25">
      <c r="D279" s="8"/>
      <c r="E279" s="8"/>
      <c r="F279" s="3"/>
      <c r="G279" s="9"/>
      <c r="O279" s="3"/>
    </row>
    <row r="280" spans="4:15" x14ac:dyDescent="0.25">
      <c r="D280" s="8"/>
      <c r="E280" s="8"/>
      <c r="F280" s="3"/>
      <c r="G280" s="9"/>
      <c r="O280" s="3"/>
    </row>
    <row r="281" spans="4:15" x14ac:dyDescent="0.25">
      <c r="D281" s="8"/>
      <c r="E281" s="8"/>
      <c r="F281" s="3"/>
      <c r="G281" s="9"/>
      <c r="O281" s="3"/>
    </row>
    <row r="282" spans="4:15" x14ac:dyDescent="0.25">
      <c r="D282" s="8"/>
      <c r="E282" s="8"/>
      <c r="F282" s="3"/>
      <c r="G282" s="9"/>
      <c r="O282" s="3"/>
    </row>
    <row r="283" spans="4:15" x14ac:dyDescent="0.25">
      <c r="D283" s="8"/>
      <c r="E283" s="8"/>
      <c r="F283" s="3"/>
      <c r="G283" s="9"/>
      <c r="O283" s="3"/>
    </row>
    <row r="284" spans="4:15" x14ac:dyDescent="0.25">
      <c r="D284" s="8"/>
      <c r="E284" s="8"/>
      <c r="F284" s="3"/>
      <c r="G284" s="9"/>
      <c r="O284" s="3"/>
    </row>
    <row r="285" spans="4:15" x14ac:dyDescent="0.25">
      <c r="D285" s="8"/>
      <c r="E285" s="8"/>
      <c r="F285" s="3"/>
      <c r="G285" s="9"/>
      <c r="O285" s="3"/>
    </row>
    <row r="286" spans="4:15" x14ac:dyDescent="0.25">
      <c r="D286" s="8"/>
      <c r="E286" s="8"/>
      <c r="F286" s="3"/>
      <c r="G286" s="9"/>
      <c r="O286" s="3"/>
    </row>
    <row r="287" spans="4:15" x14ac:dyDescent="0.25">
      <c r="D287" s="8"/>
      <c r="E287" s="8"/>
      <c r="F287" s="3"/>
      <c r="G287" s="9"/>
      <c r="O287" s="3"/>
    </row>
    <row r="288" spans="4:15" x14ac:dyDescent="0.25">
      <c r="D288" s="8"/>
      <c r="E288" s="8"/>
      <c r="F288" s="3"/>
      <c r="G288" s="9"/>
      <c r="O288" s="3"/>
    </row>
    <row r="289" spans="4:15" x14ac:dyDescent="0.25">
      <c r="D289" s="8"/>
      <c r="E289" s="8"/>
      <c r="F289" s="3"/>
      <c r="G289" s="9"/>
      <c r="O289" s="3"/>
    </row>
    <row r="290" spans="4:15" x14ac:dyDescent="0.25">
      <c r="D290" s="8"/>
      <c r="E290" s="8"/>
      <c r="F290" s="3"/>
      <c r="G290" s="9"/>
      <c r="O290" s="3"/>
    </row>
    <row r="291" spans="4:15" x14ac:dyDescent="0.25">
      <c r="D291" s="8"/>
      <c r="E291" s="8"/>
      <c r="F291" s="3"/>
      <c r="G291" s="9"/>
      <c r="O291" s="3"/>
    </row>
    <row r="292" spans="4:15" x14ac:dyDescent="0.25">
      <c r="D292" s="8"/>
      <c r="E292" s="8"/>
      <c r="F292" s="3"/>
      <c r="G292" s="9"/>
      <c r="O292" s="3"/>
    </row>
    <row r="293" spans="4:15" x14ac:dyDescent="0.25">
      <c r="D293" s="8"/>
      <c r="E293" s="8"/>
      <c r="F293" s="3"/>
      <c r="G293" s="9"/>
      <c r="O293" s="3"/>
    </row>
    <row r="294" spans="4:15" x14ac:dyDescent="0.25">
      <c r="D294" s="8"/>
      <c r="E294" s="8"/>
      <c r="F294" s="3"/>
      <c r="G294" s="9"/>
      <c r="O294" s="3"/>
    </row>
    <row r="295" spans="4:15" x14ac:dyDescent="0.25">
      <c r="D295" s="8"/>
      <c r="E295" s="8"/>
      <c r="F295" s="3"/>
      <c r="G295" s="9"/>
      <c r="O295" s="3"/>
    </row>
    <row r="296" spans="4:15" x14ac:dyDescent="0.25">
      <c r="D296" s="8"/>
      <c r="E296" s="8"/>
      <c r="F296" s="3"/>
      <c r="G296" s="9"/>
      <c r="O296" s="3"/>
    </row>
    <row r="297" spans="4:15" x14ac:dyDescent="0.25">
      <c r="D297" s="8"/>
      <c r="E297" s="8"/>
      <c r="F297" s="3"/>
      <c r="G297" s="9"/>
      <c r="O297" s="3"/>
    </row>
    <row r="298" spans="4:15" x14ac:dyDescent="0.25">
      <c r="D298" s="8"/>
      <c r="E298" s="8"/>
      <c r="F298" s="3"/>
      <c r="G298" s="9"/>
      <c r="O298" s="3"/>
    </row>
    <row r="299" spans="4:15" x14ac:dyDescent="0.25">
      <c r="D299" s="8"/>
      <c r="E299" s="8"/>
      <c r="F299" s="3"/>
      <c r="G299" s="9"/>
      <c r="O299" s="3"/>
    </row>
    <row r="300" spans="4:15" x14ac:dyDescent="0.25">
      <c r="D300" s="8"/>
      <c r="E300" s="8"/>
      <c r="F300" s="3"/>
      <c r="G300" s="9"/>
      <c r="O300" s="3"/>
    </row>
    <row r="301" spans="4:15" x14ac:dyDescent="0.25">
      <c r="D301" s="8"/>
      <c r="E301" s="8"/>
      <c r="F301" s="3"/>
      <c r="G301" s="9"/>
      <c r="O301" s="3"/>
    </row>
    <row r="302" spans="4:15" x14ac:dyDescent="0.25">
      <c r="D302" s="8"/>
      <c r="E302" s="8"/>
      <c r="F302" s="3"/>
      <c r="O302" s="3"/>
    </row>
    <row r="303" spans="4:15" x14ac:dyDescent="0.25">
      <c r="D303" s="8"/>
      <c r="E303" s="8"/>
      <c r="F303" s="3"/>
      <c r="G303" s="9"/>
      <c r="O303" s="3"/>
    </row>
    <row r="304" spans="4:15" x14ac:dyDescent="0.25">
      <c r="D304" s="8"/>
      <c r="E304" s="8"/>
      <c r="F304" s="3"/>
      <c r="G304" s="9"/>
      <c r="O304" s="3"/>
    </row>
    <row r="305" spans="4:15" x14ac:dyDescent="0.25">
      <c r="D305" s="8"/>
      <c r="E305" s="8"/>
      <c r="F305" s="3"/>
      <c r="G305" s="9"/>
      <c r="O305" s="3"/>
    </row>
    <row r="306" spans="4:15" x14ac:dyDescent="0.25">
      <c r="D306" s="8"/>
      <c r="E306" s="8"/>
      <c r="F306" s="3"/>
      <c r="G306" s="9"/>
      <c r="O306" s="3"/>
    </row>
    <row r="307" spans="4:15" x14ac:dyDescent="0.25">
      <c r="D307" s="8"/>
      <c r="E307" s="8"/>
      <c r="F307" s="3"/>
      <c r="G307" s="9"/>
      <c r="O307" s="3"/>
    </row>
    <row r="308" spans="4:15" x14ac:dyDescent="0.25">
      <c r="D308" s="8"/>
      <c r="E308" s="8"/>
      <c r="F308" s="3"/>
      <c r="G308" s="9"/>
      <c r="O308" s="3"/>
    </row>
    <row r="309" spans="4:15" x14ac:dyDescent="0.25">
      <c r="D309" s="8"/>
      <c r="E309" s="8"/>
      <c r="F309" s="3"/>
      <c r="G309" s="9"/>
      <c r="O309" s="3"/>
    </row>
    <row r="310" spans="4:15" x14ac:dyDescent="0.25">
      <c r="D310" s="8"/>
      <c r="E310" s="8"/>
      <c r="F310" s="3"/>
      <c r="G310" s="9"/>
      <c r="O310" s="3"/>
    </row>
    <row r="311" spans="4:15" x14ac:dyDescent="0.25">
      <c r="D311" s="8"/>
      <c r="E311" s="8"/>
      <c r="F311" s="3"/>
      <c r="G311" s="9"/>
      <c r="O311" s="3"/>
    </row>
    <row r="312" spans="4:15" x14ac:dyDescent="0.25">
      <c r="D312" s="8"/>
      <c r="E312" s="8"/>
      <c r="F312" s="3"/>
      <c r="G312" s="9"/>
      <c r="O312" s="3"/>
    </row>
    <row r="313" spans="4:15" x14ac:dyDescent="0.25">
      <c r="D313" s="8"/>
      <c r="E313" s="8"/>
      <c r="F313" s="3"/>
      <c r="G313" s="9"/>
      <c r="O313" s="3"/>
    </row>
    <row r="314" spans="4:15" x14ac:dyDescent="0.25">
      <c r="D314" s="8"/>
      <c r="E314" s="8"/>
      <c r="F314" s="3"/>
      <c r="G314" s="9"/>
      <c r="O314" s="3"/>
    </row>
    <row r="315" spans="4:15" x14ac:dyDescent="0.25">
      <c r="D315" s="8"/>
      <c r="E315" s="8"/>
      <c r="F315" s="3"/>
      <c r="G315" s="9"/>
      <c r="O315" s="3"/>
    </row>
    <row r="316" spans="4:15" x14ac:dyDescent="0.25">
      <c r="D316" s="8"/>
      <c r="E316" s="8"/>
      <c r="F316" s="3"/>
      <c r="G316" s="9"/>
      <c r="O316" s="3"/>
    </row>
    <row r="317" spans="4:15" x14ac:dyDescent="0.25">
      <c r="D317" s="8"/>
      <c r="E317" s="8"/>
      <c r="F317" s="3"/>
      <c r="G317" s="9"/>
      <c r="O317" s="3"/>
    </row>
    <row r="318" spans="4:15" x14ac:dyDescent="0.25">
      <c r="D318" s="8"/>
      <c r="E318" s="8"/>
      <c r="F318" s="3"/>
      <c r="G318" s="9"/>
      <c r="O318" s="3"/>
    </row>
    <row r="319" spans="4:15" x14ac:dyDescent="0.25">
      <c r="D319" s="8"/>
      <c r="E319" s="8"/>
      <c r="F319" s="3"/>
      <c r="G319" s="9"/>
      <c r="O319" s="3"/>
    </row>
    <row r="320" spans="4:15" x14ac:dyDescent="0.25">
      <c r="D320" s="8"/>
      <c r="E320" s="8"/>
      <c r="F320" s="3"/>
      <c r="G320" s="9"/>
      <c r="O320" s="3"/>
    </row>
    <row r="321" spans="4:15" x14ac:dyDescent="0.25">
      <c r="D321" s="8"/>
      <c r="E321" s="8"/>
      <c r="F321" s="3"/>
      <c r="G321" s="9"/>
      <c r="O321" s="3"/>
    </row>
    <row r="322" spans="4:15" x14ac:dyDescent="0.25">
      <c r="D322" s="8"/>
      <c r="E322" s="8"/>
      <c r="F322" s="3"/>
      <c r="G322" s="9"/>
      <c r="O322" s="3"/>
    </row>
    <row r="323" spans="4:15" x14ac:dyDescent="0.25">
      <c r="D323" s="8"/>
      <c r="E323" s="8"/>
      <c r="F323" s="3"/>
      <c r="G323" s="9"/>
      <c r="O323" s="3"/>
    </row>
    <row r="324" spans="4:15" x14ac:dyDescent="0.25">
      <c r="D324" s="8"/>
      <c r="E324" s="8"/>
      <c r="F324" s="3"/>
      <c r="G324" s="9"/>
      <c r="O324" s="3"/>
    </row>
    <row r="325" spans="4:15" x14ac:dyDescent="0.25">
      <c r="D325" s="8"/>
      <c r="E325" s="8"/>
      <c r="F325" s="3"/>
      <c r="G325" s="9"/>
      <c r="O325" s="3"/>
    </row>
    <row r="326" spans="4:15" x14ac:dyDescent="0.25">
      <c r="D326" s="8"/>
      <c r="E326" s="8"/>
      <c r="F326" s="3"/>
      <c r="G326" s="9"/>
      <c r="O326" s="3"/>
    </row>
    <row r="327" spans="4:15" x14ac:dyDescent="0.25">
      <c r="D327" s="8"/>
      <c r="E327" s="8"/>
      <c r="F327" s="3"/>
      <c r="O327" s="3"/>
    </row>
    <row r="328" spans="4:15" x14ac:dyDescent="0.25">
      <c r="D328" s="8"/>
      <c r="E328" s="8"/>
      <c r="F328" s="3"/>
      <c r="G328" s="9"/>
      <c r="O328" s="3"/>
    </row>
    <row r="329" spans="4:15" x14ac:dyDescent="0.25">
      <c r="D329" s="8"/>
      <c r="E329" s="8"/>
      <c r="F329" s="3"/>
      <c r="G329" s="9"/>
      <c r="O329" s="3"/>
    </row>
    <row r="330" spans="4:15" x14ac:dyDescent="0.25">
      <c r="D330" s="8"/>
      <c r="E330" s="8"/>
      <c r="F330" s="3"/>
      <c r="G330" s="9"/>
      <c r="O330" s="3"/>
    </row>
    <row r="331" spans="4:15" x14ac:dyDescent="0.25">
      <c r="D331" s="8"/>
      <c r="E331" s="8"/>
      <c r="F331" s="3"/>
      <c r="G331" s="9"/>
      <c r="O331" s="3"/>
    </row>
    <row r="332" spans="4:15" x14ac:dyDescent="0.25">
      <c r="D332" s="8"/>
      <c r="E332" s="8"/>
      <c r="F332" s="3"/>
      <c r="G332" s="9"/>
      <c r="O332" s="3"/>
    </row>
    <row r="333" spans="4:15" x14ac:dyDescent="0.25">
      <c r="D333" s="8"/>
      <c r="E333" s="8"/>
      <c r="F333" s="3"/>
      <c r="G333" s="9"/>
      <c r="O333" s="3"/>
    </row>
    <row r="334" spans="4:15" x14ac:dyDescent="0.25">
      <c r="D334" s="8"/>
      <c r="E334" s="8"/>
      <c r="F334" s="3"/>
      <c r="G334" s="9"/>
      <c r="O334" s="3"/>
    </row>
    <row r="335" spans="4:15" x14ac:dyDescent="0.25">
      <c r="D335" s="8"/>
      <c r="E335" s="8"/>
      <c r="F335" s="3"/>
      <c r="G335" s="9"/>
      <c r="O335" s="3"/>
    </row>
    <row r="336" spans="4:15" x14ac:dyDescent="0.25">
      <c r="D336" s="8"/>
      <c r="E336" s="8"/>
      <c r="F336" s="3"/>
      <c r="G336" s="9"/>
      <c r="O336" s="3"/>
    </row>
    <row r="337" spans="4:15" x14ac:dyDescent="0.25">
      <c r="D337" s="8"/>
      <c r="E337" s="8"/>
      <c r="F337" s="3"/>
      <c r="G337" s="9"/>
      <c r="O337" s="3"/>
    </row>
    <row r="338" spans="4:15" x14ac:dyDescent="0.25">
      <c r="D338" s="8"/>
      <c r="E338" s="8"/>
      <c r="F338" s="3"/>
      <c r="G338" s="9"/>
      <c r="O338" s="3"/>
    </row>
    <row r="339" spans="4:15" x14ac:dyDescent="0.25">
      <c r="D339" s="8"/>
      <c r="E339" s="8"/>
      <c r="F339" s="3"/>
      <c r="G339" s="9"/>
      <c r="O339" s="3"/>
    </row>
    <row r="340" spans="4:15" x14ac:dyDescent="0.25">
      <c r="D340" s="8"/>
      <c r="E340" s="8"/>
      <c r="F340" s="3"/>
      <c r="G340" s="9"/>
      <c r="O340" s="3"/>
    </row>
    <row r="341" spans="4:15" x14ac:dyDescent="0.25">
      <c r="D341" s="8"/>
      <c r="E341" s="8"/>
      <c r="F341" s="3"/>
      <c r="G341" s="9"/>
      <c r="O341" s="3"/>
    </row>
    <row r="342" spans="4:15" x14ac:dyDescent="0.25">
      <c r="D342" s="8"/>
      <c r="E342" s="8"/>
      <c r="F342" s="3"/>
      <c r="G342" s="9"/>
      <c r="O342" s="3"/>
    </row>
    <row r="343" spans="4:15" x14ac:dyDescent="0.25">
      <c r="D343" s="8"/>
      <c r="E343" s="8"/>
      <c r="F343" s="3"/>
      <c r="G343" s="9"/>
      <c r="O343" s="3"/>
    </row>
    <row r="344" spans="4:15" x14ac:dyDescent="0.25">
      <c r="D344" s="8"/>
      <c r="E344" s="8"/>
      <c r="F344" s="3"/>
      <c r="G344" s="9"/>
      <c r="O344" s="3"/>
    </row>
    <row r="345" spans="4:15" x14ac:dyDescent="0.25">
      <c r="D345" s="8"/>
      <c r="E345" s="8"/>
      <c r="F345" s="3"/>
      <c r="G345" s="9"/>
      <c r="O345" s="3"/>
    </row>
    <row r="346" spans="4:15" x14ac:dyDescent="0.25">
      <c r="D346" s="8"/>
      <c r="E346" s="8"/>
      <c r="F346" s="3"/>
      <c r="G346" s="9"/>
      <c r="O346" s="3"/>
    </row>
    <row r="347" spans="4:15" x14ac:dyDescent="0.25">
      <c r="D347" s="8"/>
      <c r="E347" s="8"/>
      <c r="F347" s="3"/>
      <c r="G347" s="9"/>
      <c r="O347" s="3"/>
    </row>
    <row r="348" spans="4:15" x14ac:dyDescent="0.25">
      <c r="D348" s="8"/>
      <c r="E348" s="8"/>
      <c r="F348" s="3"/>
      <c r="G348" s="9"/>
      <c r="O348" s="3"/>
    </row>
    <row r="349" spans="4:15" x14ac:dyDescent="0.25">
      <c r="D349" s="8"/>
      <c r="E349" s="8"/>
      <c r="F349" s="3"/>
      <c r="G349" s="9"/>
      <c r="O349" s="3"/>
    </row>
    <row r="350" spans="4:15" x14ac:dyDescent="0.25">
      <c r="D350" s="8"/>
      <c r="E350" s="8"/>
      <c r="F350" s="3"/>
      <c r="G350" s="9"/>
      <c r="O350" s="3"/>
    </row>
    <row r="351" spans="4:15" x14ac:dyDescent="0.25">
      <c r="D351" s="8"/>
      <c r="E351" s="8"/>
      <c r="F351" s="3"/>
      <c r="G351" s="9"/>
      <c r="O351" s="3"/>
    </row>
    <row r="352" spans="4:15" x14ac:dyDescent="0.25">
      <c r="D352" s="8"/>
      <c r="E352" s="8"/>
      <c r="F352" s="3"/>
      <c r="O352" s="3"/>
    </row>
    <row r="353" spans="4:15" x14ac:dyDescent="0.25">
      <c r="D353" s="8"/>
      <c r="E353" s="8"/>
      <c r="F353" s="3"/>
      <c r="G353" s="9"/>
      <c r="O353" s="3"/>
    </row>
    <row r="354" spans="4:15" x14ac:dyDescent="0.25">
      <c r="D354" s="8"/>
      <c r="E354" s="8"/>
      <c r="F354" s="3"/>
      <c r="G354" s="9"/>
      <c r="O354" s="3"/>
    </row>
    <row r="355" spans="4:15" x14ac:dyDescent="0.25">
      <c r="D355" s="8"/>
      <c r="E355" s="8"/>
      <c r="F355" s="3"/>
      <c r="G355" s="9"/>
      <c r="O355" s="3"/>
    </row>
    <row r="356" spans="4:15" x14ac:dyDescent="0.25">
      <c r="D356" s="8"/>
      <c r="E356" s="8"/>
      <c r="F356" s="3"/>
      <c r="G356" s="9"/>
      <c r="O356" s="3"/>
    </row>
    <row r="357" spans="4:15" x14ac:dyDescent="0.25">
      <c r="D357" s="8"/>
      <c r="E357" s="8"/>
      <c r="F357" s="3"/>
      <c r="G357" s="9"/>
      <c r="O357" s="3"/>
    </row>
    <row r="358" spans="4:15" x14ac:dyDescent="0.25">
      <c r="D358" s="8"/>
      <c r="E358" s="8"/>
      <c r="F358" s="3"/>
      <c r="G358" s="9"/>
      <c r="O358" s="3"/>
    </row>
    <row r="359" spans="4:15" x14ac:dyDescent="0.25">
      <c r="D359" s="8"/>
      <c r="E359" s="8"/>
      <c r="F359" s="3"/>
      <c r="G359" s="9"/>
      <c r="O359" s="3"/>
    </row>
    <row r="360" spans="4:15" x14ac:dyDescent="0.25">
      <c r="D360" s="8"/>
      <c r="E360" s="8"/>
      <c r="F360" s="3"/>
      <c r="G360" s="9"/>
      <c r="O360" s="3"/>
    </row>
    <row r="361" spans="4:15" x14ac:dyDescent="0.25">
      <c r="D361" s="8"/>
      <c r="E361" s="8"/>
      <c r="F361" s="3"/>
      <c r="G361" s="9"/>
      <c r="O361" s="3"/>
    </row>
    <row r="362" spans="4:15" x14ac:dyDescent="0.25">
      <c r="D362" s="8"/>
      <c r="E362" s="8"/>
      <c r="F362" s="3"/>
      <c r="G362" s="9"/>
      <c r="O362" s="3"/>
    </row>
    <row r="363" spans="4:15" x14ac:dyDescent="0.25">
      <c r="D363" s="8"/>
      <c r="E363" s="8"/>
      <c r="F363" s="3"/>
      <c r="G363" s="9"/>
      <c r="O363" s="3"/>
    </row>
    <row r="364" spans="4:15" x14ac:dyDescent="0.25">
      <c r="D364" s="8"/>
      <c r="E364" s="8"/>
      <c r="F364" s="3"/>
      <c r="G364" s="9"/>
      <c r="O364" s="3"/>
    </row>
    <row r="365" spans="4:15" x14ac:dyDescent="0.25">
      <c r="D365" s="8"/>
      <c r="E365" s="8"/>
      <c r="F365" s="3"/>
      <c r="G365" s="9"/>
      <c r="O365" s="3"/>
    </row>
    <row r="366" spans="4:15" x14ac:dyDescent="0.25">
      <c r="D366" s="8"/>
      <c r="E366" s="8"/>
      <c r="F366" s="3"/>
      <c r="G366" s="9"/>
      <c r="O366" s="3"/>
    </row>
    <row r="367" spans="4:15" x14ac:dyDescent="0.25">
      <c r="D367" s="8"/>
      <c r="E367" s="8"/>
      <c r="F367" s="3"/>
      <c r="G367" s="9"/>
      <c r="O367" s="3"/>
    </row>
    <row r="368" spans="4:15" x14ac:dyDescent="0.25">
      <c r="D368" s="8"/>
      <c r="E368" s="8"/>
      <c r="F368" s="3"/>
      <c r="G368" s="9"/>
      <c r="O368" s="3"/>
    </row>
    <row r="369" spans="4:15" x14ac:dyDescent="0.25">
      <c r="D369" s="8"/>
      <c r="E369" s="8"/>
      <c r="F369" s="3"/>
      <c r="G369" s="9"/>
      <c r="O369" s="3"/>
    </row>
    <row r="370" spans="4:15" x14ac:dyDescent="0.25">
      <c r="D370" s="8"/>
      <c r="E370" s="8"/>
      <c r="F370" s="3"/>
      <c r="G370" s="9"/>
      <c r="O370" s="3"/>
    </row>
    <row r="371" spans="4:15" x14ac:dyDescent="0.25">
      <c r="D371" s="8"/>
      <c r="E371" s="8"/>
      <c r="F371" s="3"/>
      <c r="G371" s="9"/>
      <c r="O371" s="3"/>
    </row>
    <row r="372" spans="4:15" x14ac:dyDescent="0.25">
      <c r="D372" s="8"/>
      <c r="E372" s="8"/>
      <c r="F372" s="3"/>
      <c r="G372" s="9"/>
      <c r="O372" s="3"/>
    </row>
    <row r="373" spans="4:15" x14ac:dyDescent="0.25">
      <c r="D373" s="8"/>
      <c r="E373" s="8"/>
      <c r="F373" s="3"/>
      <c r="G373" s="9"/>
      <c r="O373" s="3"/>
    </row>
    <row r="374" spans="4:15" x14ac:dyDescent="0.25">
      <c r="D374" s="8"/>
      <c r="E374" s="8"/>
      <c r="F374" s="3"/>
      <c r="G374" s="9"/>
      <c r="O374" s="3"/>
    </row>
    <row r="375" spans="4:15" x14ac:dyDescent="0.25">
      <c r="D375" s="8"/>
      <c r="E375" s="8"/>
      <c r="F375" s="3"/>
      <c r="G375" s="9"/>
      <c r="O375" s="3"/>
    </row>
    <row r="376" spans="4:15" x14ac:dyDescent="0.25">
      <c r="D376" s="8"/>
      <c r="E376" s="8"/>
      <c r="F376" s="3"/>
      <c r="G376" s="9"/>
      <c r="O376" s="3"/>
    </row>
    <row r="377" spans="4:15" x14ac:dyDescent="0.25">
      <c r="D377" s="8"/>
      <c r="E377" s="8"/>
      <c r="F377" s="3"/>
      <c r="O377" s="3"/>
    </row>
    <row r="378" spans="4:15" x14ac:dyDescent="0.25">
      <c r="D378" s="8"/>
      <c r="E378" s="8"/>
      <c r="F378" s="3"/>
      <c r="G378" s="9"/>
      <c r="O378" s="3"/>
    </row>
    <row r="379" spans="4:15" x14ac:dyDescent="0.25">
      <c r="D379" s="8"/>
      <c r="E379" s="8"/>
      <c r="F379" s="3"/>
      <c r="G379" s="9"/>
      <c r="O379" s="3"/>
    </row>
    <row r="380" spans="4:15" x14ac:dyDescent="0.25">
      <c r="D380" s="8"/>
      <c r="E380" s="8"/>
      <c r="F380" s="3"/>
      <c r="G380" s="9"/>
      <c r="O380" s="3"/>
    </row>
    <row r="381" spans="4:15" x14ac:dyDescent="0.25">
      <c r="D381" s="8"/>
      <c r="E381" s="8"/>
      <c r="F381" s="3"/>
      <c r="G381" s="9"/>
      <c r="O381" s="3"/>
    </row>
    <row r="382" spans="4:15" x14ac:dyDescent="0.25">
      <c r="D382" s="8"/>
      <c r="E382" s="8"/>
      <c r="F382" s="3"/>
      <c r="G382" s="9"/>
      <c r="O382" s="3"/>
    </row>
    <row r="383" spans="4:15" x14ac:dyDescent="0.25">
      <c r="D383" s="8"/>
      <c r="E383" s="8"/>
      <c r="F383" s="3"/>
      <c r="G383" s="9"/>
      <c r="O383" s="3"/>
    </row>
    <row r="384" spans="4:15" x14ac:dyDescent="0.25">
      <c r="D384" s="8"/>
      <c r="E384" s="8"/>
      <c r="F384" s="3"/>
      <c r="G384" s="9"/>
      <c r="O384" s="3"/>
    </row>
    <row r="385" spans="4:15" x14ac:dyDescent="0.25">
      <c r="D385" s="8"/>
      <c r="E385" s="8"/>
      <c r="F385" s="3"/>
      <c r="G385" s="9"/>
      <c r="O385" s="3"/>
    </row>
    <row r="386" spans="4:15" x14ac:dyDescent="0.25">
      <c r="D386" s="8"/>
      <c r="E386" s="8"/>
      <c r="F386" s="3"/>
      <c r="G386" s="9"/>
      <c r="O386" s="3"/>
    </row>
    <row r="387" spans="4:15" x14ac:dyDescent="0.25">
      <c r="D387" s="8"/>
      <c r="E387" s="8"/>
      <c r="F387" s="3"/>
      <c r="G387" s="9"/>
      <c r="O387" s="3"/>
    </row>
    <row r="388" spans="4:15" x14ac:dyDescent="0.25">
      <c r="D388" s="8"/>
      <c r="E388" s="8"/>
      <c r="F388" s="3"/>
      <c r="G388" s="9"/>
      <c r="O388" s="3"/>
    </row>
    <row r="389" spans="4:15" x14ac:dyDescent="0.25">
      <c r="D389" s="8"/>
      <c r="E389" s="8"/>
      <c r="F389" s="3"/>
      <c r="G389" s="9"/>
      <c r="O389" s="3"/>
    </row>
    <row r="390" spans="4:15" x14ac:dyDescent="0.25">
      <c r="D390" s="8"/>
      <c r="E390" s="8"/>
      <c r="F390" s="3"/>
      <c r="G390" s="9"/>
      <c r="O390" s="3"/>
    </row>
    <row r="391" spans="4:15" x14ac:dyDescent="0.25">
      <c r="D391" s="8"/>
      <c r="E391" s="8"/>
      <c r="F391" s="3"/>
      <c r="G391" s="9"/>
      <c r="O391" s="3"/>
    </row>
    <row r="392" spans="4:15" x14ac:dyDescent="0.25">
      <c r="D392" s="8"/>
      <c r="E392" s="8"/>
      <c r="F392" s="3"/>
      <c r="G392" s="9"/>
      <c r="O392" s="3"/>
    </row>
    <row r="393" spans="4:15" x14ac:dyDescent="0.25">
      <c r="D393" s="8"/>
      <c r="E393" s="8"/>
      <c r="F393" s="3"/>
      <c r="G393" s="9"/>
      <c r="O393" s="3"/>
    </row>
    <row r="394" spans="4:15" x14ac:dyDescent="0.25">
      <c r="D394" s="8"/>
      <c r="E394" s="8"/>
      <c r="F394" s="3"/>
      <c r="G394" s="9"/>
      <c r="O394" s="3"/>
    </row>
    <row r="395" spans="4:15" x14ac:dyDescent="0.25">
      <c r="D395" s="8"/>
      <c r="E395" s="8"/>
      <c r="F395" s="3"/>
      <c r="G395" s="9"/>
      <c r="O395" s="3"/>
    </row>
    <row r="396" spans="4:15" x14ac:dyDescent="0.25">
      <c r="D396" s="8"/>
      <c r="E396" s="8"/>
      <c r="F396" s="3"/>
      <c r="G396" s="9"/>
      <c r="O396" s="3"/>
    </row>
    <row r="397" spans="4:15" x14ac:dyDescent="0.25">
      <c r="D397" s="8"/>
      <c r="E397" s="8"/>
      <c r="F397" s="3"/>
      <c r="G397" s="9"/>
      <c r="O397" s="3"/>
    </row>
    <row r="398" spans="4:15" x14ac:dyDescent="0.25">
      <c r="D398" s="8"/>
      <c r="E398" s="8"/>
      <c r="F398" s="3"/>
      <c r="G398" s="9"/>
      <c r="O398" s="3"/>
    </row>
    <row r="399" spans="4:15" x14ac:dyDescent="0.25">
      <c r="D399" s="8"/>
      <c r="E399" s="8"/>
      <c r="F399" s="3"/>
      <c r="G399" s="9"/>
      <c r="O399" s="3"/>
    </row>
    <row r="400" spans="4:15" x14ac:dyDescent="0.25">
      <c r="D400" s="8"/>
      <c r="E400" s="8"/>
      <c r="F400" s="3"/>
      <c r="G400" s="9"/>
      <c r="O400" s="3"/>
    </row>
    <row r="401" spans="4:15" x14ac:dyDescent="0.25">
      <c r="D401" s="8"/>
      <c r="E401" s="8"/>
      <c r="F401" s="3"/>
      <c r="G401" s="9"/>
      <c r="O401" s="3"/>
    </row>
    <row r="402" spans="4:15" x14ac:dyDescent="0.25">
      <c r="D402" s="8"/>
      <c r="E402" s="8"/>
      <c r="F402" s="3"/>
      <c r="O402" s="3"/>
    </row>
    <row r="403" spans="4:15" x14ac:dyDescent="0.25">
      <c r="D403" s="8"/>
      <c r="E403" s="8"/>
      <c r="F403" s="3"/>
      <c r="G403" s="9"/>
      <c r="O403" s="3"/>
    </row>
    <row r="404" spans="4:15" x14ac:dyDescent="0.25">
      <c r="D404" s="8"/>
      <c r="E404" s="8"/>
      <c r="F404" s="3"/>
      <c r="G404" s="9"/>
      <c r="O404" s="3"/>
    </row>
    <row r="405" spans="4:15" x14ac:dyDescent="0.25">
      <c r="D405" s="8"/>
      <c r="E405" s="8"/>
      <c r="F405" s="3"/>
      <c r="G405" s="9"/>
      <c r="O405" s="3"/>
    </row>
    <row r="406" spans="4:15" x14ac:dyDescent="0.25">
      <c r="D406" s="8"/>
      <c r="E406" s="8"/>
      <c r="F406" s="3"/>
      <c r="G406" s="9"/>
      <c r="O406" s="3"/>
    </row>
    <row r="407" spans="4:15" x14ac:dyDescent="0.25">
      <c r="D407" s="8"/>
      <c r="E407" s="8"/>
      <c r="F407" s="3"/>
      <c r="G407" s="9"/>
      <c r="O407" s="3"/>
    </row>
    <row r="408" spans="4:15" x14ac:dyDescent="0.25">
      <c r="D408" s="8"/>
      <c r="E408" s="8"/>
      <c r="F408" s="3"/>
      <c r="G408" s="9"/>
      <c r="O408" s="3"/>
    </row>
    <row r="409" spans="4:15" x14ac:dyDescent="0.25">
      <c r="D409" s="8"/>
      <c r="E409" s="8"/>
      <c r="F409" s="3"/>
      <c r="G409" s="9"/>
      <c r="O409" s="3"/>
    </row>
    <row r="410" spans="4:15" x14ac:dyDescent="0.25">
      <c r="D410" s="8"/>
      <c r="E410" s="8"/>
      <c r="F410" s="3"/>
      <c r="G410" s="9"/>
      <c r="O410" s="3"/>
    </row>
    <row r="411" spans="4:15" x14ac:dyDescent="0.25">
      <c r="D411" s="8"/>
      <c r="E411" s="8"/>
      <c r="F411" s="3"/>
      <c r="G411" s="9"/>
      <c r="O411" s="3"/>
    </row>
    <row r="412" spans="4:15" x14ac:dyDescent="0.25">
      <c r="D412" s="8"/>
      <c r="E412" s="8"/>
      <c r="F412" s="3"/>
      <c r="G412" s="9"/>
      <c r="O412" s="3"/>
    </row>
    <row r="413" spans="4:15" x14ac:dyDescent="0.25">
      <c r="D413" s="8"/>
      <c r="E413" s="8"/>
      <c r="F413" s="3"/>
      <c r="G413" s="9"/>
      <c r="O413" s="3"/>
    </row>
    <row r="414" spans="4:15" x14ac:dyDescent="0.25">
      <c r="D414" s="8"/>
      <c r="E414" s="8"/>
      <c r="F414" s="3"/>
      <c r="G414" s="9"/>
      <c r="O414" s="3"/>
    </row>
    <row r="415" spans="4:15" x14ac:dyDescent="0.25">
      <c r="D415" s="8"/>
      <c r="E415" s="8"/>
      <c r="F415" s="3"/>
      <c r="G415" s="9"/>
      <c r="O415" s="3"/>
    </row>
    <row r="416" spans="4:15" x14ac:dyDescent="0.25">
      <c r="D416" s="8"/>
      <c r="E416" s="8"/>
      <c r="F416" s="3"/>
      <c r="G416" s="9"/>
      <c r="O416" s="3"/>
    </row>
    <row r="417" spans="4:15" x14ac:dyDescent="0.25">
      <c r="D417" s="8"/>
      <c r="E417" s="8"/>
      <c r="F417" s="3"/>
      <c r="G417" s="9"/>
      <c r="O417" s="3"/>
    </row>
    <row r="418" spans="4:15" x14ac:dyDescent="0.25">
      <c r="D418" s="8"/>
      <c r="E418" s="8"/>
      <c r="F418" s="3"/>
      <c r="G418" s="9"/>
      <c r="O418" s="3"/>
    </row>
    <row r="419" spans="4:15" x14ac:dyDescent="0.25">
      <c r="D419" s="8"/>
      <c r="E419" s="8"/>
      <c r="F419" s="3"/>
      <c r="G419" s="9"/>
      <c r="O419" s="3"/>
    </row>
    <row r="420" spans="4:15" x14ac:dyDescent="0.25">
      <c r="D420" s="8"/>
      <c r="E420" s="8"/>
      <c r="F420" s="3"/>
      <c r="G420" s="9"/>
      <c r="O420" s="3"/>
    </row>
    <row r="421" spans="4:15" x14ac:dyDescent="0.25">
      <c r="D421" s="8"/>
      <c r="E421" s="8"/>
      <c r="F421" s="3"/>
      <c r="G421" s="9"/>
      <c r="O421" s="3"/>
    </row>
    <row r="422" spans="4:15" x14ac:dyDescent="0.25">
      <c r="D422" s="8"/>
      <c r="E422" s="8"/>
      <c r="F422" s="3"/>
      <c r="G422" s="9"/>
      <c r="O422" s="3"/>
    </row>
    <row r="423" spans="4:15" x14ac:dyDescent="0.25">
      <c r="D423" s="8"/>
      <c r="E423" s="8"/>
      <c r="F423" s="3"/>
      <c r="G423" s="9"/>
      <c r="O423" s="3"/>
    </row>
    <row r="424" spans="4:15" x14ac:dyDescent="0.25">
      <c r="D424" s="8"/>
      <c r="E424" s="8"/>
      <c r="F424" s="3"/>
      <c r="G424" s="9"/>
      <c r="O424" s="3"/>
    </row>
    <row r="425" spans="4:15" x14ac:dyDescent="0.25">
      <c r="D425" s="8"/>
      <c r="E425" s="8"/>
      <c r="F425" s="3"/>
      <c r="G425" s="9"/>
      <c r="O425" s="3"/>
    </row>
    <row r="426" spans="4:15" x14ac:dyDescent="0.25">
      <c r="D426" s="8"/>
      <c r="E426" s="8"/>
      <c r="F426" s="3"/>
      <c r="G426" s="9"/>
      <c r="O426" s="3"/>
    </row>
    <row r="427" spans="4:15" x14ac:dyDescent="0.25">
      <c r="D427" s="8"/>
      <c r="E427" s="8"/>
      <c r="F427" s="3"/>
      <c r="O427" s="3"/>
    </row>
    <row r="428" spans="4:15" x14ac:dyDescent="0.25">
      <c r="D428" s="8"/>
      <c r="E428" s="8"/>
      <c r="F428" s="3"/>
      <c r="G428" s="9"/>
      <c r="O428" s="3"/>
    </row>
    <row r="429" spans="4:15" x14ac:dyDescent="0.25">
      <c r="D429" s="8"/>
      <c r="E429" s="8"/>
      <c r="F429" s="3"/>
      <c r="G429" s="9"/>
      <c r="O429" s="3"/>
    </row>
    <row r="430" spans="4:15" x14ac:dyDescent="0.25">
      <c r="D430" s="8"/>
      <c r="E430" s="8"/>
      <c r="F430" s="3"/>
      <c r="G430" s="9"/>
      <c r="O430" s="3"/>
    </row>
    <row r="431" spans="4:15" x14ac:dyDescent="0.25">
      <c r="D431" s="8"/>
      <c r="E431" s="8"/>
      <c r="F431" s="3"/>
      <c r="G431" s="9"/>
      <c r="O431" s="3"/>
    </row>
    <row r="432" spans="4:15" x14ac:dyDescent="0.25">
      <c r="D432" s="8"/>
      <c r="E432" s="8"/>
      <c r="F432" s="3"/>
      <c r="G432" s="9"/>
      <c r="O432" s="3"/>
    </row>
    <row r="433" spans="4:15" x14ac:dyDescent="0.25">
      <c r="D433" s="8"/>
      <c r="E433" s="8"/>
      <c r="F433" s="3"/>
      <c r="G433" s="9"/>
      <c r="O433" s="3"/>
    </row>
    <row r="434" spans="4:15" x14ac:dyDescent="0.25">
      <c r="D434" s="8"/>
      <c r="E434" s="8"/>
      <c r="F434" s="3"/>
      <c r="G434" s="9"/>
      <c r="O434" s="3"/>
    </row>
    <row r="435" spans="4:15" x14ac:dyDescent="0.25">
      <c r="D435" s="8"/>
      <c r="E435" s="8"/>
      <c r="F435" s="3"/>
      <c r="G435" s="9"/>
      <c r="O435" s="3"/>
    </row>
    <row r="436" spans="4:15" x14ac:dyDescent="0.25">
      <c r="D436" s="8"/>
      <c r="E436" s="8"/>
      <c r="F436" s="3"/>
      <c r="G436" s="9"/>
      <c r="O436" s="3"/>
    </row>
    <row r="437" spans="4:15" x14ac:dyDescent="0.25">
      <c r="D437" s="8"/>
      <c r="E437" s="8"/>
      <c r="F437" s="3"/>
      <c r="G437" s="9"/>
      <c r="O437" s="3"/>
    </row>
    <row r="438" spans="4:15" x14ac:dyDescent="0.25">
      <c r="D438" s="8"/>
      <c r="E438" s="8"/>
      <c r="F438" s="3"/>
      <c r="G438" s="9"/>
      <c r="O438" s="3"/>
    </row>
    <row r="439" spans="4:15" x14ac:dyDescent="0.25">
      <c r="D439" s="8"/>
      <c r="E439" s="8"/>
      <c r="F439" s="3"/>
      <c r="G439" s="9"/>
      <c r="O439" s="3"/>
    </row>
    <row r="440" spans="4:15" x14ac:dyDescent="0.25">
      <c r="D440" s="8"/>
      <c r="E440" s="8"/>
      <c r="F440" s="3"/>
      <c r="G440" s="9"/>
      <c r="O440" s="3"/>
    </row>
    <row r="441" spans="4:15" x14ac:dyDescent="0.25">
      <c r="D441" s="8"/>
      <c r="E441" s="8"/>
      <c r="F441" s="3"/>
      <c r="G441" s="9"/>
      <c r="O441" s="3"/>
    </row>
    <row r="442" spans="4:15" x14ac:dyDescent="0.25">
      <c r="D442" s="8"/>
      <c r="E442" s="8"/>
      <c r="F442" s="3"/>
      <c r="G442" s="9"/>
      <c r="O442" s="3"/>
    </row>
    <row r="443" spans="4:15" x14ac:dyDescent="0.25">
      <c r="D443" s="8"/>
      <c r="E443" s="8"/>
      <c r="F443" s="3"/>
      <c r="G443" s="9"/>
      <c r="O443" s="3"/>
    </row>
    <row r="444" spans="4:15" x14ac:dyDescent="0.25">
      <c r="D444" s="8"/>
      <c r="E444" s="8"/>
      <c r="F444" s="3"/>
      <c r="G444" s="9"/>
      <c r="O444" s="3"/>
    </row>
    <row r="445" spans="4:15" x14ac:dyDescent="0.25">
      <c r="D445" s="8"/>
      <c r="E445" s="8"/>
      <c r="F445" s="3"/>
      <c r="G445" s="9"/>
      <c r="O445" s="3"/>
    </row>
    <row r="446" spans="4:15" x14ac:dyDescent="0.25">
      <c r="D446" s="8"/>
      <c r="E446" s="8"/>
      <c r="F446" s="3"/>
      <c r="G446" s="9"/>
      <c r="O446" s="3"/>
    </row>
    <row r="447" spans="4:15" x14ac:dyDescent="0.25">
      <c r="D447" s="8"/>
      <c r="E447" s="8"/>
      <c r="F447" s="3"/>
      <c r="G447" s="9"/>
      <c r="O447" s="3"/>
    </row>
    <row r="448" spans="4:15" x14ac:dyDescent="0.25">
      <c r="D448" s="8"/>
      <c r="E448" s="8"/>
      <c r="F448" s="3"/>
      <c r="G448" s="9"/>
      <c r="O448" s="3"/>
    </row>
    <row r="449" spans="4:15" x14ac:dyDescent="0.25">
      <c r="D449" s="8"/>
      <c r="E449" s="8"/>
      <c r="F449" s="3"/>
      <c r="G449" s="9"/>
      <c r="O449" s="3"/>
    </row>
    <row r="450" spans="4:15" x14ac:dyDescent="0.25">
      <c r="D450" s="8"/>
      <c r="E450" s="8"/>
      <c r="F450" s="3"/>
      <c r="G450" s="9"/>
      <c r="O450" s="3"/>
    </row>
    <row r="451" spans="4:15" x14ac:dyDescent="0.25">
      <c r="D451" s="8"/>
      <c r="E451" s="8"/>
      <c r="F451" s="3"/>
      <c r="G451" s="9"/>
      <c r="O451" s="3"/>
    </row>
    <row r="452" spans="4:15" x14ac:dyDescent="0.25">
      <c r="D452" s="8"/>
      <c r="E452" s="8"/>
      <c r="F452" s="3"/>
      <c r="O452" s="3"/>
    </row>
    <row r="453" spans="4:15" x14ac:dyDescent="0.25">
      <c r="D453" s="8"/>
      <c r="E453" s="8"/>
      <c r="F453" s="3"/>
      <c r="G453" s="9"/>
      <c r="O453" s="3"/>
    </row>
    <row r="454" spans="4:15" x14ac:dyDescent="0.25">
      <c r="D454" s="8"/>
      <c r="E454" s="8"/>
      <c r="F454" s="3"/>
      <c r="G454" s="9"/>
      <c r="O454" s="3"/>
    </row>
    <row r="455" spans="4:15" x14ac:dyDescent="0.25">
      <c r="D455" s="8"/>
      <c r="E455" s="8"/>
      <c r="F455" s="3"/>
      <c r="G455" s="9"/>
      <c r="O455" s="3"/>
    </row>
    <row r="456" spans="4:15" x14ac:dyDescent="0.25">
      <c r="D456" s="8"/>
      <c r="E456" s="8"/>
      <c r="F456" s="3"/>
      <c r="G456" s="9"/>
      <c r="O456" s="3"/>
    </row>
    <row r="457" spans="4:15" x14ac:dyDescent="0.25">
      <c r="D457" s="8"/>
      <c r="E457" s="8"/>
      <c r="F457" s="3"/>
      <c r="G457" s="9"/>
      <c r="O457" s="3"/>
    </row>
    <row r="458" spans="4:15" x14ac:dyDescent="0.25">
      <c r="D458" s="8"/>
      <c r="E458" s="8"/>
      <c r="F458" s="3"/>
      <c r="G458" s="9"/>
      <c r="O458" s="3"/>
    </row>
    <row r="459" spans="4:15" x14ac:dyDescent="0.25">
      <c r="D459" s="8"/>
      <c r="E459" s="8"/>
      <c r="F459" s="3"/>
      <c r="G459" s="9"/>
      <c r="O459" s="3"/>
    </row>
    <row r="460" spans="4:15" x14ac:dyDescent="0.25">
      <c r="D460" s="8"/>
      <c r="E460" s="8"/>
      <c r="F460" s="3"/>
      <c r="G460" s="9"/>
      <c r="O460" s="3"/>
    </row>
    <row r="461" spans="4:15" x14ac:dyDescent="0.25">
      <c r="D461" s="8"/>
      <c r="E461" s="8"/>
      <c r="F461" s="3"/>
      <c r="G461" s="9"/>
      <c r="O461" s="3"/>
    </row>
    <row r="462" spans="4:15" x14ac:dyDescent="0.25">
      <c r="D462" s="8"/>
      <c r="E462" s="8"/>
      <c r="F462" s="3"/>
      <c r="G462" s="9"/>
      <c r="O462" s="3"/>
    </row>
    <row r="463" spans="4:15" x14ac:dyDescent="0.25">
      <c r="D463" s="8"/>
      <c r="E463" s="8"/>
      <c r="F463" s="3"/>
      <c r="G463" s="9"/>
      <c r="O463" s="3"/>
    </row>
    <row r="464" spans="4:15" x14ac:dyDescent="0.25">
      <c r="D464" s="8"/>
      <c r="E464" s="8"/>
      <c r="F464" s="3"/>
      <c r="G464" s="9"/>
      <c r="O464" s="3"/>
    </row>
    <row r="465" spans="4:15" x14ac:dyDescent="0.25">
      <c r="D465" s="8"/>
      <c r="E465" s="8"/>
      <c r="F465" s="3"/>
      <c r="G465" s="9"/>
      <c r="O465" s="3"/>
    </row>
    <row r="466" spans="4:15" x14ac:dyDescent="0.25">
      <c r="D466" s="8"/>
      <c r="E466" s="8"/>
      <c r="F466" s="3"/>
      <c r="G466" s="9"/>
      <c r="O466" s="3"/>
    </row>
    <row r="467" spans="4:15" x14ac:dyDescent="0.25">
      <c r="D467" s="8"/>
      <c r="E467" s="8"/>
      <c r="F467" s="3"/>
      <c r="G467" s="9"/>
      <c r="O467" s="3"/>
    </row>
    <row r="468" spans="4:15" x14ac:dyDescent="0.25">
      <c r="D468" s="8"/>
      <c r="E468" s="8"/>
      <c r="F468" s="3"/>
      <c r="G468" s="9"/>
      <c r="O468" s="3"/>
    </row>
    <row r="469" spans="4:15" x14ac:dyDescent="0.25">
      <c r="D469" s="8"/>
      <c r="E469" s="8"/>
      <c r="F469" s="3"/>
      <c r="G469" s="9"/>
      <c r="O469" s="3"/>
    </row>
    <row r="470" spans="4:15" x14ac:dyDescent="0.25">
      <c r="D470" s="8"/>
      <c r="E470" s="8"/>
      <c r="F470" s="3"/>
      <c r="G470" s="9"/>
      <c r="O470" s="3"/>
    </row>
    <row r="471" spans="4:15" x14ac:dyDescent="0.25">
      <c r="D471" s="8"/>
      <c r="E471" s="8"/>
      <c r="F471" s="3"/>
      <c r="G471" s="9"/>
      <c r="O471" s="3"/>
    </row>
    <row r="472" spans="4:15" x14ac:dyDescent="0.25">
      <c r="D472" s="8"/>
      <c r="E472" s="8"/>
      <c r="F472" s="3"/>
      <c r="G472" s="9"/>
      <c r="O472" s="3"/>
    </row>
    <row r="473" spans="4:15" x14ac:dyDescent="0.25">
      <c r="D473" s="8"/>
      <c r="E473" s="8"/>
      <c r="F473" s="3"/>
      <c r="G473" s="9"/>
      <c r="O473" s="3"/>
    </row>
    <row r="474" spans="4:15" x14ac:dyDescent="0.25">
      <c r="D474" s="8"/>
      <c r="E474" s="8"/>
      <c r="F474" s="3"/>
      <c r="G474" s="9"/>
      <c r="O474" s="3"/>
    </row>
    <row r="475" spans="4:15" x14ac:dyDescent="0.25">
      <c r="D475" s="8"/>
      <c r="E475" s="8"/>
      <c r="F475" s="3"/>
      <c r="G475" s="9"/>
      <c r="O475" s="3"/>
    </row>
    <row r="476" spans="4:15" x14ac:dyDescent="0.25">
      <c r="D476" s="8"/>
      <c r="E476" s="8"/>
      <c r="F476" s="3"/>
      <c r="G476" s="9"/>
      <c r="O476" s="3"/>
    </row>
    <row r="477" spans="4:15" x14ac:dyDescent="0.25">
      <c r="D477" s="8"/>
      <c r="E477" s="8"/>
      <c r="F477" s="3"/>
      <c r="O477" s="3"/>
    </row>
    <row r="478" spans="4:15" x14ac:dyDescent="0.25">
      <c r="D478" s="8"/>
      <c r="E478" s="8"/>
      <c r="F478" s="3"/>
      <c r="G478" s="9"/>
      <c r="O478" s="3"/>
    </row>
    <row r="479" spans="4:15" x14ac:dyDescent="0.25">
      <c r="D479" s="8"/>
      <c r="E479" s="8"/>
      <c r="F479" s="3"/>
      <c r="G479" s="9"/>
      <c r="O479" s="3"/>
    </row>
    <row r="480" spans="4:15" x14ac:dyDescent="0.25">
      <c r="D480" s="8"/>
      <c r="E480" s="8"/>
      <c r="F480" s="3"/>
      <c r="G480" s="9"/>
      <c r="O480" s="3"/>
    </row>
    <row r="481" spans="4:15" x14ac:dyDescent="0.25">
      <c r="D481" s="8"/>
      <c r="E481" s="8"/>
      <c r="F481" s="3"/>
      <c r="G481" s="9"/>
      <c r="O481" s="3"/>
    </row>
    <row r="482" spans="4:15" x14ac:dyDescent="0.25">
      <c r="D482" s="8"/>
      <c r="E482" s="8"/>
      <c r="F482" s="3"/>
      <c r="G482" s="9"/>
      <c r="O482" s="3"/>
    </row>
    <row r="483" spans="4:15" x14ac:dyDescent="0.25">
      <c r="D483" s="8"/>
      <c r="E483" s="8"/>
      <c r="F483" s="3"/>
      <c r="G483" s="9"/>
      <c r="O483" s="3"/>
    </row>
    <row r="484" spans="4:15" x14ac:dyDescent="0.25">
      <c r="D484" s="8"/>
      <c r="E484" s="8"/>
      <c r="F484" s="3"/>
      <c r="G484" s="9"/>
      <c r="O484" s="3"/>
    </row>
    <row r="485" spans="4:15" x14ac:dyDescent="0.25">
      <c r="D485" s="8"/>
      <c r="E485" s="8"/>
      <c r="F485" s="3"/>
      <c r="G485" s="9"/>
      <c r="O485" s="3"/>
    </row>
    <row r="486" spans="4:15" x14ac:dyDescent="0.25">
      <c r="D486" s="8"/>
      <c r="E486" s="8"/>
      <c r="F486" s="3"/>
      <c r="G486" s="9"/>
      <c r="O486" s="3"/>
    </row>
    <row r="487" spans="4:15" x14ac:dyDescent="0.25">
      <c r="D487" s="8"/>
      <c r="E487" s="8"/>
      <c r="F487" s="3"/>
      <c r="G487" s="9"/>
      <c r="O487" s="3"/>
    </row>
    <row r="488" spans="4:15" x14ac:dyDescent="0.25">
      <c r="D488" s="8"/>
      <c r="E488" s="8"/>
      <c r="F488" s="3"/>
      <c r="G488" s="9"/>
      <c r="O488" s="3"/>
    </row>
    <row r="489" spans="4:15" x14ac:dyDescent="0.25">
      <c r="D489" s="8"/>
      <c r="E489" s="8"/>
      <c r="F489" s="3"/>
      <c r="G489" s="9"/>
      <c r="O489" s="3"/>
    </row>
    <row r="490" spans="4:15" x14ac:dyDescent="0.25">
      <c r="D490" s="8"/>
      <c r="E490" s="8"/>
      <c r="F490" s="3"/>
      <c r="G490" s="9"/>
      <c r="O490" s="3"/>
    </row>
    <row r="491" spans="4:15" x14ac:dyDescent="0.25">
      <c r="D491" s="8"/>
      <c r="E491" s="8"/>
      <c r="F491" s="3"/>
      <c r="G491" s="9"/>
      <c r="O491" s="3"/>
    </row>
    <row r="492" spans="4:15" x14ac:dyDescent="0.25">
      <c r="D492" s="8"/>
      <c r="E492" s="8"/>
      <c r="F492" s="3"/>
      <c r="G492" s="9"/>
      <c r="O492" s="3"/>
    </row>
    <row r="493" spans="4:15" x14ac:dyDescent="0.25">
      <c r="D493" s="8"/>
      <c r="E493" s="8"/>
      <c r="F493" s="3"/>
      <c r="G493" s="9"/>
      <c r="O493" s="3"/>
    </row>
    <row r="494" spans="4:15" x14ac:dyDescent="0.25">
      <c r="D494" s="8"/>
      <c r="E494" s="8"/>
      <c r="F494" s="3"/>
      <c r="G494" s="9"/>
      <c r="O494" s="3"/>
    </row>
    <row r="495" spans="4:15" x14ac:dyDescent="0.25">
      <c r="D495" s="8"/>
      <c r="E495" s="8"/>
      <c r="F495" s="3"/>
      <c r="G495" s="9"/>
      <c r="O495" s="3"/>
    </row>
    <row r="496" spans="4:15" x14ac:dyDescent="0.25">
      <c r="D496" s="8"/>
      <c r="E496" s="8"/>
      <c r="F496" s="3"/>
      <c r="G496" s="9"/>
      <c r="O496" s="3"/>
    </row>
    <row r="497" spans="4:15" x14ac:dyDescent="0.25">
      <c r="D497" s="8"/>
      <c r="E497" s="8"/>
      <c r="F497" s="3"/>
      <c r="G497" s="9"/>
      <c r="O497" s="3"/>
    </row>
    <row r="498" spans="4:15" x14ac:dyDescent="0.25">
      <c r="D498" s="8"/>
      <c r="E498" s="8"/>
      <c r="F498" s="3"/>
      <c r="G498" s="9"/>
      <c r="O498" s="3"/>
    </row>
    <row r="499" spans="4:15" x14ac:dyDescent="0.25">
      <c r="D499" s="8"/>
      <c r="E499" s="8"/>
      <c r="F499" s="3"/>
      <c r="G499" s="9"/>
      <c r="O499" s="3"/>
    </row>
    <row r="500" spans="4:15" x14ac:dyDescent="0.25">
      <c r="D500" s="8"/>
      <c r="E500" s="8"/>
      <c r="F500" s="3"/>
      <c r="G500" s="9"/>
      <c r="O500" s="3"/>
    </row>
    <row r="501" spans="4:15" x14ac:dyDescent="0.25">
      <c r="D501" s="8"/>
      <c r="E501" s="8"/>
      <c r="F501" s="3"/>
      <c r="G501" s="9"/>
      <c r="O501" s="3"/>
    </row>
    <row r="502" spans="4:15" x14ac:dyDescent="0.25">
      <c r="D502" s="8"/>
      <c r="E502" s="8"/>
      <c r="F502" s="3"/>
      <c r="O502" s="3"/>
    </row>
    <row r="503" spans="4:15" x14ac:dyDescent="0.25">
      <c r="D503" s="8"/>
      <c r="E503" s="8"/>
      <c r="F503" s="3"/>
      <c r="G503" s="9"/>
      <c r="O503" s="3"/>
    </row>
    <row r="504" spans="4:15" x14ac:dyDescent="0.25">
      <c r="D504" s="8"/>
      <c r="E504" s="8"/>
      <c r="F504" s="3"/>
      <c r="G504" s="9"/>
      <c r="O504" s="3"/>
    </row>
    <row r="505" spans="4:15" x14ac:dyDescent="0.25">
      <c r="D505" s="8"/>
      <c r="E505" s="8"/>
      <c r="F505" s="3"/>
      <c r="G505" s="9"/>
      <c r="O505" s="3"/>
    </row>
    <row r="506" spans="4:15" x14ac:dyDescent="0.25">
      <c r="D506" s="8"/>
      <c r="E506" s="8"/>
      <c r="F506" s="3"/>
      <c r="G506" s="9"/>
      <c r="O506" s="3"/>
    </row>
    <row r="507" spans="4:15" x14ac:dyDescent="0.25">
      <c r="D507" s="8"/>
      <c r="E507" s="8"/>
      <c r="F507" s="3"/>
      <c r="G507" s="9"/>
      <c r="O507" s="3"/>
    </row>
    <row r="508" spans="4:15" x14ac:dyDescent="0.25">
      <c r="D508" s="8"/>
      <c r="E508" s="8"/>
      <c r="F508" s="3"/>
      <c r="G508" s="9"/>
      <c r="O508" s="3"/>
    </row>
    <row r="509" spans="4:15" x14ac:dyDescent="0.25">
      <c r="D509" s="8"/>
      <c r="E509" s="8"/>
      <c r="F509" s="3"/>
      <c r="G509" s="9"/>
      <c r="O509" s="3"/>
    </row>
    <row r="510" spans="4:15" x14ac:dyDescent="0.25">
      <c r="D510" s="8"/>
      <c r="E510" s="8"/>
      <c r="F510" s="3"/>
      <c r="G510" s="9"/>
      <c r="O510" s="3"/>
    </row>
    <row r="511" spans="4:15" x14ac:dyDescent="0.25">
      <c r="D511" s="8"/>
      <c r="E511" s="8"/>
      <c r="F511" s="3"/>
      <c r="G511" s="9"/>
      <c r="O511" s="3"/>
    </row>
    <row r="512" spans="4:15" x14ac:dyDescent="0.25">
      <c r="D512" s="8"/>
      <c r="E512" s="8"/>
      <c r="F512" s="3"/>
      <c r="G512" s="9"/>
      <c r="O512" s="3"/>
    </row>
    <row r="513" spans="4:15" x14ac:dyDescent="0.25">
      <c r="D513" s="8"/>
      <c r="E513" s="8"/>
      <c r="F513" s="3"/>
      <c r="G513" s="9"/>
      <c r="O513" s="3"/>
    </row>
    <row r="514" spans="4:15" x14ac:dyDescent="0.25">
      <c r="D514" s="8"/>
      <c r="E514" s="8"/>
      <c r="F514" s="3"/>
      <c r="G514" s="9"/>
      <c r="O514" s="3"/>
    </row>
    <row r="515" spans="4:15" x14ac:dyDescent="0.25">
      <c r="D515" s="8"/>
      <c r="E515" s="8"/>
      <c r="F515" s="3"/>
      <c r="G515" s="9"/>
      <c r="O515" s="3"/>
    </row>
    <row r="516" spans="4:15" x14ac:dyDescent="0.25">
      <c r="D516" s="8"/>
      <c r="E516" s="8"/>
      <c r="F516" s="3"/>
      <c r="G516" s="9"/>
      <c r="O516" s="3"/>
    </row>
    <row r="517" spans="4:15" x14ac:dyDescent="0.25">
      <c r="D517" s="8"/>
      <c r="E517" s="8"/>
      <c r="F517" s="3"/>
      <c r="G517" s="9"/>
      <c r="O517" s="3"/>
    </row>
    <row r="518" spans="4:15" x14ac:dyDescent="0.25">
      <c r="D518" s="8"/>
      <c r="E518" s="8"/>
      <c r="F518" s="3"/>
      <c r="G518" s="9"/>
      <c r="O518" s="3"/>
    </row>
    <row r="519" spans="4:15" x14ac:dyDescent="0.25">
      <c r="D519" s="8"/>
      <c r="E519" s="8"/>
      <c r="F519" s="3"/>
      <c r="G519" s="9"/>
      <c r="O519" s="3"/>
    </row>
    <row r="520" spans="4:15" x14ac:dyDescent="0.25">
      <c r="D520" s="8"/>
      <c r="E520" s="8"/>
      <c r="F520" s="3"/>
      <c r="G520" s="9"/>
      <c r="O520" s="3"/>
    </row>
    <row r="521" spans="4:15" x14ac:dyDescent="0.25">
      <c r="D521" s="8"/>
      <c r="E521" s="8"/>
      <c r="F521" s="3"/>
      <c r="G521" s="9"/>
      <c r="O521" s="3"/>
    </row>
    <row r="522" spans="4:15" x14ac:dyDescent="0.25">
      <c r="D522" s="8"/>
      <c r="E522" s="8"/>
      <c r="F522" s="3"/>
      <c r="G522" s="9"/>
      <c r="O522" s="3"/>
    </row>
    <row r="523" spans="4:15" x14ac:dyDescent="0.25">
      <c r="D523" s="8"/>
      <c r="E523" s="8"/>
      <c r="F523" s="3"/>
      <c r="G523" s="9"/>
      <c r="O523" s="3"/>
    </row>
    <row r="524" spans="4:15" x14ac:dyDescent="0.25">
      <c r="D524" s="8"/>
      <c r="E524" s="8"/>
      <c r="F524" s="3"/>
      <c r="G524" s="9"/>
      <c r="O524" s="3"/>
    </row>
    <row r="525" spans="4:15" x14ac:dyDescent="0.25">
      <c r="D525" s="8"/>
      <c r="E525" s="8"/>
      <c r="F525" s="3"/>
      <c r="G525" s="9"/>
      <c r="O525" s="3"/>
    </row>
    <row r="526" spans="4:15" x14ac:dyDescent="0.25">
      <c r="D526" s="8"/>
      <c r="E526" s="8"/>
      <c r="F526" s="3"/>
      <c r="G526" s="9"/>
      <c r="O526" s="3"/>
    </row>
    <row r="527" spans="4:15" x14ac:dyDescent="0.25">
      <c r="D527" s="8"/>
      <c r="E527" s="8"/>
      <c r="F527" s="3"/>
      <c r="O527" s="3"/>
    </row>
    <row r="528" spans="4:15" x14ac:dyDescent="0.25">
      <c r="D528" s="8"/>
      <c r="E528" s="8"/>
      <c r="F528" s="3"/>
      <c r="G528" s="9"/>
      <c r="O528" s="3"/>
    </row>
    <row r="529" spans="4:15" x14ac:dyDescent="0.25">
      <c r="D529" s="8"/>
      <c r="E529" s="8"/>
      <c r="F529" s="3"/>
      <c r="G529" s="9"/>
      <c r="O529" s="3"/>
    </row>
    <row r="530" spans="4:15" x14ac:dyDescent="0.25">
      <c r="D530" s="8"/>
      <c r="E530" s="8"/>
      <c r="F530" s="3"/>
      <c r="G530" s="9"/>
      <c r="O530" s="3"/>
    </row>
    <row r="531" spans="4:15" x14ac:dyDescent="0.25">
      <c r="D531" s="8"/>
      <c r="E531" s="8"/>
      <c r="F531" s="3"/>
      <c r="G531" s="9"/>
      <c r="O531" s="3"/>
    </row>
    <row r="532" spans="4:15" x14ac:dyDescent="0.25">
      <c r="D532" s="8"/>
      <c r="E532" s="8"/>
      <c r="F532" s="3"/>
      <c r="G532" s="9"/>
      <c r="O532" s="3"/>
    </row>
    <row r="533" spans="4:15" x14ac:dyDescent="0.25">
      <c r="D533" s="8"/>
      <c r="E533" s="8"/>
      <c r="F533" s="3"/>
      <c r="G533" s="9"/>
      <c r="O533" s="3"/>
    </row>
    <row r="534" spans="4:15" x14ac:dyDescent="0.25">
      <c r="D534" s="8"/>
      <c r="E534" s="8"/>
      <c r="F534" s="3"/>
      <c r="G534" s="9"/>
      <c r="O534" s="3"/>
    </row>
    <row r="535" spans="4:15" x14ac:dyDescent="0.25">
      <c r="D535" s="8"/>
      <c r="E535" s="8"/>
      <c r="F535" s="3"/>
      <c r="G535" s="9"/>
      <c r="O535" s="3"/>
    </row>
    <row r="536" spans="4:15" x14ac:dyDescent="0.25">
      <c r="D536" s="8"/>
      <c r="E536" s="8"/>
      <c r="F536" s="3"/>
      <c r="G536" s="9"/>
      <c r="O536" s="3"/>
    </row>
    <row r="537" spans="4:15" x14ac:dyDescent="0.25">
      <c r="D537" s="8"/>
      <c r="E537" s="8"/>
      <c r="F537" s="3"/>
      <c r="G537" s="9"/>
      <c r="O537" s="3"/>
    </row>
    <row r="538" spans="4:15" x14ac:dyDescent="0.25">
      <c r="D538" s="8"/>
      <c r="E538" s="8"/>
      <c r="F538" s="3"/>
      <c r="G538" s="9"/>
      <c r="O538" s="3"/>
    </row>
    <row r="539" spans="4:15" x14ac:dyDescent="0.25">
      <c r="D539" s="8"/>
      <c r="E539" s="8"/>
      <c r="F539" s="3"/>
      <c r="G539" s="9"/>
      <c r="O539" s="3"/>
    </row>
    <row r="540" spans="4:15" x14ac:dyDescent="0.25">
      <c r="D540" s="8"/>
      <c r="E540" s="8"/>
      <c r="F540" s="3"/>
      <c r="G540" s="9"/>
      <c r="O540" s="3"/>
    </row>
    <row r="541" spans="4:15" x14ac:dyDescent="0.25">
      <c r="D541" s="8"/>
      <c r="E541" s="8"/>
      <c r="F541" s="3"/>
      <c r="G541" s="9"/>
      <c r="O541" s="3"/>
    </row>
    <row r="542" spans="4:15" x14ac:dyDescent="0.25">
      <c r="D542" s="8"/>
      <c r="E542" s="8"/>
      <c r="F542" s="3"/>
      <c r="G542" s="9"/>
      <c r="O542" s="3"/>
    </row>
    <row r="543" spans="4:15" x14ac:dyDescent="0.25">
      <c r="D543" s="8"/>
      <c r="E543" s="8"/>
      <c r="F543" s="3"/>
      <c r="G543" s="9"/>
      <c r="O543" s="3"/>
    </row>
    <row r="544" spans="4:15" x14ac:dyDescent="0.25">
      <c r="D544" s="8"/>
      <c r="E544" s="8"/>
      <c r="F544" s="3"/>
      <c r="G544" s="9"/>
      <c r="O544" s="3"/>
    </row>
    <row r="545" spans="4:15" x14ac:dyDescent="0.25">
      <c r="D545" s="8"/>
      <c r="E545" s="8"/>
      <c r="F545" s="3"/>
      <c r="G545" s="9"/>
      <c r="O545" s="3"/>
    </row>
    <row r="546" spans="4:15" x14ac:dyDescent="0.25">
      <c r="D546" s="8"/>
      <c r="E546" s="8"/>
      <c r="F546" s="3"/>
      <c r="G546" s="9"/>
      <c r="O546" s="3"/>
    </row>
    <row r="547" spans="4:15" x14ac:dyDescent="0.25">
      <c r="D547" s="8"/>
      <c r="E547" s="8"/>
      <c r="F547" s="3"/>
      <c r="G547" s="9"/>
      <c r="O547" s="3"/>
    </row>
    <row r="548" spans="4:15" x14ac:dyDescent="0.25">
      <c r="D548" s="8"/>
      <c r="E548" s="8"/>
      <c r="F548" s="3"/>
      <c r="G548" s="9"/>
      <c r="O548" s="3"/>
    </row>
    <row r="549" spans="4:15" x14ac:dyDescent="0.25">
      <c r="D549" s="8"/>
      <c r="E549" s="8"/>
      <c r="F549" s="3"/>
      <c r="G549" s="9"/>
      <c r="O549" s="3"/>
    </row>
    <row r="550" spans="4:15" x14ac:dyDescent="0.25">
      <c r="D550" s="8"/>
      <c r="E550" s="8"/>
      <c r="F550" s="3"/>
      <c r="G550" s="9"/>
      <c r="O550" s="3"/>
    </row>
    <row r="551" spans="4:15" x14ac:dyDescent="0.25">
      <c r="D551" s="8"/>
      <c r="E551" s="8"/>
      <c r="F551" s="3"/>
      <c r="G551" s="9"/>
      <c r="O551" s="3"/>
    </row>
    <row r="552" spans="4:15" x14ac:dyDescent="0.25">
      <c r="D552" s="8"/>
      <c r="E552" s="8"/>
      <c r="F552" s="3"/>
      <c r="O552" s="3"/>
    </row>
    <row r="553" spans="4:15" x14ac:dyDescent="0.25">
      <c r="D553" s="8"/>
      <c r="E553" s="8"/>
      <c r="F553" s="3"/>
      <c r="G553" s="9"/>
      <c r="O553" s="3"/>
    </row>
    <row r="554" spans="4:15" x14ac:dyDescent="0.25">
      <c r="D554" s="8"/>
      <c r="E554" s="8"/>
      <c r="F554" s="3"/>
      <c r="G554" s="9"/>
      <c r="O554" s="3"/>
    </row>
    <row r="555" spans="4:15" x14ac:dyDescent="0.25">
      <c r="D555" s="8"/>
      <c r="E555" s="8"/>
      <c r="F555" s="3"/>
      <c r="G555" s="9"/>
      <c r="O555" s="3"/>
    </row>
    <row r="556" spans="4:15" x14ac:dyDescent="0.25">
      <c r="D556" s="8"/>
      <c r="E556" s="8"/>
      <c r="F556" s="3"/>
      <c r="G556" s="9"/>
      <c r="O556" s="3"/>
    </row>
    <row r="557" spans="4:15" x14ac:dyDescent="0.25">
      <c r="D557" s="8"/>
      <c r="E557" s="8"/>
      <c r="F557" s="3"/>
      <c r="G557" s="9"/>
      <c r="O557" s="3"/>
    </row>
    <row r="558" spans="4:15" x14ac:dyDescent="0.25">
      <c r="D558" s="8"/>
      <c r="E558" s="8"/>
      <c r="F558" s="3"/>
      <c r="G558" s="9"/>
      <c r="O558" s="3"/>
    </row>
    <row r="559" spans="4:15" x14ac:dyDescent="0.25">
      <c r="D559" s="8"/>
      <c r="E559" s="8"/>
      <c r="F559" s="3"/>
      <c r="G559" s="9"/>
      <c r="O559" s="3"/>
    </row>
    <row r="560" spans="4:15" x14ac:dyDescent="0.25">
      <c r="D560" s="8"/>
      <c r="E560" s="8"/>
      <c r="F560" s="3"/>
      <c r="G560" s="9"/>
      <c r="O560" s="3"/>
    </row>
    <row r="561" spans="4:15" x14ac:dyDescent="0.25">
      <c r="D561" s="8"/>
      <c r="E561" s="8"/>
      <c r="F561" s="3"/>
      <c r="G561" s="9"/>
      <c r="O561" s="3"/>
    </row>
    <row r="562" spans="4:15" x14ac:dyDescent="0.25">
      <c r="D562" s="8"/>
      <c r="E562" s="8"/>
      <c r="F562" s="3"/>
      <c r="G562" s="9"/>
      <c r="O562" s="3"/>
    </row>
    <row r="563" spans="4:15" x14ac:dyDescent="0.25">
      <c r="D563" s="8"/>
      <c r="E563" s="8"/>
      <c r="F563" s="3"/>
      <c r="G563" s="9"/>
      <c r="O563" s="3"/>
    </row>
    <row r="564" spans="4:15" x14ac:dyDescent="0.25">
      <c r="D564" s="8"/>
      <c r="E564" s="8"/>
      <c r="F564" s="3"/>
      <c r="G564" s="9"/>
      <c r="O564" s="3"/>
    </row>
    <row r="565" spans="4:15" x14ac:dyDescent="0.25">
      <c r="D565" s="8"/>
      <c r="E565" s="8"/>
      <c r="F565" s="3"/>
      <c r="G565" s="9"/>
      <c r="O565" s="3"/>
    </row>
    <row r="566" spans="4:15" x14ac:dyDescent="0.25">
      <c r="D566" s="8"/>
      <c r="E566" s="8"/>
      <c r="F566" s="3"/>
      <c r="G566" s="9"/>
      <c r="O566" s="3"/>
    </row>
    <row r="567" spans="4:15" x14ac:dyDescent="0.25">
      <c r="D567" s="8"/>
      <c r="E567" s="8"/>
      <c r="F567" s="3"/>
      <c r="G567" s="9"/>
      <c r="O567" s="3"/>
    </row>
    <row r="568" spans="4:15" x14ac:dyDescent="0.25">
      <c r="D568" s="8"/>
      <c r="E568" s="8"/>
      <c r="F568" s="3"/>
      <c r="G568" s="9"/>
      <c r="O568" s="3"/>
    </row>
    <row r="569" spans="4:15" x14ac:dyDescent="0.25">
      <c r="D569" s="8"/>
      <c r="E569" s="8"/>
      <c r="F569" s="3"/>
      <c r="G569" s="9"/>
      <c r="O569" s="3"/>
    </row>
    <row r="570" spans="4:15" x14ac:dyDescent="0.25">
      <c r="D570" s="8"/>
      <c r="E570" s="8"/>
      <c r="F570" s="3"/>
      <c r="G570" s="9"/>
      <c r="O570" s="3"/>
    </row>
    <row r="571" spans="4:15" x14ac:dyDescent="0.25">
      <c r="D571" s="8"/>
      <c r="E571" s="8"/>
      <c r="F571" s="3"/>
      <c r="G571" s="9"/>
      <c r="O571" s="3"/>
    </row>
    <row r="572" spans="4:15" x14ac:dyDescent="0.25">
      <c r="D572" s="8"/>
      <c r="E572" s="8"/>
      <c r="F572" s="3"/>
      <c r="G572" s="9"/>
      <c r="O572" s="3"/>
    </row>
    <row r="573" spans="4:15" x14ac:dyDescent="0.25">
      <c r="D573" s="8"/>
      <c r="E573" s="8"/>
      <c r="F573" s="3"/>
      <c r="G573" s="9"/>
      <c r="O573" s="3"/>
    </row>
    <row r="574" spans="4:15" x14ac:dyDescent="0.25">
      <c r="D574" s="8"/>
      <c r="E574" s="8"/>
      <c r="F574" s="3"/>
      <c r="G574" s="9"/>
      <c r="O574" s="3"/>
    </row>
    <row r="575" spans="4:15" x14ac:dyDescent="0.25">
      <c r="D575" s="8"/>
      <c r="E575" s="8"/>
      <c r="F575" s="3"/>
      <c r="G575" s="9"/>
      <c r="O575" s="3"/>
    </row>
    <row r="576" spans="4:15" x14ac:dyDescent="0.25">
      <c r="D576" s="8"/>
      <c r="E576" s="8"/>
      <c r="F576" s="3"/>
      <c r="G576" s="9"/>
      <c r="O576" s="3"/>
    </row>
    <row r="577" spans="4:15" x14ac:dyDescent="0.25">
      <c r="D577" s="8"/>
      <c r="E577" s="8"/>
      <c r="F577" s="3"/>
      <c r="O577" s="3"/>
    </row>
    <row r="578" spans="4:15" x14ac:dyDescent="0.25">
      <c r="D578" s="8"/>
      <c r="E578" s="8"/>
      <c r="F578" s="3"/>
      <c r="G578" s="9"/>
      <c r="O578" s="3"/>
    </row>
    <row r="579" spans="4:15" x14ac:dyDescent="0.25">
      <c r="D579" s="8"/>
      <c r="E579" s="8"/>
      <c r="F579" s="3"/>
      <c r="G579" s="9"/>
      <c r="O579" s="3"/>
    </row>
    <row r="580" spans="4:15" x14ac:dyDescent="0.25">
      <c r="D580" s="8"/>
      <c r="E580" s="8"/>
      <c r="F580" s="3"/>
      <c r="G580" s="9"/>
      <c r="O580" s="3"/>
    </row>
    <row r="581" spans="4:15" x14ac:dyDescent="0.25">
      <c r="D581" s="8"/>
      <c r="E581" s="8"/>
      <c r="F581" s="3"/>
      <c r="G581" s="9"/>
      <c r="O581" s="3"/>
    </row>
    <row r="582" spans="4:15" x14ac:dyDescent="0.25">
      <c r="D582" s="8"/>
      <c r="E582" s="8"/>
      <c r="F582" s="3"/>
      <c r="G582" s="9"/>
      <c r="O582" s="3"/>
    </row>
    <row r="583" spans="4:15" x14ac:dyDescent="0.25">
      <c r="D583" s="8"/>
      <c r="E583" s="8"/>
      <c r="F583" s="3"/>
      <c r="G583" s="9"/>
      <c r="O583" s="3"/>
    </row>
    <row r="584" spans="4:15" x14ac:dyDescent="0.25">
      <c r="D584" s="8"/>
      <c r="E584" s="8"/>
      <c r="F584" s="3"/>
      <c r="G584" s="9"/>
      <c r="O584" s="3"/>
    </row>
    <row r="585" spans="4:15" x14ac:dyDescent="0.25">
      <c r="D585" s="8"/>
      <c r="E585" s="8"/>
      <c r="F585" s="3"/>
      <c r="G585" s="9"/>
      <c r="O585" s="3"/>
    </row>
    <row r="586" spans="4:15" x14ac:dyDescent="0.25">
      <c r="D586" s="8"/>
      <c r="E586" s="8"/>
      <c r="F586" s="3"/>
      <c r="G586" s="9"/>
      <c r="O586" s="3"/>
    </row>
    <row r="587" spans="4:15" x14ac:dyDescent="0.25">
      <c r="D587" s="8"/>
      <c r="E587" s="8"/>
      <c r="F587" s="3"/>
      <c r="G587" s="9"/>
      <c r="O587" s="3"/>
    </row>
    <row r="588" spans="4:15" x14ac:dyDescent="0.25">
      <c r="D588" s="8"/>
      <c r="E588" s="8"/>
      <c r="F588" s="3"/>
      <c r="G588" s="9"/>
      <c r="O588" s="3"/>
    </row>
    <row r="589" spans="4:15" x14ac:dyDescent="0.25">
      <c r="D589" s="8"/>
      <c r="E589" s="8"/>
      <c r="F589" s="3"/>
      <c r="G589" s="9"/>
      <c r="O589" s="3"/>
    </row>
    <row r="590" spans="4:15" x14ac:dyDescent="0.25">
      <c r="D590" s="8"/>
      <c r="E590" s="8"/>
      <c r="F590" s="3"/>
      <c r="G590" s="9"/>
      <c r="O590" s="3"/>
    </row>
    <row r="591" spans="4:15" x14ac:dyDescent="0.25">
      <c r="D591" s="8"/>
      <c r="E591" s="8"/>
      <c r="F591" s="3"/>
      <c r="G591" s="9"/>
      <c r="O591" s="3"/>
    </row>
    <row r="592" spans="4:15" x14ac:dyDescent="0.25">
      <c r="D592" s="8"/>
      <c r="E592" s="8"/>
      <c r="F592" s="3"/>
      <c r="G592" s="9"/>
      <c r="O592" s="3"/>
    </row>
    <row r="593" spans="4:15" x14ac:dyDescent="0.25">
      <c r="D593" s="8"/>
      <c r="E593" s="8"/>
      <c r="F593" s="3"/>
      <c r="G593" s="9"/>
      <c r="O593" s="3"/>
    </row>
    <row r="594" spans="4:15" x14ac:dyDescent="0.25">
      <c r="D594" s="8"/>
      <c r="E594" s="8"/>
      <c r="F594" s="3"/>
      <c r="G594" s="9"/>
      <c r="O594" s="3"/>
    </row>
    <row r="595" spans="4:15" x14ac:dyDescent="0.25">
      <c r="D595" s="8"/>
      <c r="E595" s="8"/>
      <c r="F595" s="3"/>
      <c r="G595" s="9"/>
      <c r="O595" s="3"/>
    </row>
    <row r="596" spans="4:15" x14ac:dyDescent="0.25">
      <c r="D596" s="8"/>
      <c r="E596" s="8"/>
      <c r="F596" s="3"/>
      <c r="G596" s="9"/>
      <c r="O596" s="3"/>
    </row>
    <row r="597" spans="4:15" x14ac:dyDescent="0.25">
      <c r="D597" s="8"/>
      <c r="E597" s="8"/>
      <c r="F597" s="3"/>
      <c r="G597" s="9"/>
      <c r="O597" s="3"/>
    </row>
    <row r="598" spans="4:15" x14ac:dyDescent="0.25">
      <c r="D598" s="8"/>
      <c r="E598" s="8"/>
      <c r="F598" s="3"/>
      <c r="G598" s="9"/>
      <c r="O598" s="3"/>
    </row>
    <row r="599" spans="4:15" x14ac:dyDescent="0.25">
      <c r="D599" s="8"/>
      <c r="E599" s="8"/>
      <c r="F599" s="3"/>
      <c r="G599" s="9"/>
      <c r="O599" s="3"/>
    </row>
    <row r="600" spans="4:15" x14ac:dyDescent="0.25">
      <c r="D600" s="8"/>
      <c r="E600" s="8"/>
      <c r="F600" s="3"/>
      <c r="G600" s="9"/>
      <c r="O600" s="3"/>
    </row>
    <row r="601" spans="4:15" x14ac:dyDescent="0.25">
      <c r="D601" s="8"/>
      <c r="E601" s="8"/>
      <c r="F601" s="3"/>
      <c r="G601" s="9"/>
      <c r="O601" s="3"/>
    </row>
    <row r="602" spans="4:15" x14ac:dyDescent="0.25">
      <c r="D602" s="8"/>
      <c r="E602" s="8"/>
      <c r="F602" s="3"/>
      <c r="O602" s="3"/>
    </row>
    <row r="603" spans="4:15" x14ac:dyDescent="0.25">
      <c r="D603" s="8"/>
      <c r="E603" s="8"/>
      <c r="F603" s="3"/>
      <c r="G603" s="9"/>
      <c r="O603" s="3"/>
    </row>
    <row r="604" spans="4:15" x14ac:dyDescent="0.25">
      <c r="D604" s="8"/>
      <c r="E604" s="8"/>
      <c r="F604" s="3"/>
      <c r="G604" s="9"/>
      <c r="O604" s="3"/>
    </row>
    <row r="605" spans="4:15" x14ac:dyDescent="0.25">
      <c r="D605" s="8"/>
      <c r="E605" s="8"/>
      <c r="F605" s="3"/>
      <c r="G605" s="9"/>
      <c r="O605" s="3"/>
    </row>
    <row r="606" spans="4:15" x14ac:dyDescent="0.25">
      <c r="D606" s="8"/>
      <c r="E606" s="8"/>
      <c r="F606" s="3"/>
      <c r="G606" s="9"/>
      <c r="O606" s="3"/>
    </row>
    <row r="607" spans="4:15" x14ac:dyDescent="0.25">
      <c r="D607" s="8"/>
      <c r="E607" s="8"/>
      <c r="F607" s="3"/>
      <c r="G607" s="9"/>
      <c r="O607" s="3"/>
    </row>
    <row r="608" spans="4:15" x14ac:dyDescent="0.25">
      <c r="D608" s="8"/>
      <c r="E608" s="8"/>
      <c r="F608" s="3"/>
      <c r="G608" s="9"/>
      <c r="O608" s="3"/>
    </row>
    <row r="609" spans="4:15" x14ac:dyDescent="0.25">
      <c r="D609" s="8"/>
      <c r="E609" s="8"/>
      <c r="F609" s="3"/>
      <c r="G609" s="9"/>
      <c r="O609" s="3"/>
    </row>
    <row r="610" spans="4:15" x14ac:dyDescent="0.25">
      <c r="D610" s="8"/>
      <c r="E610" s="8"/>
      <c r="F610" s="3"/>
      <c r="G610" s="9"/>
      <c r="O610" s="3"/>
    </row>
    <row r="611" spans="4:15" x14ac:dyDescent="0.25">
      <c r="D611" s="8"/>
      <c r="E611" s="8"/>
      <c r="F611" s="3"/>
      <c r="G611" s="9"/>
      <c r="O611" s="3"/>
    </row>
    <row r="612" spans="4:15" x14ac:dyDescent="0.25">
      <c r="D612" s="8"/>
      <c r="E612" s="8"/>
      <c r="F612" s="3"/>
      <c r="G612" s="9"/>
      <c r="O612" s="3"/>
    </row>
    <row r="613" spans="4:15" x14ac:dyDescent="0.25">
      <c r="D613" s="8"/>
      <c r="E613" s="8"/>
      <c r="F613" s="3"/>
      <c r="G613" s="9"/>
      <c r="O613" s="3"/>
    </row>
    <row r="614" spans="4:15" x14ac:dyDescent="0.25">
      <c r="D614" s="8"/>
      <c r="E614" s="8"/>
      <c r="F614" s="3"/>
      <c r="G614" s="9"/>
      <c r="O614" s="3"/>
    </row>
    <row r="615" spans="4:15" x14ac:dyDescent="0.25">
      <c r="D615" s="8"/>
      <c r="E615" s="8"/>
      <c r="F615" s="3"/>
      <c r="G615" s="9"/>
      <c r="O615" s="3"/>
    </row>
    <row r="616" spans="4:15" x14ac:dyDescent="0.25">
      <c r="D616" s="8"/>
      <c r="E616" s="8"/>
      <c r="F616" s="3"/>
      <c r="G616" s="9"/>
      <c r="O616" s="3"/>
    </row>
    <row r="617" spans="4:15" x14ac:dyDescent="0.25">
      <c r="D617" s="8"/>
      <c r="E617" s="8"/>
      <c r="F617" s="3"/>
      <c r="G617" s="9"/>
      <c r="O617" s="3"/>
    </row>
    <row r="618" spans="4:15" x14ac:dyDescent="0.25">
      <c r="D618" s="8"/>
      <c r="E618" s="8"/>
      <c r="F618" s="3"/>
      <c r="G618" s="9"/>
      <c r="O618" s="3"/>
    </row>
    <row r="619" spans="4:15" x14ac:dyDescent="0.25">
      <c r="D619" s="8"/>
      <c r="E619" s="8"/>
      <c r="F619" s="3"/>
      <c r="G619" s="9"/>
      <c r="O619" s="3"/>
    </row>
    <row r="620" spans="4:15" x14ac:dyDescent="0.25">
      <c r="D620" s="8"/>
      <c r="E620" s="8"/>
      <c r="F620" s="3"/>
      <c r="G620" s="9"/>
      <c r="O620" s="3"/>
    </row>
    <row r="621" spans="4:15" x14ac:dyDescent="0.25">
      <c r="D621" s="8"/>
      <c r="E621" s="8"/>
      <c r="F621" s="3"/>
      <c r="G621" s="9"/>
      <c r="O621" s="3"/>
    </row>
    <row r="622" spans="4:15" x14ac:dyDescent="0.25">
      <c r="D622" s="8"/>
      <c r="E622" s="8"/>
      <c r="F622" s="3"/>
      <c r="G622" s="9"/>
      <c r="O622" s="3"/>
    </row>
    <row r="623" spans="4:15" x14ac:dyDescent="0.25">
      <c r="D623" s="8"/>
      <c r="E623" s="8"/>
      <c r="F623" s="3"/>
      <c r="G623" s="9"/>
      <c r="O623" s="3"/>
    </row>
    <row r="624" spans="4:15" x14ac:dyDescent="0.25">
      <c r="D624" s="8"/>
      <c r="E624" s="8"/>
      <c r="F624" s="3"/>
      <c r="G624" s="9"/>
      <c r="O624" s="3"/>
    </row>
    <row r="625" spans="4:15" x14ac:dyDescent="0.25">
      <c r="D625" s="8"/>
      <c r="E625" s="8"/>
      <c r="F625" s="3"/>
      <c r="G625" s="9"/>
      <c r="O625" s="3"/>
    </row>
    <row r="626" spans="4:15" x14ac:dyDescent="0.25">
      <c r="D626" s="8"/>
      <c r="E626" s="8"/>
      <c r="F626" s="3"/>
      <c r="G626" s="9"/>
      <c r="O626" s="3"/>
    </row>
    <row r="627" spans="4:15" x14ac:dyDescent="0.25">
      <c r="D627" s="8"/>
      <c r="E627" s="8"/>
      <c r="F627" s="3"/>
      <c r="O627" s="3"/>
    </row>
    <row r="628" spans="4:15" x14ac:dyDescent="0.25">
      <c r="D628" s="8"/>
      <c r="E628" s="8"/>
      <c r="F628" s="3"/>
      <c r="G628" s="9"/>
      <c r="O628" s="3"/>
    </row>
    <row r="629" spans="4:15" x14ac:dyDescent="0.25">
      <c r="D629" s="8"/>
      <c r="E629" s="8"/>
      <c r="F629" s="3"/>
      <c r="G629" s="9"/>
      <c r="O629" s="3"/>
    </row>
    <row r="630" spans="4:15" x14ac:dyDescent="0.25">
      <c r="D630" s="8"/>
      <c r="E630" s="8"/>
      <c r="F630" s="3"/>
      <c r="G630" s="9"/>
      <c r="O630" s="3"/>
    </row>
    <row r="631" spans="4:15" x14ac:dyDescent="0.25">
      <c r="D631" s="8"/>
      <c r="E631" s="8"/>
      <c r="F631" s="3"/>
      <c r="G631" s="9"/>
      <c r="O631" s="3"/>
    </row>
    <row r="632" spans="4:15" x14ac:dyDescent="0.25">
      <c r="D632" s="8"/>
      <c r="E632" s="8"/>
      <c r="F632" s="3"/>
      <c r="G632" s="9"/>
      <c r="O632" s="3"/>
    </row>
    <row r="633" spans="4:15" x14ac:dyDescent="0.25">
      <c r="D633" s="8"/>
      <c r="E633" s="8"/>
      <c r="F633" s="3"/>
      <c r="G633" s="9"/>
      <c r="O633" s="3"/>
    </row>
    <row r="634" spans="4:15" x14ac:dyDescent="0.25">
      <c r="D634" s="8"/>
      <c r="E634" s="8"/>
      <c r="F634" s="3"/>
      <c r="G634" s="9"/>
      <c r="O634" s="3"/>
    </row>
    <row r="635" spans="4:15" x14ac:dyDescent="0.25">
      <c r="D635" s="8"/>
      <c r="E635" s="8"/>
      <c r="F635" s="3"/>
      <c r="G635" s="9"/>
      <c r="O635" s="3"/>
    </row>
    <row r="636" spans="4:15" x14ac:dyDescent="0.25">
      <c r="D636" s="8"/>
      <c r="E636" s="8"/>
      <c r="F636" s="3"/>
      <c r="G636" s="9"/>
      <c r="O636" s="3"/>
    </row>
    <row r="637" spans="4:15" x14ac:dyDescent="0.25">
      <c r="D637" s="8"/>
      <c r="E637" s="8"/>
      <c r="F637" s="3"/>
      <c r="G637" s="9"/>
      <c r="O637" s="3"/>
    </row>
    <row r="638" spans="4:15" x14ac:dyDescent="0.25">
      <c r="D638" s="8"/>
      <c r="E638" s="8"/>
      <c r="F638" s="3"/>
      <c r="G638" s="9"/>
      <c r="O638" s="3"/>
    </row>
    <row r="639" spans="4:15" x14ac:dyDescent="0.25">
      <c r="D639" s="8"/>
      <c r="E639" s="8"/>
      <c r="F639" s="3"/>
      <c r="G639" s="9"/>
      <c r="O639" s="3"/>
    </row>
    <row r="640" spans="4:15" x14ac:dyDescent="0.25">
      <c r="D640" s="8"/>
      <c r="E640" s="8"/>
      <c r="F640" s="3"/>
      <c r="G640" s="9"/>
      <c r="O640" s="3"/>
    </row>
    <row r="641" spans="4:15" x14ac:dyDescent="0.25">
      <c r="D641" s="8"/>
      <c r="E641" s="8"/>
      <c r="F641" s="3"/>
      <c r="G641" s="9"/>
      <c r="O641" s="3"/>
    </row>
    <row r="642" spans="4:15" x14ac:dyDescent="0.25">
      <c r="D642" s="8"/>
      <c r="E642" s="8"/>
      <c r="F642" s="3"/>
      <c r="G642" s="9"/>
      <c r="O642" s="3"/>
    </row>
    <row r="643" spans="4:15" x14ac:dyDescent="0.25">
      <c r="D643" s="8"/>
      <c r="E643" s="8"/>
      <c r="F643" s="3"/>
      <c r="G643" s="9"/>
      <c r="O643" s="3"/>
    </row>
    <row r="644" spans="4:15" x14ac:dyDescent="0.25">
      <c r="D644" s="8"/>
      <c r="E644" s="8"/>
      <c r="F644" s="3"/>
      <c r="G644" s="9"/>
      <c r="O644" s="3"/>
    </row>
    <row r="645" spans="4:15" x14ac:dyDescent="0.25">
      <c r="D645" s="8"/>
      <c r="E645" s="8"/>
      <c r="F645" s="3"/>
      <c r="G645" s="9"/>
      <c r="O645" s="3"/>
    </row>
    <row r="646" spans="4:15" x14ac:dyDescent="0.25">
      <c r="D646" s="8"/>
      <c r="E646" s="8"/>
      <c r="F646" s="3"/>
      <c r="G646" s="9"/>
      <c r="O646" s="3"/>
    </row>
    <row r="647" spans="4:15" x14ac:dyDescent="0.25">
      <c r="D647" s="8"/>
      <c r="E647" s="8"/>
      <c r="F647" s="3"/>
      <c r="G647" s="9"/>
      <c r="O647" s="3"/>
    </row>
    <row r="648" spans="4:15" x14ac:dyDescent="0.25">
      <c r="D648" s="8"/>
      <c r="E648" s="8"/>
      <c r="F648" s="3"/>
      <c r="G648" s="9"/>
      <c r="O648" s="3"/>
    </row>
    <row r="649" spans="4:15" x14ac:dyDescent="0.25">
      <c r="D649" s="8"/>
      <c r="E649" s="8"/>
      <c r="F649" s="3"/>
      <c r="G649" s="9"/>
      <c r="O649" s="3"/>
    </row>
    <row r="650" spans="4:15" x14ac:dyDescent="0.25">
      <c r="D650" s="8"/>
      <c r="E650" s="8"/>
      <c r="F650" s="3"/>
      <c r="G650" s="9"/>
      <c r="O650" s="3"/>
    </row>
    <row r="651" spans="4:15" x14ac:dyDescent="0.25">
      <c r="D651" s="8"/>
      <c r="E651" s="8"/>
      <c r="F651" s="3"/>
      <c r="G651" s="9"/>
      <c r="O651" s="3"/>
    </row>
    <row r="652" spans="4:15" x14ac:dyDescent="0.25">
      <c r="D652" s="8"/>
      <c r="E652" s="8"/>
      <c r="F652" s="3"/>
      <c r="O652" s="3"/>
    </row>
    <row r="653" spans="4:15" x14ac:dyDescent="0.25">
      <c r="D653" s="8"/>
      <c r="E653" s="8"/>
      <c r="F653" s="3"/>
      <c r="G653" s="9"/>
      <c r="O653" s="3"/>
    </row>
    <row r="654" spans="4:15" x14ac:dyDescent="0.25">
      <c r="D654" s="8"/>
      <c r="E654" s="8"/>
      <c r="F654" s="3"/>
      <c r="G654" s="9"/>
      <c r="O654" s="3"/>
    </row>
    <row r="655" spans="4:15" x14ac:dyDescent="0.25">
      <c r="D655" s="8"/>
      <c r="E655" s="8"/>
      <c r="F655" s="3"/>
      <c r="G655" s="9"/>
      <c r="O655" s="3"/>
    </row>
    <row r="656" spans="4:15" x14ac:dyDescent="0.25">
      <c r="D656" s="8"/>
      <c r="E656" s="8"/>
      <c r="F656" s="3"/>
      <c r="G656" s="9"/>
      <c r="O656" s="3"/>
    </row>
    <row r="657" spans="4:15" x14ac:dyDescent="0.25">
      <c r="D657" s="8"/>
      <c r="E657" s="8"/>
      <c r="F657" s="3"/>
      <c r="G657" s="9"/>
      <c r="O657" s="3"/>
    </row>
    <row r="658" spans="4:15" x14ac:dyDescent="0.25">
      <c r="D658" s="8"/>
      <c r="E658" s="8"/>
      <c r="F658" s="3"/>
      <c r="G658" s="9"/>
      <c r="O658" s="3"/>
    </row>
    <row r="659" spans="4:15" x14ac:dyDescent="0.25">
      <c r="D659" s="8"/>
      <c r="E659" s="8"/>
      <c r="F659" s="3"/>
      <c r="G659" s="9"/>
      <c r="O659" s="3"/>
    </row>
    <row r="660" spans="4:15" x14ac:dyDescent="0.25">
      <c r="D660" s="8"/>
      <c r="E660" s="8"/>
      <c r="F660" s="3"/>
      <c r="G660" s="9"/>
      <c r="O660" s="3"/>
    </row>
    <row r="661" spans="4:15" x14ac:dyDescent="0.25">
      <c r="D661" s="8"/>
      <c r="E661" s="8"/>
      <c r="F661" s="3"/>
      <c r="G661" s="9"/>
      <c r="O661" s="3"/>
    </row>
    <row r="662" spans="4:15" x14ac:dyDescent="0.25">
      <c r="D662" s="8"/>
      <c r="E662" s="8"/>
      <c r="F662" s="3"/>
      <c r="G662" s="9"/>
      <c r="O662" s="3"/>
    </row>
    <row r="663" spans="4:15" x14ac:dyDescent="0.25">
      <c r="D663" s="8"/>
      <c r="E663" s="8"/>
      <c r="F663" s="3"/>
      <c r="G663" s="9"/>
      <c r="O663" s="3"/>
    </row>
    <row r="664" spans="4:15" x14ac:dyDescent="0.25">
      <c r="D664" s="8"/>
      <c r="E664" s="8"/>
      <c r="F664" s="3"/>
      <c r="G664" s="9"/>
      <c r="O664" s="3"/>
    </row>
    <row r="665" spans="4:15" x14ac:dyDescent="0.25">
      <c r="D665" s="8"/>
      <c r="E665" s="8"/>
      <c r="F665" s="3"/>
      <c r="G665" s="9"/>
      <c r="O665" s="3"/>
    </row>
    <row r="666" spans="4:15" x14ac:dyDescent="0.25">
      <c r="D666" s="8"/>
      <c r="E666" s="8"/>
      <c r="F666" s="3"/>
      <c r="G666" s="9"/>
      <c r="O666" s="3"/>
    </row>
    <row r="667" spans="4:15" x14ac:dyDescent="0.25">
      <c r="D667" s="8"/>
      <c r="E667" s="8"/>
      <c r="F667" s="3"/>
      <c r="G667" s="9"/>
      <c r="O667" s="3"/>
    </row>
    <row r="668" spans="4:15" x14ac:dyDescent="0.25">
      <c r="D668" s="8"/>
      <c r="E668" s="8"/>
      <c r="F668" s="3"/>
      <c r="G668" s="9"/>
      <c r="O668" s="3"/>
    </row>
    <row r="669" spans="4:15" x14ac:dyDescent="0.25">
      <c r="D669" s="8"/>
      <c r="E669" s="8"/>
      <c r="F669" s="3"/>
      <c r="G669" s="9"/>
      <c r="O669" s="3"/>
    </row>
    <row r="670" spans="4:15" x14ac:dyDescent="0.25">
      <c r="D670" s="8"/>
      <c r="E670" s="8"/>
      <c r="F670" s="3"/>
      <c r="G670" s="9"/>
      <c r="O670" s="3"/>
    </row>
    <row r="671" spans="4:15" x14ac:dyDescent="0.25">
      <c r="D671" s="8"/>
      <c r="E671" s="8"/>
      <c r="F671" s="3"/>
      <c r="G671" s="9"/>
      <c r="O671" s="3"/>
    </row>
    <row r="672" spans="4:15" x14ac:dyDescent="0.25">
      <c r="D672" s="8"/>
      <c r="E672" s="8"/>
      <c r="F672" s="3"/>
      <c r="G672" s="9"/>
      <c r="O672" s="3"/>
    </row>
    <row r="673" spans="4:15" x14ac:dyDescent="0.25">
      <c r="D673" s="8"/>
      <c r="E673" s="8"/>
      <c r="F673" s="3"/>
      <c r="G673" s="9"/>
      <c r="O673" s="3"/>
    </row>
    <row r="674" spans="4:15" x14ac:dyDescent="0.25">
      <c r="D674" s="8"/>
      <c r="E674" s="8"/>
      <c r="F674" s="3"/>
      <c r="G674" s="9"/>
      <c r="O674" s="3"/>
    </row>
    <row r="675" spans="4:15" x14ac:dyDescent="0.25">
      <c r="D675" s="8"/>
      <c r="E675" s="8"/>
      <c r="F675" s="3"/>
      <c r="G675" s="9"/>
      <c r="O675" s="3"/>
    </row>
    <row r="676" spans="4:15" x14ac:dyDescent="0.25">
      <c r="D676" s="8"/>
      <c r="E676" s="8"/>
      <c r="F676" s="3"/>
      <c r="G676" s="9"/>
      <c r="O676" s="3"/>
    </row>
    <row r="677" spans="4:15" x14ac:dyDescent="0.25">
      <c r="D677" s="8"/>
      <c r="E677" s="8"/>
      <c r="F677" s="3"/>
      <c r="O677" s="3"/>
    </row>
    <row r="678" spans="4:15" x14ac:dyDescent="0.25">
      <c r="D678" s="8"/>
      <c r="E678" s="8"/>
      <c r="F678" s="3"/>
      <c r="G678" s="9"/>
      <c r="O678" s="3"/>
    </row>
    <row r="679" spans="4:15" x14ac:dyDescent="0.25">
      <c r="D679" s="8"/>
      <c r="E679" s="8"/>
      <c r="F679" s="3"/>
      <c r="G679" s="9"/>
      <c r="O679" s="3"/>
    </row>
    <row r="680" spans="4:15" x14ac:dyDescent="0.25">
      <c r="D680" s="8"/>
      <c r="E680" s="8"/>
      <c r="F680" s="3"/>
      <c r="G680" s="9"/>
      <c r="O680" s="3"/>
    </row>
    <row r="681" spans="4:15" x14ac:dyDescent="0.25">
      <c r="D681" s="8"/>
      <c r="E681" s="8"/>
      <c r="F681" s="3"/>
      <c r="G681" s="9"/>
      <c r="O681" s="3"/>
    </row>
    <row r="682" spans="4:15" x14ac:dyDescent="0.25">
      <c r="D682" s="8"/>
      <c r="E682" s="8"/>
      <c r="F682" s="3"/>
      <c r="G682" s="9"/>
      <c r="O682" s="3"/>
    </row>
    <row r="683" spans="4:15" x14ac:dyDescent="0.25">
      <c r="D683" s="8"/>
      <c r="E683" s="8"/>
      <c r="F683" s="3"/>
      <c r="G683" s="9"/>
      <c r="O683" s="3"/>
    </row>
    <row r="684" spans="4:15" x14ac:dyDescent="0.25">
      <c r="D684" s="8"/>
      <c r="E684" s="8"/>
      <c r="F684" s="3"/>
      <c r="G684" s="9"/>
      <c r="O684" s="3"/>
    </row>
    <row r="685" spans="4:15" x14ac:dyDescent="0.25">
      <c r="D685" s="8"/>
      <c r="E685" s="8"/>
      <c r="F685" s="3"/>
      <c r="G685" s="9"/>
      <c r="O685" s="3"/>
    </row>
    <row r="686" spans="4:15" x14ac:dyDescent="0.25">
      <c r="D686" s="8"/>
      <c r="E686" s="8"/>
      <c r="F686" s="3"/>
      <c r="G686" s="9"/>
      <c r="O686" s="3"/>
    </row>
    <row r="687" spans="4:15" x14ac:dyDescent="0.25">
      <c r="D687" s="8"/>
      <c r="E687" s="8"/>
      <c r="F687" s="3"/>
      <c r="G687" s="9"/>
      <c r="O687" s="3"/>
    </row>
    <row r="688" spans="4:15" x14ac:dyDescent="0.25">
      <c r="D688" s="8"/>
      <c r="E688" s="8"/>
      <c r="F688" s="3"/>
      <c r="G688" s="9"/>
      <c r="O688" s="3"/>
    </row>
    <row r="689" spans="4:15" x14ac:dyDescent="0.25">
      <c r="D689" s="8"/>
      <c r="E689" s="8"/>
      <c r="F689" s="3"/>
      <c r="G689" s="9"/>
      <c r="O689" s="3"/>
    </row>
    <row r="690" spans="4:15" x14ac:dyDescent="0.25">
      <c r="D690" s="8"/>
      <c r="E690" s="8"/>
      <c r="F690" s="3"/>
      <c r="G690" s="9"/>
      <c r="O690" s="3"/>
    </row>
    <row r="691" spans="4:15" x14ac:dyDescent="0.25">
      <c r="D691" s="8"/>
      <c r="E691" s="8"/>
      <c r="F691" s="3"/>
      <c r="G691" s="9"/>
      <c r="O691" s="3"/>
    </row>
    <row r="692" spans="4:15" x14ac:dyDescent="0.25">
      <c r="D692" s="8"/>
      <c r="E692" s="8"/>
      <c r="F692" s="3"/>
      <c r="G692" s="9"/>
      <c r="O692" s="3"/>
    </row>
    <row r="693" spans="4:15" x14ac:dyDescent="0.25">
      <c r="D693" s="8"/>
      <c r="E693" s="8"/>
      <c r="F693" s="3"/>
      <c r="G693" s="9"/>
      <c r="O693" s="3"/>
    </row>
    <row r="694" spans="4:15" x14ac:dyDescent="0.25">
      <c r="D694" s="8"/>
      <c r="E694" s="8"/>
      <c r="F694" s="3"/>
      <c r="G694" s="9"/>
      <c r="O694" s="3"/>
    </row>
    <row r="695" spans="4:15" x14ac:dyDescent="0.25">
      <c r="D695" s="8"/>
      <c r="E695" s="8"/>
      <c r="F695" s="3"/>
      <c r="G695" s="9"/>
      <c r="O695" s="3"/>
    </row>
    <row r="696" spans="4:15" x14ac:dyDescent="0.25">
      <c r="D696" s="8"/>
      <c r="E696" s="8"/>
      <c r="F696" s="3"/>
      <c r="G696" s="9"/>
      <c r="O696" s="3"/>
    </row>
    <row r="697" spans="4:15" x14ac:dyDescent="0.25">
      <c r="D697" s="8"/>
      <c r="E697" s="8"/>
      <c r="F697" s="3"/>
      <c r="G697" s="9"/>
      <c r="O697" s="3"/>
    </row>
    <row r="698" spans="4:15" x14ac:dyDescent="0.25">
      <c r="D698" s="8"/>
      <c r="E698" s="8"/>
      <c r="F698" s="3"/>
      <c r="G698" s="9"/>
      <c r="O698" s="3"/>
    </row>
    <row r="699" spans="4:15" x14ac:dyDescent="0.25">
      <c r="D699" s="8"/>
      <c r="E699" s="8"/>
      <c r="F699" s="3"/>
      <c r="G699" s="9"/>
      <c r="O699" s="3"/>
    </row>
    <row r="700" spans="4:15" x14ac:dyDescent="0.25">
      <c r="D700" s="8"/>
      <c r="E700" s="8"/>
      <c r="F700" s="3"/>
      <c r="G700" s="9"/>
      <c r="O700" s="3"/>
    </row>
    <row r="701" spans="4:15" x14ac:dyDescent="0.25">
      <c r="D701" s="8"/>
      <c r="E701" s="8"/>
      <c r="F701" s="3"/>
      <c r="G701" s="9"/>
      <c r="O701" s="3"/>
    </row>
    <row r="702" spans="4:15" x14ac:dyDescent="0.25">
      <c r="D702" s="8"/>
      <c r="E702" s="8"/>
      <c r="F702" s="3"/>
      <c r="O702" s="3"/>
    </row>
    <row r="703" spans="4:15" x14ac:dyDescent="0.25">
      <c r="D703" s="8"/>
      <c r="E703" s="8"/>
      <c r="F703" s="3"/>
      <c r="G703" s="9"/>
      <c r="O703" s="3"/>
    </row>
    <row r="704" spans="4:15" x14ac:dyDescent="0.25">
      <c r="D704" s="8"/>
      <c r="E704" s="8"/>
      <c r="F704" s="3"/>
      <c r="G704" s="9"/>
      <c r="O704" s="3"/>
    </row>
    <row r="705" spans="4:15" x14ac:dyDescent="0.25">
      <c r="D705" s="8"/>
      <c r="E705" s="8"/>
      <c r="F705" s="3"/>
      <c r="G705" s="9"/>
      <c r="O705" s="3"/>
    </row>
    <row r="706" spans="4:15" x14ac:dyDescent="0.25">
      <c r="D706" s="8"/>
      <c r="E706" s="8"/>
      <c r="F706" s="3"/>
      <c r="G706" s="9"/>
      <c r="O706" s="3"/>
    </row>
    <row r="707" spans="4:15" x14ac:dyDescent="0.25">
      <c r="D707" s="8"/>
      <c r="E707" s="8"/>
      <c r="F707" s="3"/>
      <c r="G707" s="9"/>
      <c r="O707" s="3"/>
    </row>
    <row r="708" spans="4:15" x14ac:dyDescent="0.25">
      <c r="D708" s="8"/>
      <c r="E708" s="8"/>
      <c r="F708" s="3"/>
      <c r="G708" s="9"/>
      <c r="O708" s="3"/>
    </row>
    <row r="709" spans="4:15" x14ac:dyDescent="0.25">
      <c r="D709" s="8"/>
      <c r="E709" s="8"/>
      <c r="F709" s="3"/>
      <c r="G709" s="9"/>
      <c r="O709" s="3"/>
    </row>
    <row r="710" spans="4:15" x14ac:dyDescent="0.25">
      <c r="D710" s="8"/>
      <c r="E710" s="8"/>
      <c r="F710" s="3"/>
      <c r="G710" s="9"/>
      <c r="O710" s="3"/>
    </row>
    <row r="711" spans="4:15" x14ac:dyDescent="0.25">
      <c r="D711" s="8"/>
      <c r="E711" s="8"/>
      <c r="F711" s="3"/>
      <c r="G711" s="9"/>
      <c r="O711" s="3"/>
    </row>
    <row r="712" spans="4:15" x14ac:dyDescent="0.25">
      <c r="D712" s="8"/>
      <c r="E712" s="8"/>
      <c r="F712" s="3"/>
      <c r="G712" s="9"/>
      <c r="O712" s="3"/>
    </row>
    <row r="713" spans="4:15" x14ac:dyDescent="0.25">
      <c r="D713" s="8"/>
      <c r="E713" s="8"/>
      <c r="F713" s="3"/>
      <c r="G713" s="9"/>
      <c r="O713" s="3"/>
    </row>
    <row r="714" spans="4:15" x14ac:dyDescent="0.25">
      <c r="D714" s="8"/>
      <c r="E714" s="8"/>
      <c r="F714" s="3"/>
      <c r="G714" s="9"/>
      <c r="O714" s="3"/>
    </row>
    <row r="715" spans="4:15" x14ac:dyDescent="0.25">
      <c r="D715" s="8"/>
      <c r="E715" s="8"/>
      <c r="F715" s="3"/>
      <c r="G715" s="9"/>
      <c r="O715" s="3"/>
    </row>
    <row r="716" spans="4:15" x14ac:dyDescent="0.25">
      <c r="D716" s="8"/>
      <c r="E716" s="8"/>
      <c r="F716" s="3"/>
      <c r="G716" s="9"/>
      <c r="O716" s="3"/>
    </row>
    <row r="717" spans="4:15" x14ac:dyDescent="0.25">
      <c r="D717" s="8"/>
      <c r="E717" s="8"/>
      <c r="F717" s="3"/>
      <c r="G717" s="9"/>
      <c r="O717" s="3"/>
    </row>
    <row r="718" spans="4:15" x14ac:dyDescent="0.25">
      <c r="D718" s="3"/>
      <c r="F718" s="3"/>
      <c r="G718" s="9"/>
      <c r="O718" s="3"/>
    </row>
    <row r="719" spans="4:15" x14ac:dyDescent="0.25">
      <c r="F719" s="3"/>
      <c r="G719" s="9"/>
      <c r="O719" s="3"/>
    </row>
    <row r="720" spans="4:15" x14ac:dyDescent="0.25">
      <c r="F720" s="3"/>
      <c r="G720" s="9"/>
      <c r="O720" s="3"/>
    </row>
    <row r="721" spans="6:15" x14ac:dyDescent="0.25">
      <c r="F721" s="3"/>
      <c r="G721" s="9"/>
      <c r="O721" s="3"/>
    </row>
    <row r="722" spans="6:15" x14ac:dyDescent="0.25">
      <c r="F722" s="3"/>
      <c r="G722" s="9"/>
      <c r="O722" s="3"/>
    </row>
    <row r="723" spans="6:15" x14ac:dyDescent="0.25">
      <c r="F723" s="3"/>
      <c r="G723" s="9"/>
      <c r="O723" s="3"/>
    </row>
    <row r="724" spans="6:15" x14ac:dyDescent="0.25">
      <c r="F724" s="3"/>
      <c r="G724" s="9"/>
      <c r="O724" s="3"/>
    </row>
    <row r="725" spans="6:15" x14ac:dyDescent="0.25">
      <c r="F725" s="3"/>
      <c r="G725" s="9"/>
      <c r="O725" s="3"/>
    </row>
    <row r="726" spans="6:15" x14ac:dyDescent="0.25">
      <c r="F726" s="3"/>
      <c r="G726" s="9"/>
      <c r="O726" s="3"/>
    </row>
    <row r="727" spans="6:15" x14ac:dyDescent="0.25">
      <c r="F727" s="3"/>
      <c r="O727" s="3"/>
    </row>
    <row r="728" spans="6:15" x14ac:dyDescent="0.25">
      <c r="F728" s="3"/>
      <c r="G728" s="9"/>
      <c r="O728" s="3"/>
    </row>
    <row r="729" spans="6:15" x14ac:dyDescent="0.25">
      <c r="F729" s="3"/>
      <c r="G729" s="9"/>
      <c r="O729" s="3"/>
    </row>
    <row r="730" spans="6:15" x14ac:dyDescent="0.25">
      <c r="F730" s="3"/>
      <c r="G730" s="9"/>
      <c r="O730" s="3"/>
    </row>
    <row r="731" spans="6:15" x14ac:dyDescent="0.25">
      <c r="F731" s="3"/>
      <c r="G731" s="9"/>
      <c r="O731" s="3"/>
    </row>
    <row r="732" spans="6:15" x14ac:dyDescent="0.25">
      <c r="F732" s="3"/>
      <c r="G732" s="9"/>
      <c r="O732" s="3"/>
    </row>
    <row r="733" spans="6:15" x14ac:dyDescent="0.25">
      <c r="F733" s="3"/>
      <c r="G733" s="9"/>
      <c r="O733" s="3"/>
    </row>
    <row r="734" spans="6:15" x14ac:dyDescent="0.25">
      <c r="F734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4"/>
  <sheetViews>
    <sheetView tabSelected="1" zoomScaleNormal="100" workbookViewId="0">
      <selection activeCell="I4" sqref="I4"/>
    </sheetView>
  </sheetViews>
  <sheetFormatPr defaultRowHeight="15" x14ac:dyDescent="0.25"/>
  <cols>
    <col min="1" max="1" width="6.5703125" customWidth="1"/>
    <col min="11" max="11" width="11.85546875" bestFit="1" customWidth="1"/>
    <col min="12" max="12" width="12.42578125" bestFit="1" customWidth="1"/>
    <col min="14" max="14" width="12.28515625" bestFit="1" customWidth="1"/>
    <col min="15" max="15" width="9.5703125" customWidth="1"/>
  </cols>
  <sheetData>
    <row r="1" spans="1:16" x14ac:dyDescent="0.25">
      <c r="A1" s="1"/>
      <c r="B1" s="2">
        <v>45129.333333333336</v>
      </c>
      <c r="C1" s="2">
        <v>45191.95</v>
      </c>
      <c r="I1" s="5"/>
      <c r="K1" t="s">
        <v>17</v>
      </c>
      <c r="L1" s="9">
        <f>C1-B1</f>
        <v>62.616666666661331</v>
      </c>
      <c r="M1" s="9"/>
    </row>
    <row r="2" spans="1:16" x14ac:dyDescent="0.25">
      <c r="A2" t="s">
        <v>0</v>
      </c>
      <c r="B2" t="s">
        <v>1</v>
      </c>
      <c r="C2" t="s">
        <v>1</v>
      </c>
      <c r="D2" s="6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6" t="s">
        <v>10</v>
      </c>
      <c r="J2" s="6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15</v>
      </c>
    </row>
    <row r="3" spans="1:16" x14ac:dyDescent="0.25">
      <c r="A3">
        <v>0</v>
      </c>
      <c r="B3" s="3">
        <v>9.0718666666666667</v>
      </c>
      <c r="C3" s="3">
        <v>9.5678400000000003</v>
      </c>
      <c r="D3">
        <f>C3-B3</f>
        <v>0.4959733333333336</v>
      </c>
      <c r="E3">
        <f>(D3+D4)/2</f>
        <v>1.5774524999999993</v>
      </c>
      <c r="F3">
        <v>70</v>
      </c>
      <c r="G3">
        <v>7381</v>
      </c>
      <c r="H3">
        <f>E3*F3</f>
        <v>110.42167499999995</v>
      </c>
      <c r="I3">
        <f t="shared" ref="I3:I22" si="0">I4+H3</f>
        <v>628.16277333333323</v>
      </c>
      <c r="J3">
        <f t="shared" ref="J3:J23" si="1">(I3/G3)*1000</f>
        <v>85.105375062096371</v>
      </c>
      <c r="P3">
        <f>F3/G3</f>
        <v>9.4838097818723752E-3</v>
      </c>
    </row>
    <row r="4" spans="1:16" x14ac:dyDescent="0.25">
      <c r="A4">
        <v>10</v>
      </c>
      <c r="B4" s="3">
        <v>6.4950333333333328</v>
      </c>
      <c r="C4" s="3">
        <v>9.1539649999999977</v>
      </c>
      <c r="D4">
        <f t="shared" ref="D4:D37" si="2">C4-B4</f>
        <v>2.6589316666666649</v>
      </c>
      <c r="E4">
        <f t="shared" ref="E4:E37" si="3">(D4+D5)/2</f>
        <v>2.4780733333333336</v>
      </c>
      <c r="F4">
        <v>70</v>
      </c>
      <c r="G4">
        <v>7338</v>
      </c>
      <c r="H4">
        <f t="shared" ref="H4:H37" si="4">E4*F4</f>
        <v>173.46513333333334</v>
      </c>
      <c r="I4">
        <f t="shared" si="0"/>
        <v>517.7410983333333</v>
      </c>
      <c r="J4">
        <f t="shared" si="1"/>
        <v>70.556159489415819</v>
      </c>
      <c r="K4">
        <f>(B5-B3)/(A5-A3)</f>
        <v>-0.20547833333333335</v>
      </c>
      <c r="L4">
        <f>(C5-C3)/(A5-A3)</f>
        <v>-0.11541624999999991</v>
      </c>
      <c r="M4">
        <f>(K4+L4)/2</f>
        <v>-0.16044729166666663</v>
      </c>
      <c r="N4">
        <f>-J4/(M4*86400*$L$1)</f>
        <v>8.1282837402706245E-5</v>
      </c>
      <c r="O4" s="3">
        <f>N4*10000</f>
        <v>0.81282837402706243</v>
      </c>
      <c r="P4">
        <f t="shared" ref="P4:P37" si="5">F4/G4</f>
        <v>9.5393840283455981E-3</v>
      </c>
    </row>
    <row r="5" spans="1:16" x14ac:dyDescent="0.25">
      <c r="A5">
        <v>20</v>
      </c>
      <c r="B5" s="3">
        <v>4.9622999999999999</v>
      </c>
      <c r="C5" s="3">
        <v>7.2595150000000022</v>
      </c>
      <c r="D5">
        <f t="shared" si="2"/>
        <v>2.2972150000000022</v>
      </c>
      <c r="E5">
        <f t="shared" si="3"/>
        <v>1.9066691666666684</v>
      </c>
      <c r="F5">
        <v>70</v>
      </c>
      <c r="G5">
        <v>7252</v>
      </c>
      <c r="H5">
        <f t="shared" si="4"/>
        <v>133.4668416666668</v>
      </c>
      <c r="I5">
        <f t="shared" si="0"/>
        <v>344.27596499999993</v>
      </c>
      <c r="J5">
        <f t="shared" si="1"/>
        <v>47.473243932708208</v>
      </c>
      <c r="K5">
        <f t="shared" ref="K5:K37" si="6">(B6-B4)/(A6-A4)</f>
        <v>-0.10733833333333331</v>
      </c>
      <c r="L5">
        <f t="shared" ref="L5:L37" si="7">(C6-C4)/(A6-A4)</f>
        <v>-0.16447874999999984</v>
      </c>
      <c r="M5">
        <f t="shared" ref="M5:M37" si="8">(K5+L5)/2</f>
        <v>-0.13590854166666658</v>
      </c>
      <c r="N5">
        <f t="shared" ref="N5:N37" si="9">-J5/(M5*86400*$L$1)</f>
        <v>6.4565195338001717E-5</v>
      </c>
      <c r="O5" s="3">
        <f t="shared" ref="O5:O37" si="10">N5*10000</f>
        <v>0.64565195338001713</v>
      </c>
      <c r="P5">
        <f t="shared" si="5"/>
        <v>9.6525096525096523E-3</v>
      </c>
    </row>
    <row r="6" spans="1:16" x14ac:dyDescent="0.25">
      <c r="A6">
        <v>30</v>
      </c>
      <c r="B6" s="3">
        <v>4.3482666666666665</v>
      </c>
      <c r="C6" s="3">
        <v>5.8643900000000011</v>
      </c>
      <c r="D6">
        <f t="shared" si="2"/>
        <v>1.5161233333333346</v>
      </c>
      <c r="E6">
        <f t="shared" si="3"/>
        <v>1.2554691666666673</v>
      </c>
      <c r="F6">
        <v>70</v>
      </c>
      <c r="G6">
        <v>7218</v>
      </c>
      <c r="H6">
        <f t="shared" si="4"/>
        <v>87.882841666666707</v>
      </c>
      <c r="I6">
        <f t="shared" si="0"/>
        <v>210.8091233333331</v>
      </c>
      <c r="J6">
        <f t="shared" si="1"/>
        <v>29.206029832825312</v>
      </c>
      <c r="K6">
        <f t="shared" si="6"/>
        <v>-4.5659999999999992E-2</v>
      </c>
      <c r="L6">
        <f t="shared" si="7"/>
        <v>-0.1107800000000001</v>
      </c>
      <c r="M6">
        <f t="shared" si="8"/>
        <v>-7.8220000000000039E-2</v>
      </c>
      <c r="N6">
        <f t="shared" si="9"/>
        <v>6.9016197163865534E-5</v>
      </c>
      <c r="O6" s="3">
        <f t="shared" si="10"/>
        <v>0.69016197163865534</v>
      </c>
      <c r="P6">
        <f t="shared" si="5"/>
        <v>9.697977279024661E-3</v>
      </c>
    </row>
    <row r="7" spans="1:16" x14ac:dyDescent="0.25">
      <c r="A7">
        <v>40</v>
      </c>
      <c r="B7" s="3">
        <v>4.0491000000000001</v>
      </c>
      <c r="C7" s="3">
        <v>5.0439150000000001</v>
      </c>
      <c r="D7">
        <f t="shared" si="2"/>
        <v>0.994815</v>
      </c>
      <c r="E7">
        <f t="shared" si="3"/>
        <v>0.78819166666666707</v>
      </c>
      <c r="F7">
        <v>70</v>
      </c>
      <c r="G7">
        <v>7128.25</v>
      </c>
      <c r="H7">
        <f t="shared" si="4"/>
        <v>55.173416666666697</v>
      </c>
      <c r="I7">
        <f t="shared" si="0"/>
        <v>122.92628166666638</v>
      </c>
      <c r="J7">
        <f t="shared" si="1"/>
        <v>17.244945346567022</v>
      </c>
      <c r="K7">
        <f t="shared" si="6"/>
        <v>-1.6805000000000004E-2</v>
      </c>
      <c r="L7">
        <f t="shared" si="7"/>
        <v>-6.3532750000000027E-2</v>
      </c>
      <c r="M7">
        <f t="shared" si="8"/>
        <v>-4.0168875000000014E-2</v>
      </c>
      <c r="N7">
        <f t="shared" si="9"/>
        <v>7.9353934824091926E-5</v>
      </c>
      <c r="O7" s="3">
        <f t="shared" si="10"/>
        <v>0.79353934824091921</v>
      </c>
      <c r="P7">
        <f t="shared" si="5"/>
        <v>9.8200820678287105E-3</v>
      </c>
    </row>
    <row r="8" spans="1:16" x14ac:dyDescent="0.25">
      <c r="A8">
        <v>50</v>
      </c>
      <c r="B8" s="3">
        <v>4.0121666666666664</v>
      </c>
      <c r="C8" s="3">
        <v>4.5937350000000006</v>
      </c>
      <c r="D8">
        <f t="shared" si="2"/>
        <v>0.58156833333333413</v>
      </c>
      <c r="E8">
        <f t="shared" si="3"/>
        <v>0.43450833333333305</v>
      </c>
      <c r="F8">
        <v>65</v>
      </c>
      <c r="G8">
        <v>6875.5</v>
      </c>
      <c r="H8">
        <f t="shared" si="4"/>
        <v>28.243041666666649</v>
      </c>
      <c r="I8">
        <f t="shared" si="0"/>
        <v>67.752864999999687</v>
      </c>
      <c r="J8">
        <f t="shared" si="1"/>
        <v>9.8542455094174528</v>
      </c>
      <c r="K8">
        <f t="shared" si="6"/>
        <v>-2.4016666666666353E-3</v>
      </c>
      <c r="L8">
        <f t="shared" si="7"/>
        <v>-3.777000000000004E-2</v>
      </c>
      <c r="M8">
        <f t="shared" si="8"/>
        <v>-2.0085833333333337E-2</v>
      </c>
      <c r="N8">
        <f t="shared" si="9"/>
        <v>9.068382626778794E-5</v>
      </c>
      <c r="O8" s="3">
        <f t="shared" si="10"/>
        <v>0.90683826267787937</v>
      </c>
      <c r="P8">
        <f t="shared" si="5"/>
        <v>9.4538579012435463E-3</v>
      </c>
    </row>
    <row r="9" spans="1:16" x14ac:dyDescent="0.25">
      <c r="A9">
        <v>60</v>
      </c>
      <c r="B9" s="3">
        <v>4.0010666666666674</v>
      </c>
      <c r="C9" s="3">
        <v>4.2885149999999994</v>
      </c>
      <c r="D9">
        <f t="shared" si="2"/>
        <v>0.28744833333333197</v>
      </c>
      <c r="E9">
        <f t="shared" si="3"/>
        <v>0.18701166666666613</v>
      </c>
      <c r="F9">
        <v>65</v>
      </c>
      <c r="G9">
        <v>6622.75</v>
      </c>
      <c r="H9">
        <f t="shared" si="4"/>
        <v>12.155758333333299</v>
      </c>
      <c r="I9">
        <f>I10+H9</f>
        <v>39.509823333333038</v>
      </c>
      <c r="J9">
        <f>(I9/G9)*1000</f>
        <v>5.9657730298339873</v>
      </c>
      <c r="K9">
        <f t="shared" si="6"/>
        <v>-1.2833333333333251E-3</v>
      </c>
      <c r="L9">
        <f t="shared" si="7"/>
        <v>-2.6033000000000018E-2</v>
      </c>
      <c r="M9">
        <f t="shared" si="8"/>
        <v>-1.3658166666666671E-2</v>
      </c>
      <c r="N9">
        <f t="shared" si="9"/>
        <v>8.0736632524193715E-5</v>
      </c>
      <c r="O9" s="3">
        <f>N9*10000</f>
        <v>0.80736632524193719</v>
      </c>
      <c r="P9">
        <f t="shared" si="5"/>
        <v>9.8146540334453202E-3</v>
      </c>
    </row>
    <row r="10" spans="1:16" x14ac:dyDescent="0.25">
      <c r="A10">
        <v>70</v>
      </c>
      <c r="B10" s="3">
        <v>3.9864999999999999</v>
      </c>
      <c r="C10" s="3">
        <v>4.0730750000000002</v>
      </c>
      <c r="D10">
        <f t="shared" si="2"/>
        <v>8.6575000000000291E-2</v>
      </c>
      <c r="E10">
        <f t="shared" si="3"/>
        <v>3.61933333333333E-2</v>
      </c>
      <c r="F10">
        <v>65</v>
      </c>
      <c r="G10">
        <v>6370</v>
      </c>
      <c r="H10">
        <f>E10*F10</f>
        <v>2.3525666666666645</v>
      </c>
      <c r="I10">
        <f t="shared" si="0"/>
        <v>27.354064999999739</v>
      </c>
      <c r="J10">
        <f t="shared" si="1"/>
        <v>4.2942017268445429</v>
      </c>
      <c r="K10">
        <f t="shared" si="6"/>
        <v>-1.5266666666666983E-3</v>
      </c>
      <c r="L10">
        <f t="shared" si="7"/>
        <v>-1.6608499999999981E-2</v>
      </c>
      <c r="M10">
        <f t="shared" si="8"/>
        <v>-9.0675833333333389E-3</v>
      </c>
      <c r="N10">
        <f t="shared" si="9"/>
        <v>8.7536101204026411E-5</v>
      </c>
      <c r="O10" s="3">
        <f t="shared" si="10"/>
        <v>0.87536101204026406</v>
      </c>
      <c r="P10">
        <f t="shared" si="5"/>
        <v>1.020408163265306E-2</v>
      </c>
    </row>
    <row r="11" spans="1:16" x14ac:dyDescent="0.25">
      <c r="A11">
        <v>80</v>
      </c>
      <c r="B11" s="3">
        <v>3.9705333333333335</v>
      </c>
      <c r="C11" s="3">
        <v>3.9563449999999998</v>
      </c>
      <c r="D11">
        <f t="shared" si="2"/>
        <v>-1.4188333333333691E-2</v>
      </c>
      <c r="E11">
        <f>(D11+D12)/2</f>
        <v>-2.9714166666666486E-2</v>
      </c>
      <c r="F11">
        <v>65</v>
      </c>
      <c r="G11">
        <v>6223</v>
      </c>
      <c r="H11">
        <f t="shared" si="4"/>
        <v>-1.9314208333333216</v>
      </c>
      <c r="I11">
        <f t="shared" si="0"/>
        <v>25.001498333333075</v>
      </c>
      <c r="J11">
        <f t="shared" si="1"/>
        <v>4.0175957469601604</v>
      </c>
      <c r="K11">
        <f t="shared" si="6"/>
        <v>-1.9299999999999873E-3</v>
      </c>
      <c r="L11">
        <f t="shared" si="7"/>
        <v>-8.5207499999999659E-3</v>
      </c>
      <c r="M11">
        <f t="shared" si="8"/>
        <v>-5.2253749999999766E-3</v>
      </c>
      <c r="N11">
        <f t="shared" si="9"/>
        <v>1.4211669046987639E-4</v>
      </c>
      <c r="O11" s="3">
        <f t="shared" si="10"/>
        <v>1.4211669046987638</v>
      </c>
      <c r="P11">
        <f t="shared" si="5"/>
        <v>1.0445122931062189E-2</v>
      </c>
    </row>
    <row r="12" spans="1:16" x14ac:dyDescent="0.25">
      <c r="A12">
        <v>90</v>
      </c>
      <c r="B12" s="3">
        <v>3.9479000000000002</v>
      </c>
      <c r="C12" s="3">
        <v>3.9026600000000009</v>
      </c>
      <c r="D12">
        <f t="shared" si="2"/>
        <v>-4.5239999999999281E-2</v>
      </c>
      <c r="E12">
        <f t="shared" si="3"/>
        <v>-5.5219999999999381E-2</v>
      </c>
      <c r="F12">
        <v>65</v>
      </c>
      <c r="G12">
        <v>6076</v>
      </c>
      <c r="H12">
        <f t="shared" si="4"/>
        <v>-3.5892999999999597</v>
      </c>
      <c r="I12">
        <f t="shared" si="0"/>
        <v>26.932919166666398</v>
      </c>
      <c r="J12">
        <f t="shared" si="1"/>
        <v>4.4326726739082289</v>
      </c>
      <c r="K12">
        <f t="shared" si="6"/>
        <v>-1.7566666666666731E-3</v>
      </c>
      <c r="L12">
        <f t="shared" si="7"/>
        <v>-4.3072499999999622E-3</v>
      </c>
      <c r="M12">
        <f t="shared" si="8"/>
        <v>-3.0319583333333175E-3</v>
      </c>
      <c r="N12">
        <f t="shared" si="9"/>
        <v>2.7023322649051687E-4</v>
      </c>
      <c r="O12" s="3">
        <f t="shared" si="10"/>
        <v>2.7023322649051686</v>
      </c>
      <c r="P12">
        <f t="shared" si="5"/>
        <v>1.0697827518104016E-2</v>
      </c>
    </row>
    <row r="13" spans="1:16" x14ac:dyDescent="0.25">
      <c r="A13">
        <v>100</v>
      </c>
      <c r="B13" s="3">
        <v>3.9354</v>
      </c>
      <c r="C13" s="3">
        <v>3.8702000000000005</v>
      </c>
      <c r="D13">
        <f t="shared" si="2"/>
        <v>-6.5199999999999481E-2</v>
      </c>
      <c r="E13">
        <f t="shared" si="3"/>
        <v>-2.8084166666666688E-2</v>
      </c>
      <c r="F13">
        <v>315</v>
      </c>
      <c r="G13">
        <v>5919</v>
      </c>
      <c r="H13">
        <f t="shared" si="4"/>
        <v>-8.8465125000000064</v>
      </c>
      <c r="I13">
        <f t="shared" si="0"/>
        <v>30.522219166666357</v>
      </c>
      <c r="J13">
        <f t="shared" si="1"/>
        <v>5.1566513206059055</v>
      </c>
      <c r="K13">
        <f t="shared" si="6"/>
        <v>-3.3061111111111134E-3</v>
      </c>
      <c r="L13">
        <f t="shared" si="7"/>
        <v>-2.4015833333333571E-3</v>
      </c>
      <c r="M13">
        <f t="shared" si="8"/>
        <v>-2.853847222222235E-3</v>
      </c>
      <c r="N13">
        <f t="shared" si="9"/>
        <v>3.3398991978415577E-4</v>
      </c>
      <c r="O13" s="3">
        <f t="shared" si="10"/>
        <v>3.3398991978415578</v>
      </c>
      <c r="P13">
        <f t="shared" si="5"/>
        <v>5.3218449062341612E-2</v>
      </c>
    </row>
    <row r="14" spans="1:16" x14ac:dyDescent="0.25">
      <c r="A14">
        <v>150</v>
      </c>
      <c r="B14" s="3">
        <v>3.7495333333333334</v>
      </c>
      <c r="C14" s="3">
        <v>3.7585649999999995</v>
      </c>
      <c r="D14">
        <f t="shared" si="2"/>
        <v>9.031666666666105E-3</v>
      </c>
      <c r="E14">
        <f t="shared" si="3"/>
        <v>1.2364166666666287E-2</v>
      </c>
      <c r="F14">
        <v>311</v>
      </c>
      <c r="G14">
        <v>5762</v>
      </c>
      <c r="H14">
        <f t="shared" si="4"/>
        <v>3.8452558333332156</v>
      </c>
      <c r="I14">
        <f t="shared" si="0"/>
        <v>39.368731666666363</v>
      </c>
      <c r="J14">
        <f t="shared" si="1"/>
        <v>6.8324768598865608</v>
      </c>
      <c r="K14">
        <f t="shared" si="6"/>
        <v>-2.8206666666666623E-3</v>
      </c>
      <c r="L14">
        <f t="shared" si="7"/>
        <v>-2.011700000000003E-3</v>
      </c>
      <c r="M14">
        <f t="shared" si="8"/>
        <v>-2.4161833333333329E-3</v>
      </c>
      <c r="N14">
        <f t="shared" si="9"/>
        <v>5.2269048952398951E-4</v>
      </c>
      <c r="O14" s="3">
        <f t="shared" si="10"/>
        <v>5.2269048952398949</v>
      </c>
      <c r="P14">
        <f t="shared" si="5"/>
        <v>5.3974314474140923E-2</v>
      </c>
    </row>
    <row r="15" spans="1:16" x14ac:dyDescent="0.25">
      <c r="A15">
        <v>200</v>
      </c>
      <c r="B15" s="3">
        <v>3.6533333333333338</v>
      </c>
      <c r="C15" s="3">
        <v>3.6690300000000002</v>
      </c>
      <c r="D15">
        <f t="shared" si="2"/>
        <v>1.569666666666647E-2</v>
      </c>
      <c r="E15">
        <f t="shared" si="3"/>
        <v>1.8028333333333313E-2</v>
      </c>
      <c r="F15">
        <v>305</v>
      </c>
      <c r="G15">
        <v>5461</v>
      </c>
      <c r="H15">
        <f t="shared" si="4"/>
        <v>5.4986416666666607</v>
      </c>
      <c r="I15">
        <f t="shared" si="0"/>
        <v>35.523475833333151</v>
      </c>
      <c r="J15">
        <f t="shared" si="1"/>
        <v>6.5049397241042213</v>
      </c>
      <c r="K15">
        <f t="shared" si="6"/>
        <v>-1.7233333333333345E-3</v>
      </c>
      <c r="L15">
        <f t="shared" si="7"/>
        <v>-1.610049999999994E-3</v>
      </c>
      <c r="M15">
        <f t="shared" si="8"/>
        <v>-1.6666916666666642E-3</v>
      </c>
      <c r="N15">
        <f t="shared" si="9"/>
        <v>7.2141360033188204E-4</v>
      </c>
      <c r="O15" s="3">
        <f t="shared" si="10"/>
        <v>7.2141360033188207</v>
      </c>
      <c r="P15">
        <f t="shared" si="5"/>
        <v>5.5850576817432704E-2</v>
      </c>
    </row>
    <row r="16" spans="1:16" x14ac:dyDescent="0.25">
      <c r="A16">
        <v>250</v>
      </c>
      <c r="B16" s="3">
        <v>3.5771999999999999</v>
      </c>
      <c r="C16" s="3">
        <v>3.5975600000000001</v>
      </c>
      <c r="D16">
        <f t="shared" si="2"/>
        <v>2.0360000000000156E-2</v>
      </c>
      <c r="E16">
        <f t="shared" si="3"/>
        <v>2.2038333333333382E-2</v>
      </c>
      <c r="F16">
        <v>298</v>
      </c>
      <c r="G16">
        <v>5186</v>
      </c>
      <c r="H16">
        <f t="shared" si="4"/>
        <v>6.5674233333333483</v>
      </c>
      <c r="I16">
        <f t="shared" si="0"/>
        <v>30.024834166666491</v>
      </c>
      <c r="J16">
        <f t="shared" si="1"/>
        <v>5.7895939388095812</v>
      </c>
      <c r="K16">
        <f t="shared" si="6"/>
        <v>-1.2070000000000069E-3</v>
      </c>
      <c r="L16">
        <f t="shared" si="7"/>
        <v>-1.1268000000000055E-3</v>
      </c>
      <c r="M16">
        <f t="shared" si="8"/>
        <v>-1.1669000000000063E-3</v>
      </c>
      <c r="N16">
        <f t="shared" si="9"/>
        <v>9.1708750832727027E-4</v>
      </c>
      <c r="O16" s="3">
        <f t="shared" si="10"/>
        <v>9.1708750832727031</v>
      </c>
      <c r="P16">
        <f t="shared" si="5"/>
        <v>5.7462398765908217E-2</v>
      </c>
    </row>
    <row r="17" spans="1:16" x14ac:dyDescent="0.25">
      <c r="A17">
        <v>300</v>
      </c>
      <c r="B17" s="3">
        <v>3.5326333333333331</v>
      </c>
      <c r="C17" s="3">
        <v>3.5563499999999997</v>
      </c>
      <c r="D17">
        <f t="shared" si="2"/>
        <v>2.3716666666666608E-2</v>
      </c>
      <c r="E17">
        <f t="shared" si="3"/>
        <v>2.0629166666666476E-2</v>
      </c>
      <c r="F17">
        <v>289</v>
      </c>
      <c r="G17">
        <v>4893</v>
      </c>
      <c r="H17">
        <f t="shared" si="4"/>
        <v>5.9618291666666119</v>
      </c>
      <c r="I17">
        <f t="shared" si="0"/>
        <v>23.457410833333142</v>
      </c>
      <c r="J17">
        <f t="shared" si="1"/>
        <v>4.7940753797942248</v>
      </c>
      <c r="K17">
        <f t="shared" si="6"/>
        <v>-7.3066666666666614E-4</v>
      </c>
      <c r="L17">
        <f t="shared" si="7"/>
        <v>-7.5885000000000427E-4</v>
      </c>
      <c r="M17">
        <f t="shared" si="8"/>
        <v>-7.447583333333352E-4</v>
      </c>
      <c r="N17">
        <f t="shared" si="9"/>
        <v>1.189832424550098E-3</v>
      </c>
      <c r="O17" s="3">
        <f t="shared" si="10"/>
        <v>11.89832424550098</v>
      </c>
      <c r="P17">
        <f t="shared" si="5"/>
        <v>5.9063968935213568E-2</v>
      </c>
    </row>
    <row r="18" spans="1:16" x14ac:dyDescent="0.25">
      <c r="A18">
        <v>350</v>
      </c>
      <c r="B18" s="3">
        <v>3.5041333333333333</v>
      </c>
      <c r="C18" s="3">
        <v>3.5216749999999997</v>
      </c>
      <c r="D18">
        <f t="shared" si="2"/>
        <v>1.7541666666666345E-2</v>
      </c>
      <c r="E18">
        <f t="shared" si="3"/>
        <v>1.5103333333333024E-2</v>
      </c>
      <c r="F18">
        <v>284</v>
      </c>
      <c r="G18">
        <v>4615</v>
      </c>
      <c r="H18">
        <f t="shared" si="4"/>
        <v>4.2893466666665789</v>
      </c>
      <c r="I18">
        <f t="shared" si="0"/>
        <v>17.495581666666531</v>
      </c>
      <c r="J18">
        <f t="shared" si="1"/>
        <v>3.7910252798844057</v>
      </c>
      <c r="K18">
        <f t="shared" si="6"/>
        <v>-4.8233333333332686E-4</v>
      </c>
      <c r="L18">
        <f t="shared" si="7"/>
        <v>-5.928499999999959E-4</v>
      </c>
      <c r="M18">
        <f t="shared" si="8"/>
        <v>-5.3759166666666135E-4</v>
      </c>
      <c r="N18">
        <f t="shared" si="9"/>
        <v>1.3034682747876866E-3</v>
      </c>
      <c r="O18" s="3">
        <f t="shared" si="10"/>
        <v>13.034682747876866</v>
      </c>
      <c r="P18">
        <f t="shared" si="5"/>
        <v>6.1538461538461542E-2</v>
      </c>
    </row>
    <row r="19" spans="1:16" x14ac:dyDescent="0.25">
      <c r="A19">
        <v>400</v>
      </c>
      <c r="B19" s="3">
        <v>3.4844000000000004</v>
      </c>
      <c r="C19" s="3">
        <v>3.4970650000000001</v>
      </c>
      <c r="D19">
        <f t="shared" si="2"/>
        <v>1.2664999999999704E-2</v>
      </c>
      <c r="E19">
        <f t="shared" si="3"/>
        <v>1.115416666666591E-2</v>
      </c>
      <c r="F19">
        <v>279</v>
      </c>
      <c r="G19">
        <v>4306</v>
      </c>
      <c r="H19">
        <f t="shared" si="4"/>
        <v>3.1120124999997891</v>
      </c>
      <c r="I19">
        <f t="shared" si="0"/>
        <v>13.206234999999953</v>
      </c>
      <c r="J19">
        <f t="shared" si="1"/>
        <v>3.0669379934974343</v>
      </c>
      <c r="K19">
        <f t="shared" si="6"/>
        <v>-3.7266666666666557E-4</v>
      </c>
      <c r="L19">
        <f t="shared" si="7"/>
        <v>-4.5165000000000786E-4</v>
      </c>
      <c r="M19">
        <f t="shared" si="8"/>
        <v>-4.1215833333333672E-4</v>
      </c>
      <c r="N19">
        <f t="shared" si="9"/>
        <v>1.3754259798757767E-3</v>
      </c>
      <c r="O19" s="3">
        <f t="shared" si="10"/>
        <v>13.754259798757767</v>
      </c>
      <c r="P19">
        <f t="shared" si="5"/>
        <v>6.4793311658151415E-2</v>
      </c>
    </row>
    <row r="20" spans="1:16" x14ac:dyDescent="0.25">
      <c r="A20">
        <v>450</v>
      </c>
      <c r="B20" s="3">
        <v>3.4668666666666668</v>
      </c>
      <c r="C20" s="3">
        <v>3.4765099999999989</v>
      </c>
      <c r="D20">
        <f t="shared" si="2"/>
        <v>9.6433333333321158E-3</v>
      </c>
      <c r="E20">
        <f t="shared" si="3"/>
        <v>8.439999999999559E-3</v>
      </c>
      <c r="F20">
        <v>271</v>
      </c>
      <c r="G20">
        <v>3966</v>
      </c>
      <c r="H20">
        <f t="shared" si="4"/>
        <v>2.2872399999998807</v>
      </c>
      <c r="I20">
        <f t="shared" si="0"/>
        <v>10.094222500000164</v>
      </c>
      <c r="J20">
        <f t="shared" si="1"/>
        <v>2.5451897377710955</v>
      </c>
      <c r="K20">
        <f t="shared" si="6"/>
        <v>-3.4366666666667099E-4</v>
      </c>
      <c r="L20">
        <f t="shared" si="7"/>
        <v>-3.9794999999999804E-4</v>
      </c>
      <c r="M20">
        <f t="shared" si="8"/>
        <v>-3.7080833333333449E-4</v>
      </c>
      <c r="N20">
        <f t="shared" si="9"/>
        <v>1.2687235189268104E-3</v>
      </c>
      <c r="O20" s="3">
        <f t="shared" si="10"/>
        <v>12.687235189268105</v>
      </c>
      <c r="P20">
        <f t="shared" si="5"/>
        <v>6.833081190115986E-2</v>
      </c>
    </row>
    <row r="21" spans="1:16" x14ac:dyDescent="0.25">
      <c r="A21">
        <v>500</v>
      </c>
      <c r="B21" s="3">
        <v>3.4500333333333333</v>
      </c>
      <c r="C21" s="3">
        <v>3.4572700000000003</v>
      </c>
      <c r="D21">
        <f t="shared" si="2"/>
        <v>7.2366666666670021E-3</v>
      </c>
      <c r="E21">
        <f t="shared" si="3"/>
        <v>7.756666666666634E-3</v>
      </c>
      <c r="F21">
        <v>262</v>
      </c>
      <c r="G21">
        <v>3571</v>
      </c>
      <c r="H21">
        <f t="shared" si="4"/>
        <v>2.0322466666666581</v>
      </c>
      <c r="I21">
        <f t="shared" si="0"/>
        <v>7.8069825000002826</v>
      </c>
      <c r="J21">
        <f t="shared" si="1"/>
        <v>2.1862174460936101</v>
      </c>
      <c r="K21">
        <f t="shared" si="6"/>
        <v>-3.2433333333333538E-4</v>
      </c>
      <c r="L21">
        <f t="shared" si="7"/>
        <v>-3.3799999999999385E-4</v>
      </c>
      <c r="M21">
        <f t="shared" si="8"/>
        <v>-3.3116666666666462E-4</v>
      </c>
      <c r="N21">
        <f t="shared" si="9"/>
        <v>1.2202338032886114E-3</v>
      </c>
      <c r="O21" s="3">
        <f t="shared" si="10"/>
        <v>12.202338032886114</v>
      </c>
      <c r="P21">
        <f t="shared" si="5"/>
        <v>7.3368804256510781E-2</v>
      </c>
    </row>
    <row r="22" spans="1:16" x14ac:dyDescent="0.25">
      <c r="A22">
        <v>550</v>
      </c>
      <c r="B22" s="3">
        <v>3.4344333333333332</v>
      </c>
      <c r="C22" s="3">
        <v>3.4427099999999995</v>
      </c>
      <c r="D22">
        <f t="shared" si="2"/>
        <v>8.2766666666662658E-3</v>
      </c>
      <c r="E22">
        <f t="shared" si="3"/>
        <v>8.1899999999999196E-3</v>
      </c>
      <c r="F22">
        <v>251</v>
      </c>
      <c r="G22">
        <v>3239</v>
      </c>
      <c r="H22">
        <f t="shared" si="4"/>
        <v>2.0556899999999798</v>
      </c>
      <c r="I22">
        <f t="shared" si="0"/>
        <v>5.7747358333336249</v>
      </c>
      <c r="J22">
        <f t="shared" si="1"/>
        <v>1.7828761449007795</v>
      </c>
      <c r="K22">
        <f t="shared" si="6"/>
        <v>-2.8766666666666827E-4</v>
      </c>
      <c r="L22">
        <f t="shared" si="7"/>
        <v>-2.7900000000000255E-4</v>
      </c>
      <c r="M22">
        <f t="shared" si="8"/>
        <v>-2.8333333333333541E-4</v>
      </c>
      <c r="N22">
        <f t="shared" si="9"/>
        <v>1.1631073922801088E-3</v>
      </c>
      <c r="O22" s="3">
        <f t="shared" si="10"/>
        <v>11.631073922801088</v>
      </c>
      <c r="P22">
        <f t="shared" si="5"/>
        <v>7.7493053411546775E-2</v>
      </c>
    </row>
    <row r="23" spans="1:16" x14ac:dyDescent="0.25">
      <c r="A23">
        <v>600</v>
      </c>
      <c r="B23" s="3">
        <v>3.4212666666666665</v>
      </c>
      <c r="C23" s="3">
        <v>3.42937</v>
      </c>
      <c r="D23">
        <f t="shared" si="2"/>
        <v>8.1033333333335733E-3</v>
      </c>
      <c r="E23">
        <f t="shared" si="3"/>
        <v>8.2483333333340791E-3</v>
      </c>
      <c r="F23">
        <v>240</v>
      </c>
      <c r="G23">
        <v>2767</v>
      </c>
      <c r="H23">
        <f t="shared" si="4"/>
        <v>1.979600000000179</v>
      </c>
      <c r="I23">
        <f>I24+H23</f>
        <v>3.7190458333336451</v>
      </c>
      <c r="J23">
        <f t="shared" si="1"/>
        <v>1.3440714974100634</v>
      </c>
      <c r="K23">
        <f t="shared" si="6"/>
        <v>-2.5266666666666992E-4</v>
      </c>
      <c r="L23">
        <f t="shared" si="7"/>
        <v>-2.5149999999998676E-4</v>
      </c>
      <c r="M23">
        <f t="shared" si="8"/>
        <v>-2.5208333333332834E-4</v>
      </c>
      <c r="N23">
        <f t="shared" si="9"/>
        <v>9.855406711220449E-4</v>
      </c>
      <c r="O23" s="3">
        <f t="shared" si="10"/>
        <v>9.8554067112204482</v>
      </c>
      <c r="P23">
        <f t="shared" si="5"/>
        <v>8.6736537766534158E-2</v>
      </c>
    </row>
    <row r="24" spans="1:16" x14ac:dyDescent="0.25">
      <c r="A24">
        <v>650</v>
      </c>
      <c r="B24" s="3">
        <v>3.4091666666666662</v>
      </c>
      <c r="C24" s="3">
        <v>3.4175600000000008</v>
      </c>
      <c r="D24">
        <f t="shared" si="2"/>
        <v>8.393333333334585E-3</v>
      </c>
      <c r="E24">
        <f t="shared" si="3"/>
        <v>7.5958333333339123E-3</v>
      </c>
      <c r="F24">
        <v>229</v>
      </c>
      <c r="G24">
        <v>2129</v>
      </c>
      <c r="H24">
        <f t="shared" si="4"/>
        <v>1.7394458333334659</v>
      </c>
      <c r="I24">
        <f>H24</f>
        <v>1.7394458333334659</v>
      </c>
      <c r="J24">
        <f>(I24/G24)*1000</f>
        <v>0.81702481603262844</v>
      </c>
      <c r="K24">
        <f t="shared" si="6"/>
        <v>-2.0999999999999464E-4</v>
      </c>
      <c r="L24">
        <f t="shared" si="7"/>
        <v>-2.2304999999999797E-4</v>
      </c>
      <c r="M24">
        <f t="shared" si="8"/>
        <v>-2.165249999999963E-4</v>
      </c>
      <c r="N24">
        <f t="shared" si="9"/>
        <v>6.9746675785115509E-4</v>
      </c>
      <c r="O24" s="3">
        <f t="shared" si="10"/>
        <v>6.9746675785115508</v>
      </c>
      <c r="P24">
        <f t="shared" si="5"/>
        <v>0.10756223579145138</v>
      </c>
    </row>
    <row r="25" spans="1:16" x14ac:dyDescent="0.25">
      <c r="A25">
        <v>700</v>
      </c>
      <c r="B25" s="3">
        <v>3.400266666666667</v>
      </c>
      <c r="C25" s="3">
        <v>3.4070650000000002</v>
      </c>
      <c r="D25">
        <f t="shared" si="2"/>
        <v>6.7983333333332396E-3</v>
      </c>
      <c r="E25">
        <f t="shared" si="3"/>
        <v>6.3783333333333747E-3</v>
      </c>
      <c r="F25" s="3">
        <v>216</v>
      </c>
      <c r="G25">
        <v>2130</v>
      </c>
      <c r="H25">
        <f t="shared" si="4"/>
        <v>1.3777200000000089</v>
      </c>
      <c r="I25">
        <f t="shared" ref="I25:I37" si="11">H25</f>
        <v>1.3777200000000089</v>
      </c>
      <c r="J25">
        <f t="shared" ref="J25:J37" si="12">(I25/G25)*1000</f>
        <v>0.64681690140845483</v>
      </c>
      <c r="K25">
        <f t="shared" si="6"/>
        <v>-1.6299999999999759E-4</v>
      </c>
      <c r="L25">
        <f t="shared" si="7"/>
        <v>-1.8735000000000835E-4</v>
      </c>
      <c r="M25">
        <f t="shared" si="8"/>
        <v>-1.7517500000000297E-4</v>
      </c>
      <c r="N25">
        <f t="shared" si="9"/>
        <v>6.8250454250248338E-4</v>
      </c>
      <c r="O25" s="3">
        <f t="shared" si="10"/>
        <v>6.8250454250248334</v>
      </c>
      <c r="P25">
        <f t="shared" si="5"/>
        <v>0.10140845070422536</v>
      </c>
    </row>
    <row r="26" spans="1:16" x14ac:dyDescent="0.25">
      <c r="A26">
        <v>750</v>
      </c>
      <c r="B26" s="3">
        <v>3.3928666666666665</v>
      </c>
      <c r="C26" s="3">
        <v>3.398825</v>
      </c>
      <c r="D26">
        <f t="shared" si="2"/>
        <v>5.9583333333335098E-3</v>
      </c>
      <c r="E26">
        <f t="shared" si="3"/>
        <v>6.0675000000003365E-3</v>
      </c>
      <c r="F26" s="3">
        <v>205</v>
      </c>
      <c r="G26">
        <v>2131</v>
      </c>
      <c r="H26">
        <f t="shared" si="4"/>
        <v>1.243837500000069</v>
      </c>
      <c r="I26">
        <f t="shared" si="11"/>
        <v>1.243837500000069</v>
      </c>
      <c r="J26">
        <f t="shared" si="12"/>
        <v>0.5836872360394505</v>
      </c>
      <c r="K26">
        <f t="shared" si="6"/>
        <v>-1.5233333333334098E-4</v>
      </c>
      <c r="L26">
        <f t="shared" si="7"/>
        <v>-1.5855000000000174E-4</v>
      </c>
      <c r="M26">
        <f t="shared" si="8"/>
        <v>-1.5544166666667136E-4</v>
      </c>
      <c r="N26">
        <f t="shared" si="9"/>
        <v>6.9407925632284902E-4</v>
      </c>
      <c r="O26" s="3">
        <f t="shared" si="10"/>
        <v>6.9407925632284906</v>
      </c>
      <c r="P26">
        <f t="shared" si="5"/>
        <v>9.6198967620835282E-2</v>
      </c>
    </row>
    <row r="27" spans="1:16" x14ac:dyDescent="0.25">
      <c r="A27">
        <v>800</v>
      </c>
      <c r="B27" s="3">
        <v>3.3850333333333329</v>
      </c>
      <c r="C27" s="3">
        <v>3.3912100000000001</v>
      </c>
      <c r="D27">
        <f t="shared" si="2"/>
        <v>6.1766666666671632E-3</v>
      </c>
      <c r="E27">
        <f t="shared" si="3"/>
        <v>6.0050000000000381E-3</v>
      </c>
      <c r="F27" s="3">
        <v>192</v>
      </c>
      <c r="G27">
        <v>2132</v>
      </c>
      <c r="H27">
        <f t="shared" si="4"/>
        <v>1.1529600000000073</v>
      </c>
      <c r="I27">
        <f t="shared" si="11"/>
        <v>1.1529600000000073</v>
      </c>
      <c r="J27">
        <f t="shared" si="12"/>
        <v>0.54078799249531295</v>
      </c>
      <c r="K27">
        <f t="shared" si="6"/>
        <v>-1.4099999999999557E-4</v>
      </c>
      <c r="L27">
        <f t="shared" si="7"/>
        <v>-1.4225000000000153E-4</v>
      </c>
      <c r="M27">
        <f t="shared" si="8"/>
        <v>-1.4162499999999855E-4</v>
      </c>
      <c r="N27">
        <f t="shared" si="9"/>
        <v>7.0580288635332521E-4</v>
      </c>
      <c r="O27" s="3">
        <f t="shared" si="10"/>
        <v>7.0580288635332522</v>
      </c>
      <c r="P27">
        <f t="shared" si="5"/>
        <v>9.0056285178236398E-2</v>
      </c>
    </row>
    <row r="28" spans="1:16" x14ac:dyDescent="0.25">
      <c r="A28">
        <v>850</v>
      </c>
      <c r="B28" s="3">
        <v>3.3787666666666669</v>
      </c>
      <c r="C28" s="3">
        <v>3.3845999999999998</v>
      </c>
      <c r="D28">
        <f t="shared" si="2"/>
        <v>5.8333333333329129E-3</v>
      </c>
      <c r="E28">
        <f t="shared" si="3"/>
        <v>6.435087719297794E-3</v>
      </c>
      <c r="F28" s="3">
        <v>181</v>
      </c>
      <c r="G28">
        <v>2133</v>
      </c>
      <c r="H28">
        <f t="shared" si="4"/>
        <v>1.1647508771929007</v>
      </c>
      <c r="I28">
        <f t="shared" si="11"/>
        <v>1.1647508771929007</v>
      </c>
      <c r="J28">
        <f t="shared" si="12"/>
        <v>0.54606229591790933</v>
      </c>
      <c r="K28">
        <f t="shared" si="6"/>
        <v>-1.2933333333332798E-4</v>
      </c>
      <c r="L28">
        <f t="shared" si="7"/>
        <v>-1.2073157894737285E-4</v>
      </c>
      <c r="M28">
        <f t="shared" si="8"/>
        <v>-1.2503245614035042E-4</v>
      </c>
      <c r="N28">
        <f t="shared" si="9"/>
        <v>8.0726428907005373E-4</v>
      </c>
      <c r="O28" s="3">
        <f t="shared" si="10"/>
        <v>8.0726428907005374</v>
      </c>
      <c r="P28">
        <f t="shared" si="5"/>
        <v>8.485700890764182E-2</v>
      </c>
    </row>
    <row r="29" spans="1:16" x14ac:dyDescent="0.25">
      <c r="A29">
        <v>900</v>
      </c>
      <c r="B29" s="3">
        <v>3.3721000000000001</v>
      </c>
      <c r="C29" s="3">
        <v>3.3791368421052628</v>
      </c>
      <c r="D29">
        <f t="shared" si="2"/>
        <v>7.0368421052626751E-3</v>
      </c>
      <c r="E29">
        <f t="shared" si="3"/>
        <v>9.2043859649122428E-3</v>
      </c>
      <c r="F29" s="3">
        <v>177</v>
      </c>
      <c r="G29">
        <v>2134</v>
      </c>
      <c r="H29">
        <f t="shared" si="4"/>
        <v>1.629176315789467</v>
      </c>
      <c r="I29">
        <f t="shared" si="11"/>
        <v>1.629176315789467</v>
      </c>
      <c r="J29">
        <f t="shared" si="12"/>
        <v>0.76343782370640434</v>
      </c>
      <c r="K29">
        <f t="shared" si="6"/>
        <v>-1.5733333333333376E-4</v>
      </c>
      <c r="L29">
        <f t="shared" si="7"/>
        <v>-1.0194736842104479E-4</v>
      </c>
      <c r="M29">
        <f t="shared" si="8"/>
        <v>-1.2964035087718927E-4</v>
      </c>
      <c r="N29">
        <f t="shared" si="9"/>
        <v>1.0885033947880321E-3</v>
      </c>
      <c r="O29" s="3">
        <f t="shared" si="10"/>
        <v>10.885033947880322</v>
      </c>
      <c r="P29">
        <f t="shared" si="5"/>
        <v>8.2942830365510783E-2</v>
      </c>
    </row>
    <row r="30" spans="1:16" x14ac:dyDescent="0.25">
      <c r="A30">
        <v>950</v>
      </c>
      <c r="B30" s="3">
        <v>3.3630333333333335</v>
      </c>
      <c r="C30" s="3">
        <v>3.3744052631578954</v>
      </c>
      <c r="D30">
        <f t="shared" si="2"/>
        <v>1.1371929824561811E-2</v>
      </c>
      <c r="E30">
        <f t="shared" si="3"/>
        <v>7.5998538011698979E-3</v>
      </c>
      <c r="F30" s="3">
        <v>172</v>
      </c>
      <c r="G30">
        <v>2135</v>
      </c>
      <c r="H30">
        <f t="shared" si="4"/>
        <v>1.3071748538012224</v>
      </c>
      <c r="I30">
        <f t="shared" si="11"/>
        <v>1.3071748538012224</v>
      </c>
      <c r="J30">
        <f t="shared" si="12"/>
        <v>0.61225988468441328</v>
      </c>
      <c r="K30">
        <f t="shared" si="6"/>
        <v>-4.9500000000000099E-5</v>
      </c>
      <c r="L30">
        <f t="shared" si="7"/>
        <v>-8.1590643274847001E-5</v>
      </c>
      <c r="M30">
        <f t="shared" si="8"/>
        <v>-6.5545321637423546E-5</v>
      </c>
      <c r="N30">
        <f t="shared" si="9"/>
        <v>1.7265947628702645E-3</v>
      </c>
      <c r="O30" s="3">
        <f t="shared" si="10"/>
        <v>17.265947628702644</v>
      </c>
      <c r="P30">
        <f t="shared" si="5"/>
        <v>8.0562060889929746E-2</v>
      </c>
    </row>
    <row r="31" spans="1:16" x14ac:dyDescent="0.25">
      <c r="A31">
        <v>1000</v>
      </c>
      <c r="B31" s="3">
        <v>3.3671500000000001</v>
      </c>
      <c r="C31" s="3">
        <v>3.3709777777777781</v>
      </c>
      <c r="D31">
        <f t="shared" si="2"/>
        <v>3.8277777777779853E-3</v>
      </c>
      <c r="E31">
        <f t="shared" si="3"/>
        <v>4.0027777777777995E-3</v>
      </c>
      <c r="F31" s="3">
        <v>167</v>
      </c>
      <c r="G31">
        <v>2136</v>
      </c>
      <c r="H31">
        <f t="shared" si="4"/>
        <v>0.66846388888889252</v>
      </c>
      <c r="I31">
        <f t="shared" si="11"/>
        <v>0.66846388888889252</v>
      </c>
      <c r="J31">
        <f t="shared" si="12"/>
        <v>0.31295125884311448</v>
      </c>
      <c r="K31">
        <f t="shared" si="6"/>
        <v>4.666666666666153E-6</v>
      </c>
      <c r="L31">
        <f t="shared" si="7"/>
        <v>-6.7274853801175817E-5</v>
      </c>
      <c r="M31">
        <f t="shared" si="8"/>
        <v>-3.1304093567254832E-5</v>
      </c>
      <c r="N31">
        <f t="shared" si="9"/>
        <v>1.8478719908462549E-3</v>
      </c>
      <c r="O31" s="3">
        <f t="shared" si="10"/>
        <v>18.478719908462548</v>
      </c>
      <c r="P31">
        <f t="shared" si="5"/>
        <v>7.8183520599250933E-2</v>
      </c>
    </row>
    <row r="32" spans="1:16" x14ac:dyDescent="0.25">
      <c r="A32">
        <v>1050</v>
      </c>
      <c r="B32" s="3">
        <v>3.3635000000000002</v>
      </c>
      <c r="C32" s="3">
        <v>3.3676777777777778</v>
      </c>
      <c r="D32">
        <f t="shared" si="2"/>
        <v>4.1777777777776137E-3</v>
      </c>
      <c r="E32">
        <f t="shared" si="3"/>
        <v>4.9305555555554381E-3</v>
      </c>
      <c r="F32" s="3">
        <v>160</v>
      </c>
      <c r="G32">
        <v>2137</v>
      </c>
      <c r="H32">
        <f t="shared" si="4"/>
        <v>0.7888888888888701</v>
      </c>
      <c r="I32">
        <f t="shared" si="11"/>
        <v>0.7888888888888701</v>
      </c>
      <c r="J32">
        <f t="shared" si="12"/>
        <v>0.36915717776737023</v>
      </c>
      <c r="K32">
        <f t="shared" si="6"/>
        <v>-7.8999999999997963E-5</v>
      </c>
      <c r="L32">
        <f t="shared" si="7"/>
        <v>-6.0444444444445188E-5</v>
      </c>
      <c r="M32">
        <f t="shared" si="8"/>
        <v>-6.9722222222221575E-5</v>
      </c>
      <c r="N32">
        <f t="shared" si="9"/>
        <v>9.7867030087635926E-4</v>
      </c>
      <c r="O32" s="3">
        <f t="shared" si="10"/>
        <v>9.7867030087635918</v>
      </c>
      <c r="P32">
        <f t="shared" si="5"/>
        <v>7.4871314927468416E-2</v>
      </c>
    </row>
    <row r="33" spans="1:16" x14ac:dyDescent="0.25">
      <c r="A33">
        <v>1100</v>
      </c>
      <c r="B33" s="3">
        <v>3.3592500000000003</v>
      </c>
      <c r="C33" s="3">
        <v>3.3649333333333336</v>
      </c>
      <c r="D33">
        <f t="shared" si="2"/>
        <v>5.6833333333332625E-3</v>
      </c>
      <c r="E33">
        <f t="shared" si="3"/>
        <v>6.5710784313726123E-3</v>
      </c>
      <c r="F33" s="3">
        <v>151</v>
      </c>
      <c r="G33">
        <v>2138</v>
      </c>
      <c r="H33">
        <f t="shared" si="4"/>
        <v>0.99223284313726445</v>
      </c>
      <c r="I33">
        <f t="shared" si="11"/>
        <v>0.99223284313726445</v>
      </c>
      <c r="J33">
        <f t="shared" si="12"/>
        <v>0.46409393972743895</v>
      </c>
      <c r="K33">
        <f t="shared" si="6"/>
        <v>-7.9000000000002408E-5</v>
      </c>
      <c r="L33">
        <f t="shared" si="7"/>
        <v>-4.618954248365892E-5</v>
      </c>
      <c r="M33">
        <f t="shared" si="8"/>
        <v>-6.2594771241830671E-5</v>
      </c>
      <c r="N33">
        <f t="shared" si="9"/>
        <v>1.3704530241414137E-3</v>
      </c>
      <c r="O33" s="3">
        <f t="shared" si="10"/>
        <v>13.704530241414137</v>
      </c>
      <c r="P33">
        <f t="shared" si="5"/>
        <v>7.0626753975678205E-2</v>
      </c>
    </row>
    <row r="34" spans="1:16" x14ac:dyDescent="0.25">
      <c r="A34">
        <v>1150</v>
      </c>
      <c r="B34" s="3">
        <v>3.3555999999999999</v>
      </c>
      <c r="C34" s="3">
        <v>3.3630588235294119</v>
      </c>
      <c r="D34">
        <f t="shared" si="2"/>
        <v>7.458823529411962E-3</v>
      </c>
      <c r="E34">
        <f t="shared" si="3"/>
        <v>9.5200367647059192E-3</v>
      </c>
      <c r="F34" s="3">
        <v>145</v>
      </c>
      <c r="G34">
        <v>2139</v>
      </c>
      <c r="H34">
        <f t="shared" si="4"/>
        <v>1.3804053308823583</v>
      </c>
      <c r="I34">
        <f t="shared" si="11"/>
        <v>1.3804053308823583</v>
      </c>
      <c r="J34">
        <f t="shared" si="12"/>
        <v>0.64535078582625449</v>
      </c>
      <c r="K34">
        <f t="shared" si="6"/>
        <v>-1.0550000000000281E-4</v>
      </c>
      <c r="L34">
        <f t="shared" si="7"/>
        <v>-4.6520833333336678E-5</v>
      </c>
      <c r="M34">
        <f t="shared" si="8"/>
        <v>-7.601041666666974E-5</v>
      </c>
      <c r="N34">
        <f t="shared" si="9"/>
        <v>1.5693472215986546E-3</v>
      </c>
      <c r="O34" s="3">
        <f t="shared" si="10"/>
        <v>15.693472215986546</v>
      </c>
      <c r="P34">
        <f t="shared" si="5"/>
        <v>6.7788686302010279E-2</v>
      </c>
    </row>
    <row r="35" spans="1:16" x14ac:dyDescent="0.25">
      <c r="A35">
        <v>1200</v>
      </c>
      <c r="B35" s="3">
        <v>3.3487</v>
      </c>
      <c r="C35" s="3">
        <v>3.3602812499999999</v>
      </c>
      <c r="D35">
        <f t="shared" si="2"/>
        <v>1.1581249999999876E-2</v>
      </c>
      <c r="E35">
        <f t="shared" si="3"/>
        <v>1.4800240384615249E-2</v>
      </c>
      <c r="F35" s="3">
        <v>137</v>
      </c>
      <c r="G35">
        <v>2140</v>
      </c>
      <c r="H35">
        <f t="shared" si="4"/>
        <v>2.0276329326922893</v>
      </c>
      <c r="I35">
        <f t="shared" si="11"/>
        <v>2.0276329326922893</v>
      </c>
      <c r="J35">
        <f t="shared" si="12"/>
        <v>0.9474920246225651</v>
      </c>
      <c r="K35">
        <f t="shared" si="6"/>
        <v>-1.6549999999999622E-4</v>
      </c>
      <c r="L35">
        <f t="shared" si="7"/>
        <v>-5.9895927601809615E-5</v>
      </c>
      <c r="M35">
        <f t="shared" si="8"/>
        <v>-1.1269796380090292E-4</v>
      </c>
      <c r="N35">
        <f t="shared" si="9"/>
        <v>1.5540171470180878E-3</v>
      </c>
      <c r="O35" s="3">
        <f t="shared" si="10"/>
        <v>15.540171470180878</v>
      </c>
      <c r="P35">
        <f t="shared" si="5"/>
        <v>6.4018691588785051E-2</v>
      </c>
    </row>
    <row r="36" spans="1:16" x14ac:dyDescent="0.25">
      <c r="A36">
        <v>1250</v>
      </c>
      <c r="B36" s="3">
        <v>3.3390500000000003</v>
      </c>
      <c r="C36" s="3">
        <v>3.3570692307692309</v>
      </c>
      <c r="D36">
        <f t="shared" si="2"/>
        <v>1.8019230769230621E-2</v>
      </c>
      <c r="E36">
        <f t="shared" si="3"/>
        <v>2.7534615384615213E-2</v>
      </c>
      <c r="F36" s="3">
        <v>124</v>
      </c>
      <c r="G36">
        <v>2141</v>
      </c>
      <c r="H36">
        <f t="shared" si="4"/>
        <v>3.4142923076922864</v>
      </c>
      <c r="I36">
        <f t="shared" si="11"/>
        <v>3.4142923076922864</v>
      </c>
      <c r="J36">
        <f t="shared" si="12"/>
        <v>1.5947184996227401</v>
      </c>
      <c r="K36">
        <f t="shared" si="6"/>
        <v>-3.4450000000000089E-4</v>
      </c>
      <c r="L36">
        <f t="shared" si="7"/>
        <v>-8.9812500000001621E-5</v>
      </c>
      <c r="M36">
        <f t="shared" si="8"/>
        <v>-2.1715625000000126E-4</v>
      </c>
      <c r="N36">
        <f t="shared" si="9"/>
        <v>1.3574005217797177E-3</v>
      </c>
      <c r="O36" s="3">
        <f t="shared" si="10"/>
        <v>13.574005217797177</v>
      </c>
      <c r="P36">
        <f t="shared" si="5"/>
        <v>5.7916861279775807E-2</v>
      </c>
    </row>
    <row r="37" spans="1:16" x14ac:dyDescent="0.25">
      <c r="A37">
        <v>1300</v>
      </c>
      <c r="B37" s="3">
        <v>3.3142499999999999</v>
      </c>
      <c r="C37" s="3">
        <v>3.3512999999999997</v>
      </c>
      <c r="D37">
        <f t="shared" si="2"/>
        <v>3.7049999999999805E-2</v>
      </c>
      <c r="E37">
        <f t="shared" si="3"/>
        <v>1.8524999999999903E-2</v>
      </c>
      <c r="F37" s="3">
        <v>101</v>
      </c>
      <c r="G37">
        <v>2142</v>
      </c>
      <c r="H37">
        <f t="shared" si="4"/>
        <v>1.8710249999999902</v>
      </c>
      <c r="I37">
        <f t="shared" si="11"/>
        <v>1.8710249999999902</v>
      </c>
      <c r="J37">
        <f t="shared" si="12"/>
        <v>0.87349439775909898</v>
      </c>
      <c r="K37">
        <f t="shared" si="6"/>
        <v>-1.085000000000047E-4</v>
      </c>
      <c r="L37">
        <f t="shared" si="7"/>
        <v>-1.8359230769231073E-4</v>
      </c>
      <c r="M37">
        <f t="shared" si="8"/>
        <v>-1.460461538461577E-4</v>
      </c>
      <c r="N37">
        <f t="shared" si="9"/>
        <v>1.1055192585488923E-3</v>
      </c>
      <c r="O37" s="3">
        <f t="shared" si="10"/>
        <v>11.055192585488923</v>
      </c>
      <c r="P37">
        <f t="shared" si="5"/>
        <v>4.7152194211017739E-2</v>
      </c>
    </row>
    <row r="38" spans="1:16" x14ac:dyDescent="0.25">
      <c r="A38">
        <v>1350</v>
      </c>
      <c r="B38" s="3">
        <v>3.3281999999999998</v>
      </c>
      <c r="C38" s="3">
        <v>3.3387099999999998</v>
      </c>
      <c r="F38" s="3">
        <v>67</v>
      </c>
      <c r="O38" s="3"/>
    </row>
    <row r="39" spans="1:16" x14ac:dyDescent="0.25">
      <c r="B39" s="3"/>
      <c r="C39" s="3"/>
      <c r="F39" s="3">
        <v>25.9</v>
      </c>
      <c r="O39" s="3"/>
    </row>
    <row r="40" spans="1:16" x14ac:dyDescent="0.25">
      <c r="B40" s="3"/>
      <c r="C40" s="3"/>
      <c r="D40" s="8"/>
      <c r="E40" s="8"/>
      <c r="F40" s="3"/>
      <c r="G40" s="9"/>
      <c r="O40" s="3"/>
    </row>
    <row r="41" spans="1:16" x14ac:dyDescent="0.25">
      <c r="B41" s="3"/>
      <c r="C41" s="3"/>
      <c r="D41" s="8"/>
      <c r="E41" s="8"/>
      <c r="F41" s="3"/>
      <c r="G41" s="9"/>
      <c r="O41" s="3"/>
    </row>
    <row r="42" spans="1:16" x14ac:dyDescent="0.25">
      <c r="B42" s="3"/>
      <c r="C42" s="3"/>
      <c r="D42" s="8"/>
      <c r="E42" s="8"/>
      <c r="F42" s="3"/>
      <c r="G42" s="9"/>
      <c r="O42" s="3"/>
    </row>
    <row r="43" spans="1:16" x14ac:dyDescent="0.25">
      <c r="B43" s="3"/>
      <c r="C43" s="3"/>
      <c r="D43" s="8"/>
      <c r="E43" s="8"/>
      <c r="F43" s="3"/>
      <c r="G43" s="9"/>
      <c r="O43" s="3"/>
    </row>
    <row r="44" spans="1:16" x14ac:dyDescent="0.25">
      <c r="B44" s="3"/>
      <c r="C44" s="3"/>
      <c r="D44" s="8"/>
      <c r="E44" s="8"/>
      <c r="F44" s="3"/>
      <c r="G44" s="9"/>
      <c r="O44" s="3"/>
    </row>
    <row r="45" spans="1:16" x14ac:dyDescent="0.25">
      <c r="B45" s="3"/>
      <c r="C45" s="3"/>
      <c r="D45" s="8"/>
      <c r="E45" s="8"/>
      <c r="F45" s="3"/>
      <c r="G45" s="9"/>
      <c r="O45" s="3"/>
    </row>
    <row r="46" spans="1:16" x14ac:dyDescent="0.25">
      <c r="B46" s="3"/>
      <c r="C46" s="3"/>
      <c r="D46" s="8"/>
      <c r="E46" s="8"/>
      <c r="F46" s="3"/>
      <c r="G46" s="9"/>
      <c r="O46" s="3"/>
    </row>
    <row r="47" spans="1:16" x14ac:dyDescent="0.25">
      <c r="B47" s="3"/>
      <c r="C47" s="3"/>
      <c r="D47" s="8"/>
      <c r="E47" s="8"/>
      <c r="F47" s="3"/>
      <c r="G47" s="9"/>
      <c r="O47" s="3"/>
    </row>
    <row r="48" spans="1:16" x14ac:dyDescent="0.25">
      <c r="B48" s="3"/>
      <c r="C48" s="3"/>
      <c r="D48" s="8"/>
      <c r="E48" s="8"/>
      <c r="F48" s="3"/>
      <c r="G48" s="9"/>
      <c r="O48" s="3"/>
    </row>
    <row r="49" spans="2:15" x14ac:dyDescent="0.25">
      <c r="B49" s="3"/>
      <c r="C49" s="3"/>
      <c r="D49" s="8"/>
      <c r="E49" s="8"/>
      <c r="F49" s="3"/>
      <c r="G49" s="9"/>
      <c r="O49" s="3"/>
    </row>
    <row r="50" spans="2:15" x14ac:dyDescent="0.25">
      <c r="B50" s="3"/>
      <c r="C50" s="3"/>
      <c r="D50" s="8"/>
      <c r="E50" s="8"/>
      <c r="F50" s="3"/>
      <c r="G50" s="9"/>
      <c r="O50" s="3"/>
    </row>
    <row r="51" spans="2:15" x14ac:dyDescent="0.25">
      <c r="B51" s="3"/>
      <c r="C51" s="3"/>
      <c r="D51" s="8"/>
      <c r="E51" s="8"/>
      <c r="F51" s="3"/>
      <c r="G51" s="9"/>
      <c r="O51" s="3"/>
    </row>
    <row r="52" spans="2:15" x14ac:dyDescent="0.25">
      <c r="B52" s="3"/>
      <c r="C52" s="3"/>
      <c r="D52" s="8"/>
      <c r="E52" s="8"/>
      <c r="F52" s="3"/>
      <c r="O52" s="3"/>
    </row>
    <row r="53" spans="2:15" x14ac:dyDescent="0.25">
      <c r="B53" s="3"/>
      <c r="C53" s="3"/>
      <c r="D53" s="8"/>
      <c r="E53" s="8"/>
      <c r="F53" s="3"/>
      <c r="G53" s="9"/>
      <c r="O53" s="3"/>
    </row>
    <row r="54" spans="2:15" x14ac:dyDescent="0.25">
      <c r="B54" s="3"/>
      <c r="C54" s="3"/>
      <c r="D54" s="8"/>
      <c r="E54" s="8"/>
      <c r="F54" s="3"/>
      <c r="G54" s="9"/>
      <c r="O54" s="3"/>
    </row>
    <row r="55" spans="2:15" x14ac:dyDescent="0.25">
      <c r="B55" s="3"/>
      <c r="C55" s="3"/>
      <c r="D55" s="8"/>
      <c r="E55" s="8"/>
      <c r="F55" s="3"/>
      <c r="G55" s="9"/>
      <c r="O55" s="3"/>
    </row>
    <row r="56" spans="2:15" x14ac:dyDescent="0.25">
      <c r="B56" s="3"/>
      <c r="C56" s="3"/>
      <c r="D56" s="8"/>
      <c r="E56" s="8"/>
      <c r="F56" s="3"/>
      <c r="G56" s="9"/>
      <c r="O56" s="3"/>
    </row>
    <row r="57" spans="2:15" x14ac:dyDescent="0.25">
      <c r="B57" s="3"/>
      <c r="C57" s="3"/>
      <c r="D57" s="8"/>
      <c r="E57" s="8"/>
      <c r="F57" s="3"/>
      <c r="G57" s="9"/>
      <c r="O57" s="3"/>
    </row>
    <row r="58" spans="2:15" x14ac:dyDescent="0.25">
      <c r="B58" s="3"/>
      <c r="C58" s="3"/>
      <c r="D58" s="8"/>
      <c r="E58" s="8"/>
      <c r="F58" s="3"/>
      <c r="G58" s="9"/>
      <c r="O58" s="3"/>
    </row>
    <row r="59" spans="2:15" x14ac:dyDescent="0.25">
      <c r="B59" s="3"/>
      <c r="C59" s="3"/>
      <c r="D59" s="8"/>
      <c r="E59" s="8"/>
      <c r="F59" s="3"/>
      <c r="G59" s="9"/>
      <c r="O59" s="3"/>
    </row>
    <row r="60" spans="2:15" x14ac:dyDescent="0.25">
      <c r="B60" s="3"/>
      <c r="C60" s="3"/>
      <c r="D60" s="8"/>
      <c r="E60" s="8"/>
      <c r="F60" s="3"/>
      <c r="G60" s="9"/>
      <c r="O60" s="3"/>
    </row>
    <row r="61" spans="2:15" x14ac:dyDescent="0.25">
      <c r="B61" s="3"/>
      <c r="C61" s="3"/>
      <c r="D61" s="8"/>
      <c r="E61" s="8"/>
      <c r="F61" s="3"/>
      <c r="G61" s="9"/>
      <c r="O61" s="3"/>
    </row>
    <row r="62" spans="2:15" x14ac:dyDescent="0.25">
      <c r="B62" s="3"/>
      <c r="C62" s="3"/>
      <c r="D62" s="8"/>
      <c r="E62" s="8"/>
      <c r="F62" s="3"/>
      <c r="G62" s="9"/>
      <c r="O62" s="3"/>
    </row>
    <row r="63" spans="2:15" x14ac:dyDescent="0.25">
      <c r="B63" s="3"/>
      <c r="C63" s="3"/>
      <c r="D63" s="8"/>
      <c r="E63" s="8"/>
      <c r="F63" s="3"/>
      <c r="G63" s="9"/>
      <c r="O63" s="3"/>
    </row>
    <row r="64" spans="2:15" x14ac:dyDescent="0.25">
      <c r="B64" s="3"/>
      <c r="C64" s="3"/>
      <c r="D64" s="8"/>
      <c r="E64" s="8"/>
      <c r="F64" s="3"/>
      <c r="G64" s="9"/>
      <c r="O64" s="3"/>
    </row>
    <row r="65" spans="2:15" x14ac:dyDescent="0.25">
      <c r="B65" s="3"/>
      <c r="C65" s="3"/>
      <c r="D65" s="8"/>
      <c r="E65" s="8"/>
      <c r="F65" s="3"/>
      <c r="G65" s="9"/>
      <c r="O65" s="3"/>
    </row>
    <row r="66" spans="2:15" x14ac:dyDescent="0.25">
      <c r="B66" s="3"/>
      <c r="C66" s="3"/>
      <c r="D66" s="8"/>
      <c r="E66" s="8"/>
      <c r="F66" s="3"/>
      <c r="G66" s="9"/>
      <c r="O66" s="3"/>
    </row>
    <row r="67" spans="2:15" x14ac:dyDescent="0.25">
      <c r="B67" s="3"/>
      <c r="C67" s="3"/>
      <c r="D67" s="8"/>
      <c r="E67" s="8"/>
      <c r="F67" s="3"/>
      <c r="G67" s="9"/>
      <c r="O67" s="3"/>
    </row>
    <row r="68" spans="2:15" x14ac:dyDescent="0.25">
      <c r="B68" s="3"/>
      <c r="C68" s="3"/>
      <c r="D68" s="8"/>
      <c r="E68" s="8"/>
      <c r="F68" s="3"/>
      <c r="G68" s="9"/>
      <c r="O68" s="3"/>
    </row>
    <row r="69" spans="2:15" x14ac:dyDescent="0.25">
      <c r="B69" s="3"/>
      <c r="C69" s="3"/>
      <c r="D69" s="8"/>
      <c r="E69" s="8"/>
      <c r="F69" s="3"/>
      <c r="G69" s="9"/>
      <c r="O69" s="3"/>
    </row>
    <row r="70" spans="2:15" x14ac:dyDescent="0.25">
      <c r="B70" s="3"/>
      <c r="C70" s="3"/>
      <c r="D70" s="8"/>
      <c r="E70" s="8"/>
      <c r="F70" s="3"/>
      <c r="G70" s="9"/>
      <c r="O70" s="3"/>
    </row>
    <row r="71" spans="2:15" x14ac:dyDescent="0.25">
      <c r="B71" s="3"/>
      <c r="C71" s="3"/>
      <c r="D71" s="8"/>
      <c r="E71" s="8"/>
      <c r="F71" s="3"/>
      <c r="G71" s="9"/>
      <c r="O71" s="3"/>
    </row>
    <row r="72" spans="2:15" x14ac:dyDescent="0.25">
      <c r="B72" s="3"/>
      <c r="C72" s="3"/>
      <c r="D72" s="8"/>
      <c r="E72" s="8"/>
      <c r="F72" s="3"/>
      <c r="G72" s="9"/>
      <c r="O72" s="3"/>
    </row>
    <row r="73" spans="2:15" x14ac:dyDescent="0.25">
      <c r="B73" s="3"/>
      <c r="C73" s="3"/>
      <c r="D73" s="8"/>
      <c r="E73" s="8"/>
      <c r="F73" s="3"/>
      <c r="G73" s="9"/>
      <c r="O73" s="3"/>
    </row>
    <row r="74" spans="2:15" x14ac:dyDescent="0.25">
      <c r="B74" s="3"/>
      <c r="C74" s="3"/>
      <c r="D74" s="8"/>
      <c r="E74" s="8"/>
      <c r="F74" s="3"/>
      <c r="G74" s="9"/>
      <c r="O74" s="3"/>
    </row>
    <row r="75" spans="2:15" x14ac:dyDescent="0.25">
      <c r="B75" s="3"/>
      <c r="C75" s="3"/>
      <c r="D75" s="8"/>
      <c r="E75" s="8"/>
      <c r="F75" s="3"/>
      <c r="G75" s="9"/>
      <c r="O75" s="3"/>
    </row>
    <row r="76" spans="2:15" x14ac:dyDescent="0.25">
      <c r="B76" s="3"/>
      <c r="C76" s="3"/>
      <c r="D76" s="8"/>
      <c r="E76" s="8"/>
      <c r="F76" s="3"/>
      <c r="G76" s="9"/>
      <c r="O76" s="3"/>
    </row>
    <row r="77" spans="2:15" x14ac:dyDescent="0.25">
      <c r="B77" s="3"/>
      <c r="C77" s="3"/>
      <c r="D77" s="8"/>
      <c r="E77" s="8"/>
      <c r="F77" s="3"/>
      <c r="O77" s="3"/>
    </row>
    <row r="78" spans="2:15" x14ac:dyDescent="0.25">
      <c r="B78" s="3"/>
      <c r="C78" s="3"/>
      <c r="D78" s="8"/>
      <c r="E78" s="8"/>
      <c r="F78" s="3"/>
      <c r="G78" s="9"/>
      <c r="O78" s="3"/>
    </row>
    <row r="79" spans="2:15" x14ac:dyDescent="0.25">
      <c r="B79" s="3"/>
      <c r="C79" s="3"/>
      <c r="D79" s="8"/>
      <c r="E79" s="8"/>
      <c r="F79" s="3"/>
      <c r="G79" s="9"/>
      <c r="O79" s="3"/>
    </row>
    <row r="80" spans="2:15" x14ac:dyDescent="0.25">
      <c r="B80" s="3"/>
      <c r="C80" s="3"/>
      <c r="D80" s="8"/>
      <c r="E80" s="8"/>
      <c r="F80" s="3"/>
      <c r="G80" s="9"/>
      <c r="O80" s="3"/>
    </row>
    <row r="81" spans="2:15" x14ac:dyDescent="0.25">
      <c r="B81" s="3"/>
      <c r="D81" s="8"/>
      <c r="E81" s="8"/>
      <c r="F81" s="3"/>
      <c r="G81" s="9"/>
      <c r="O81" s="3"/>
    </row>
    <row r="82" spans="2:15" x14ac:dyDescent="0.25">
      <c r="B82" s="3"/>
      <c r="D82" s="8"/>
      <c r="E82" s="8"/>
      <c r="F82" s="3"/>
      <c r="G82" s="9"/>
      <c r="O82" s="3"/>
    </row>
    <row r="83" spans="2:15" x14ac:dyDescent="0.25">
      <c r="B83" s="3"/>
      <c r="D83" s="8"/>
      <c r="E83" s="8"/>
      <c r="F83" s="3"/>
      <c r="G83" s="9"/>
      <c r="O83" s="3"/>
    </row>
    <row r="84" spans="2:15" x14ac:dyDescent="0.25">
      <c r="B84" s="3"/>
      <c r="D84" s="8"/>
      <c r="E84" s="8"/>
      <c r="F84" s="3"/>
      <c r="G84" s="9"/>
      <c r="O84" s="3"/>
    </row>
    <row r="85" spans="2:15" x14ac:dyDescent="0.25">
      <c r="B85" s="3"/>
      <c r="D85" s="8"/>
      <c r="E85" s="8"/>
      <c r="F85" s="3"/>
      <c r="G85" s="9"/>
      <c r="O85" s="3"/>
    </row>
    <row r="86" spans="2:15" x14ac:dyDescent="0.25">
      <c r="B86" s="3"/>
      <c r="D86" s="8"/>
      <c r="E86" s="8"/>
      <c r="F86" s="3"/>
      <c r="G86" s="9"/>
      <c r="O86" s="3"/>
    </row>
    <row r="87" spans="2:15" x14ac:dyDescent="0.25">
      <c r="B87" s="3"/>
      <c r="D87" s="8"/>
      <c r="E87" s="8"/>
      <c r="F87" s="3"/>
      <c r="G87" s="9"/>
      <c r="O87" s="3"/>
    </row>
    <row r="88" spans="2:15" x14ac:dyDescent="0.25">
      <c r="B88" s="3"/>
      <c r="D88" s="8"/>
      <c r="E88" s="8"/>
      <c r="F88" s="3"/>
      <c r="G88" s="9"/>
      <c r="O88" s="3"/>
    </row>
    <row r="89" spans="2:15" x14ac:dyDescent="0.25">
      <c r="B89" s="3"/>
      <c r="D89" s="8"/>
      <c r="E89" s="8"/>
      <c r="F89" s="3"/>
      <c r="G89" s="9"/>
      <c r="O89" s="3"/>
    </row>
    <row r="90" spans="2:15" x14ac:dyDescent="0.25">
      <c r="B90" s="3"/>
      <c r="D90" s="8"/>
      <c r="E90" s="8"/>
      <c r="F90" s="3"/>
      <c r="G90" s="9"/>
      <c r="O90" s="3"/>
    </row>
    <row r="91" spans="2:15" x14ac:dyDescent="0.25">
      <c r="B91" s="3"/>
      <c r="D91" s="8"/>
      <c r="E91" s="8"/>
      <c r="F91" s="3"/>
      <c r="G91" s="9"/>
      <c r="O91" s="3"/>
    </row>
    <row r="92" spans="2:15" x14ac:dyDescent="0.25">
      <c r="B92" s="3"/>
      <c r="D92" s="8"/>
      <c r="E92" s="8"/>
      <c r="F92" s="3"/>
      <c r="G92" s="9"/>
      <c r="O92" s="3"/>
    </row>
    <row r="93" spans="2:15" x14ac:dyDescent="0.25">
      <c r="B93" s="3"/>
      <c r="D93" s="8"/>
      <c r="E93" s="8"/>
      <c r="F93" s="3"/>
      <c r="G93" s="9"/>
      <c r="O93" s="3"/>
    </row>
    <row r="94" spans="2:15" x14ac:dyDescent="0.25">
      <c r="B94" s="3"/>
      <c r="D94" s="8"/>
      <c r="E94" s="8"/>
      <c r="F94" s="3"/>
      <c r="G94" s="9"/>
      <c r="O94" s="3"/>
    </row>
    <row r="95" spans="2:15" x14ac:dyDescent="0.25">
      <c r="B95" s="3"/>
      <c r="D95" s="8"/>
      <c r="E95" s="8"/>
      <c r="F95" s="3"/>
      <c r="G95" s="9"/>
      <c r="O95" s="3"/>
    </row>
    <row r="96" spans="2:15" x14ac:dyDescent="0.25">
      <c r="B96" s="3"/>
      <c r="D96" s="8"/>
      <c r="E96" s="8"/>
      <c r="F96" s="3"/>
      <c r="G96" s="9"/>
      <c r="O96" s="3"/>
    </row>
    <row r="97" spans="2:15" x14ac:dyDescent="0.25">
      <c r="B97" s="3"/>
      <c r="D97" s="8"/>
      <c r="E97" s="8"/>
      <c r="F97" s="3"/>
      <c r="G97" s="9"/>
      <c r="O97" s="3"/>
    </row>
    <row r="98" spans="2:15" x14ac:dyDescent="0.25">
      <c r="B98" s="3"/>
      <c r="D98" s="8"/>
      <c r="E98" s="8"/>
      <c r="F98" s="3"/>
      <c r="G98" s="9"/>
      <c r="O98" s="3"/>
    </row>
    <row r="99" spans="2:15" x14ac:dyDescent="0.25">
      <c r="B99" s="3"/>
      <c r="D99" s="8"/>
      <c r="E99" s="8"/>
      <c r="F99" s="3"/>
      <c r="G99" s="9"/>
      <c r="O99" s="3"/>
    </row>
    <row r="100" spans="2:15" x14ac:dyDescent="0.25">
      <c r="B100" s="3"/>
      <c r="D100" s="8"/>
      <c r="E100" s="8"/>
      <c r="F100" s="3"/>
      <c r="G100" s="9"/>
      <c r="O100" s="3"/>
    </row>
    <row r="101" spans="2:15" x14ac:dyDescent="0.25">
      <c r="B101" s="3"/>
      <c r="D101" s="8"/>
      <c r="E101" s="8"/>
      <c r="F101" s="3"/>
      <c r="G101" s="9"/>
      <c r="O101" s="3"/>
    </row>
    <row r="102" spans="2:15" x14ac:dyDescent="0.25">
      <c r="B102" s="3"/>
      <c r="D102" s="8"/>
      <c r="E102" s="8"/>
      <c r="F102" s="3"/>
      <c r="O102" s="3"/>
    </row>
    <row r="103" spans="2:15" x14ac:dyDescent="0.25">
      <c r="B103" s="3"/>
      <c r="D103" s="8"/>
      <c r="E103" s="8"/>
      <c r="F103" s="3"/>
      <c r="G103" s="9"/>
      <c r="O103" s="3"/>
    </row>
    <row r="104" spans="2:15" x14ac:dyDescent="0.25">
      <c r="D104" s="8"/>
      <c r="E104" s="8"/>
      <c r="F104" s="3"/>
      <c r="G104" s="9"/>
      <c r="O104" s="3"/>
    </row>
    <row r="105" spans="2:15" x14ac:dyDescent="0.25">
      <c r="D105" s="8"/>
      <c r="E105" s="8"/>
      <c r="F105" s="3"/>
      <c r="G105" s="9"/>
      <c r="O105" s="3"/>
    </row>
    <row r="106" spans="2:15" x14ac:dyDescent="0.25">
      <c r="D106" s="8"/>
      <c r="E106" s="8"/>
      <c r="F106" s="3"/>
      <c r="G106" s="9"/>
      <c r="O106" s="3"/>
    </row>
    <row r="107" spans="2:15" x14ac:dyDescent="0.25">
      <c r="D107" s="8"/>
      <c r="E107" s="8"/>
      <c r="F107" s="3"/>
      <c r="G107" s="9"/>
      <c r="O107" s="3"/>
    </row>
    <row r="108" spans="2:15" x14ac:dyDescent="0.25">
      <c r="D108" s="8"/>
      <c r="E108" s="8"/>
      <c r="F108" s="3"/>
      <c r="G108" s="9"/>
      <c r="O108" s="3"/>
    </row>
    <row r="109" spans="2:15" x14ac:dyDescent="0.25">
      <c r="D109" s="8"/>
      <c r="E109" s="8"/>
      <c r="F109" s="3"/>
      <c r="G109" s="9"/>
      <c r="O109" s="3"/>
    </row>
    <row r="110" spans="2:15" x14ac:dyDescent="0.25">
      <c r="D110" s="8"/>
      <c r="E110" s="8"/>
      <c r="F110" s="3"/>
      <c r="G110" s="9"/>
      <c r="O110" s="3"/>
    </row>
    <row r="111" spans="2:15" x14ac:dyDescent="0.25">
      <c r="D111" s="8"/>
      <c r="E111" s="8"/>
      <c r="F111" s="3"/>
      <c r="G111" s="9"/>
      <c r="O111" s="3"/>
    </row>
    <row r="112" spans="2:15" x14ac:dyDescent="0.25">
      <c r="D112" s="8"/>
      <c r="E112" s="8"/>
      <c r="F112" s="3"/>
      <c r="G112" s="9"/>
      <c r="O112" s="3"/>
    </row>
    <row r="113" spans="4:15" x14ac:dyDescent="0.25">
      <c r="D113" s="8"/>
      <c r="E113" s="8"/>
      <c r="F113" s="3"/>
      <c r="G113" s="9"/>
      <c r="O113" s="3"/>
    </row>
    <row r="114" spans="4:15" x14ac:dyDescent="0.25">
      <c r="D114" s="8"/>
      <c r="E114" s="8"/>
      <c r="F114" s="3"/>
      <c r="G114" s="9"/>
      <c r="O114" s="3"/>
    </row>
    <row r="115" spans="4:15" x14ac:dyDescent="0.25">
      <c r="D115" s="8"/>
      <c r="E115" s="8"/>
      <c r="F115" s="3"/>
      <c r="G115" s="9"/>
      <c r="O115" s="3"/>
    </row>
    <row r="116" spans="4:15" x14ac:dyDescent="0.25">
      <c r="D116" s="8"/>
      <c r="E116" s="8"/>
      <c r="F116" s="3"/>
      <c r="G116" s="9"/>
      <c r="O116" s="3"/>
    </row>
    <row r="117" spans="4:15" x14ac:dyDescent="0.25">
      <c r="D117" s="8"/>
      <c r="E117" s="8"/>
      <c r="F117" s="3"/>
      <c r="G117" s="9"/>
      <c r="O117" s="3"/>
    </row>
    <row r="118" spans="4:15" x14ac:dyDescent="0.25">
      <c r="D118" s="8"/>
      <c r="E118" s="8"/>
      <c r="F118" s="3"/>
      <c r="G118" s="9"/>
      <c r="O118" s="3"/>
    </row>
    <row r="119" spans="4:15" x14ac:dyDescent="0.25">
      <c r="D119" s="8"/>
      <c r="E119" s="8"/>
      <c r="F119" s="3"/>
      <c r="G119" s="9"/>
      <c r="O119" s="3"/>
    </row>
    <row r="120" spans="4:15" x14ac:dyDescent="0.25">
      <c r="D120" s="8"/>
      <c r="E120" s="8"/>
      <c r="F120" s="3"/>
      <c r="G120" s="9"/>
      <c r="O120" s="3"/>
    </row>
    <row r="121" spans="4:15" x14ac:dyDescent="0.25">
      <c r="D121" s="8"/>
      <c r="E121" s="8"/>
      <c r="F121" s="3"/>
      <c r="G121" s="9"/>
      <c r="O121" s="3"/>
    </row>
    <row r="122" spans="4:15" x14ac:dyDescent="0.25">
      <c r="D122" s="8"/>
      <c r="E122" s="8"/>
      <c r="F122" s="3"/>
      <c r="G122" s="9"/>
      <c r="O122" s="3"/>
    </row>
    <row r="123" spans="4:15" x14ac:dyDescent="0.25">
      <c r="D123" s="8"/>
      <c r="E123" s="8"/>
      <c r="F123" s="3"/>
      <c r="G123" s="9"/>
      <c r="O123" s="3"/>
    </row>
    <row r="124" spans="4:15" x14ac:dyDescent="0.25">
      <c r="D124" s="8"/>
      <c r="E124" s="8"/>
      <c r="F124" s="3"/>
      <c r="G124" s="9"/>
      <c r="O124" s="3"/>
    </row>
    <row r="125" spans="4:15" x14ac:dyDescent="0.25">
      <c r="D125" s="8"/>
      <c r="E125" s="8"/>
      <c r="F125" s="3"/>
      <c r="G125" s="9"/>
      <c r="O125" s="3"/>
    </row>
    <row r="126" spans="4:15" x14ac:dyDescent="0.25">
      <c r="D126" s="8"/>
      <c r="E126" s="8"/>
      <c r="F126" s="3"/>
      <c r="G126" s="9"/>
      <c r="O126" s="3"/>
    </row>
    <row r="127" spans="4:15" x14ac:dyDescent="0.25">
      <c r="D127" s="8"/>
      <c r="E127" s="8"/>
      <c r="F127" s="3"/>
      <c r="O127" s="3"/>
    </row>
    <row r="128" spans="4:15" x14ac:dyDescent="0.25">
      <c r="D128" s="8"/>
      <c r="E128" s="8"/>
      <c r="F128" s="3"/>
      <c r="G128" s="9"/>
      <c r="O128" s="3"/>
    </row>
    <row r="129" spans="4:15" x14ac:dyDescent="0.25">
      <c r="D129" s="8"/>
      <c r="E129" s="8"/>
      <c r="F129" s="3"/>
      <c r="G129" s="9"/>
      <c r="O129" s="3"/>
    </row>
    <row r="130" spans="4:15" x14ac:dyDescent="0.25">
      <c r="D130" s="8"/>
      <c r="E130" s="8"/>
      <c r="F130" s="3"/>
      <c r="G130" s="9"/>
      <c r="O130" s="3"/>
    </row>
    <row r="131" spans="4:15" x14ac:dyDescent="0.25">
      <c r="D131" s="8"/>
      <c r="E131" s="8"/>
      <c r="F131" s="3"/>
      <c r="G131" s="9"/>
      <c r="O131" s="3"/>
    </row>
    <row r="132" spans="4:15" x14ac:dyDescent="0.25">
      <c r="D132" s="8"/>
      <c r="E132" s="8"/>
      <c r="F132" s="3"/>
      <c r="G132" s="9"/>
      <c r="O132" s="3"/>
    </row>
    <row r="133" spans="4:15" x14ac:dyDescent="0.25">
      <c r="D133" s="8"/>
      <c r="E133" s="8"/>
      <c r="F133" s="3"/>
      <c r="G133" s="9"/>
      <c r="O133" s="3"/>
    </row>
    <row r="134" spans="4:15" x14ac:dyDescent="0.25">
      <c r="D134" s="8"/>
      <c r="E134" s="8"/>
      <c r="F134" s="3"/>
      <c r="G134" s="9"/>
      <c r="O134" s="3"/>
    </row>
    <row r="135" spans="4:15" x14ac:dyDescent="0.25">
      <c r="D135" s="8"/>
      <c r="E135" s="8"/>
      <c r="F135" s="3"/>
      <c r="G135" s="9"/>
      <c r="O135" s="3"/>
    </row>
    <row r="136" spans="4:15" x14ac:dyDescent="0.25">
      <c r="D136" s="8"/>
      <c r="E136" s="8"/>
      <c r="F136" s="3"/>
      <c r="G136" s="9"/>
      <c r="O136" s="3"/>
    </row>
    <row r="137" spans="4:15" x14ac:dyDescent="0.25">
      <c r="D137" s="8"/>
      <c r="E137" s="8"/>
      <c r="F137" s="3"/>
      <c r="G137" s="9"/>
      <c r="O137" s="3"/>
    </row>
    <row r="138" spans="4:15" x14ac:dyDescent="0.25">
      <c r="D138" s="8"/>
      <c r="E138" s="8"/>
      <c r="F138" s="3"/>
      <c r="G138" s="9"/>
      <c r="O138" s="3"/>
    </row>
    <row r="139" spans="4:15" x14ac:dyDescent="0.25">
      <c r="D139" s="8"/>
      <c r="E139" s="8"/>
      <c r="F139" s="3"/>
      <c r="G139" s="9"/>
      <c r="O139" s="3"/>
    </row>
    <row r="140" spans="4:15" x14ac:dyDescent="0.25">
      <c r="D140" s="8"/>
      <c r="E140" s="8"/>
      <c r="F140" s="3"/>
      <c r="G140" s="9"/>
      <c r="O140" s="3"/>
    </row>
    <row r="141" spans="4:15" x14ac:dyDescent="0.25">
      <c r="D141" s="8"/>
      <c r="E141" s="8"/>
      <c r="F141" s="3"/>
      <c r="G141" s="9"/>
      <c r="O141" s="3"/>
    </row>
    <row r="142" spans="4:15" x14ac:dyDescent="0.25">
      <c r="D142" s="8"/>
      <c r="E142" s="8"/>
      <c r="F142" s="3"/>
      <c r="G142" s="9"/>
      <c r="O142" s="3"/>
    </row>
    <row r="143" spans="4:15" x14ac:dyDescent="0.25">
      <c r="D143" s="8"/>
      <c r="E143" s="8"/>
      <c r="F143" s="3"/>
      <c r="G143" s="9"/>
      <c r="O143" s="3"/>
    </row>
    <row r="144" spans="4:15" x14ac:dyDescent="0.25">
      <c r="D144" s="8"/>
      <c r="E144" s="8"/>
      <c r="F144" s="3"/>
      <c r="G144" s="9"/>
      <c r="O144" s="3"/>
    </row>
    <row r="145" spans="4:15" x14ac:dyDescent="0.25">
      <c r="D145" s="8"/>
      <c r="E145" s="8"/>
      <c r="F145" s="3"/>
      <c r="G145" s="9"/>
      <c r="O145" s="3"/>
    </row>
    <row r="146" spans="4:15" x14ac:dyDescent="0.25">
      <c r="D146" s="8"/>
      <c r="E146" s="8"/>
      <c r="F146" s="3"/>
      <c r="G146" s="9"/>
      <c r="O146" s="3"/>
    </row>
    <row r="147" spans="4:15" x14ac:dyDescent="0.25">
      <c r="D147" s="8"/>
      <c r="E147" s="8"/>
      <c r="F147" s="3"/>
      <c r="G147" s="9"/>
      <c r="O147" s="3"/>
    </row>
    <row r="148" spans="4:15" x14ac:dyDescent="0.25">
      <c r="D148" s="8"/>
      <c r="E148" s="8"/>
      <c r="F148" s="3"/>
      <c r="G148" s="9"/>
      <c r="O148" s="3"/>
    </row>
    <row r="149" spans="4:15" x14ac:dyDescent="0.25">
      <c r="D149" s="8"/>
      <c r="E149" s="8"/>
      <c r="F149" s="3"/>
      <c r="G149" s="9"/>
      <c r="O149" s="3"/>
    </row>
    <row r="150" spans="4:15" x14ac:dyDescent="0.25">
      <c r="D150" s="8"/>
      <c r="E150" s="8"/>
      <c r="F150" s="3"/>
      <c r="G150" s="9"/>
      <c r="O150" s="3"/>
    </row>
    <row r="151" spans="4:15" x14ac:dyDescent="0.25">
      <c r="D151" s="8"/>
      <c r="E151" s="8"/>
      <c r="F151" s="3"/>
      <c r="G151" s="9"/>
      <c r="O151" s="3"/>
    </row>
    <row r="152" spans="4:15" x14ac:dyDescent="0.25">
      <c r="D152" s="8"/>
      <c r="E152" s="8"/>
      <c r="F152" s="3"/>
      <c r="O152" s="3"/>
    </row>
    <row r="153" spans="4:15" x14ac:dyDescent="0.25">
      <c r="D153" s="8"/>
      <c r="E153" s="8"/>
      <c r="F153" s="3"/>
      <c r="G153" s="9"/>
      <c r="O153" s="3"/>
    </row>
    <row r="154" spans="4:15" x14ac:dyDescent="0.25">
      <c r="D154" s="8"/>
      <c r="E154" s="8"/>
      <c r="F154" s="3"/>
      <c r="G154" s="9"/>
      <c r="O154" s="3"/>
    </row>
    <row r="155" spans="4:15" x14ac:dyDescent="0.25">
      <c r="D155" s="8"/>
      <c r="E155" s="8"/>
      <c r="F155" s="3"/>
      <c r="G155" s="9"/>
      <c r="O155" s="3"/>
    </row>
    <row r="156" spans="4:15" x14ac:dyDescent="0.25">
      <c r="D156" s="8"/>
      <c r="E156" s="8"/>
      <c r="F156" s="3"/>
      <c r="G156" s="9"/>
      <c r="O156" s="3"/>
    </row>
    <row r="157" spans="4:15" x14ac:dyDescent="0.25">
      <c r="D157" s="8"/>
      <c r="E157" s="8"/>
      <c r="F157" s="3"/>
      <c r="G157" s="9"/>
      <c r="O157" s="3"/>
    </row>
    <row r="158" spans="4:15" x14ac:dyDescent="0.25">
      <c r="D158" s="8"/>
      <c r="E158" s="8"/>
      <c r="F158" s="3"/>
      <c r="G158" s="9"/>
      <c r="O158" s="3"/>
    </row>
    <row r="159" spans="4:15" x14ac:dyDescent="0.25">
      <c r="D159" s="8"/>
      <c r="E159" s="8"/>
      <c r="F159" s="3"/>
      <c r="G159" s="9"/>
      <c r="O159" s="3"/>
    </row>
    <row r="160" spans="4:15" x14ac:dyDescent="0.25">
      <c r="D160" s="8"/>
      <c r="E160" s="8"/>
      <c r="F160" s="3"/>
      <c r="G160" s="9"/>
      <c r="O160" s="3"/>
    </row>
    <row r="161" spans="4:15" x14ac:dyDescent="0.25">
      <c r="D161" s="8"/>
      <c r="E161" s="8"/>
      <c r="F161" s="3"/>
      <c r="G161" s="9"/>
      <c r="O161" s="3"/>
    </row>
    <row r="162" spans="4:15" x14ac:dyDescent="0.25">
      <c r="D162" s="8"/>
      <c r="E162" s="8"/>
      <c r="F162" s="3"/>
      <c r="G162" s="9"/>
      <c r="O162" s="3"/>
    </row>
    <row r="163" spans="4:15" x14ac:dyDescent="0.25">
      <c r="D163" s="8"/>
      <c r="E163" s="8"/>
      <c r="F163" s="3"/>
      <c r="G163" s="9"/>
      <c r="O163" s="3"/>
    </row>
    <row r="164" spans="4:15" x14ac:dyDescent="0.25">
      <c r="D164" s="8"/>
      <c r="E164" s="8"/>
      <c r="F164" s="3"/>
      <c r="G164" s="9"/>
      <c r="O164" s="3"/>
    </row>
    <row r="165" spans="4:15" x14ac:dyDescent="0.25">
      <c r="D165" s="8"/>
      <c r="E165" s="8"/>
      <c r="F165" s="3"/>
      <c r="G165" s="9"/>
      <c r="O165" s="3"/>
    </row>
    <row r="166" spans="4:15" x14ac:dyDescent="0.25">
      <c r="D166" s="8"/>
      <c r="E166" s="8"/>
      <c r="F166" s="3"/>
      <c r="G166" s="9"/>
      <c r="O166" s="3"/>
    </row>
    <row r="167" spans="4:15" x14ac:dyDescent="0.25">
      <c r="D167" s="8"/>
      <c r="E167" s="8"/>
      <c r="F167" s="3"/>
      <c r="G167" s="9"/>
      <c r="O167" s="3"/>
    </row>
    <row r="168" spans="4:15" x14ac:dyDescent="0.25">
      <c r="D168" s="8"/>
      <c r="E168" s="8"/>
      <c r="F168" s="3"/>
      <c r="G168" s="9"/>
      <c r="O168" s="3"/>
    </row>
    <row r="169" spans="4:15" x14ac:dyDescent="0.25">
      <c r="D169" s="8"/>
      <c r="E169" s="8"/>
      <c r="F169" s="3"/>
      <c r="G169" s="9"/>
      <c r="O169" s="3"/>
    </row>
    <row r="170" spans="4:15" x14ac:dyDescent="0.25">
      <c r="D170" s="8"/>
      <c r="E170" s="8"/>
      <c r="F170" s="3"/>
      <c r="G170" s="9"/>
      <c r="O170" s="3"/>
    </row>
    <row r="171" spans="4:15" x14ac:dyDescent="0.25">
      <c r="D171" s="8"/>
      <c r="E171" s="8"/>
      <c r="F171" s="3"/>
      <c r="G171" s="9"/>
      <c r="O171" s="3"/>
    </row>
    <row r="172" spans="4:15" x14ac:dyDescent="0.25">
      <c r="D172" s="8"/>
      <c r="E172" s="8"/>
      <c r="F172" s="3"/>
      <c r="G172" s="9"/>
      <c r="O172" s="3"/>
    </row>
    <row r="173" spans="4:15" x14ac:dyDescent="0.25">
      <c r="D173" s="8"/>
      <c r="E173" s="8"/>
      <c r="F173" s="3"/>
      <c r="G173" s="9"/>
      <c r="O173" s="3"/>
    </row>
    <row r="174" spans="4:15" x14ac:dyDescent="0.25">
      <c r="D174" s="8"/>
      <c r="E174" s="8"/>
      <c r="F174" s="3"/>
      <c r="G174" s="9"/>
      <c r="O174" s="3"/>
    </row>
    <row r="175" spans="4:15" x14ac:dyDescent="0.25">
      <c r="D175" s="8"/>
      <c r="E175" s="8"/>
      <c r="F175" s="3"/>
      <c r="G175" s="9"/>
      <c r="O175" s="3"/>
    </row>
    <row r="176" spans="4:15" x14ac:dyDescent="0.25">
      <c r="D176" s="8"/>
      <c r="E176" s="8"/>
      <c r="F176" s="3"/>
      <c r="G176" s="9"/>
      <c r="O176" s="3"/>
    </row>
    <row r="177" spans="4:15" x14ac:dyDescent="0.25">
      <c r="D177" s="8"/>
      <c r="E177" s="8"/>
      <c r="F177" s="3"/>
      <c r="O177" s="3"/>
    </row>
    <row r="178" spans="4:15" x14ac:dyDescent="0.25">
      <c r="D178" s="8"/>
      <c r="E178" s="8"/>
      <c r="F178" s="3"/>
      <c r="G178" s="9"/>
      <c r="O178" s="3"/>
    </row>
    <row r="179" spans="4:15" x14ac:dyDescent="0.25">
      <c r="D179" s="8"/>
      <c r="E179" s="8"/>
      <c r="F179" s="3"/>
      <c r="G179" s="9"/>
      <c r="O179" s="3"/>
    </row>
    <row r="180" spans="4:15" x14ac:dyDescent="0.25">
      <c r="D180" s="8"/>
      <c r="E180" s="8"/>
      <c r="F180" s="3"/>
      <c r="G180" s="9"/>
      <c r="O180" s="3"/>
    </row>
    <row r="181" spans="4:15" x14ac:dyDescent="0.25">
      <c r="D181" s="8"/>
      <c r="E181" s="8"/>
      <c r="F181" s="3"/>
      <c r="G181" s="9"/>
      <c r="O181" s="3"/>
    </row>
    <row r="182" spans="4:15" x14ac:dyDescent="0.25">
      <c r="D182" s="8"/>
      <c r="E182" s="8"/>
      <c r="F182" s="3"/>
      <c r="G182" s="9"/>
      <c r="O182" s="3"/>
    </row>
    <row r="183" spans="4:15" x14ac:dyDescent="0.25">
      <c r="D183" s="8"/>
      <c r="E183" s="8"/>
      <c r="F183" s="3"/>
      <c r="G183" s="9"/>
      <c r="O183" s="3"/>
    </row>
    <row r="184" spans="4:15" x14ac:dyDescent="0.25">
      <c r="D184" s="8"/>
      <c r="E184" s="8"/>
      <c r="F184" s="3"/>
      <c r="G184" s="9"/>
      <c r="O184" s="3"/>
    </row>
    <row r="185" spans="4:15" x14ac:dyDescent="0.25">
      <c r="D185" s="8"/>
      <c r="E185" s="8"/>
      <c r="F185" s="3"/>
      <c r="G185" s="9"/>
      <c r="O185" s="3"/>
    </row>
    <row r="186" spans="4:15" x14ac:dyDescent="0.25">
      <c r="D186" s="8"/>
      <c r="E186" s="8"/>
      <c r="F186" s="3"/>
      <c r="G186" s="9"/>
      <c r="O186" s="3"/>
    </row>
    <row r="187" spans="4:15" x14ac:dyDescent="0.25">
      <c r="D187" s="8"/>
      <c r="E187" s="8"/>
      <c r="F187" s="3"/>
      <c r="G187" s="9"/>
      <c r="O187" s="3"/>
    </row>
    <row r="188" spans="4:15" x14ac:dyDescent="0.25">
      <c r="D188" s="8"/>
      <c r="E188" s="8"/>
      <c r="F188" s="3"/>
      <c r="G188" s="9"/>
      <c r="O188" s="3"/>
    </row>
    <row r="189" spans="4:15" x14ac:dyDescent="0.25">
      <c r="D189" s="8"/>
      <c r="E189" s="8"/>
      <c r="F189" s="3"/>
      <c r="G189" s="9"/>
      <c r="O189" s="3"/>
    </row>
    <row r="190" spans="4:15" x14ac:dyDescent="0.25">
      <c r="D190" s="8"/>
      <c r="E190" s="8"/>
      <c r="F190" s="3"/>
      <c r="G190" s="9"/>
      <c r="O190" s="3"/>
    </row>
    <row r="191" spans="4:15" x14ac:dyDescent="0.25">
      <c r="D191" s="8"/>
      <c r="E191" s="8"/>
      <c r="F191" s="3"/>
      <c r="G191" s="9"/>
      <c r="O191" s="3"/>
    </row>
    <row r="192" spans="4:15" x14ac:dyDescent="0.25">
      <c r="D192" s="8"/>
      <c r="E192" s="8"/>
      <c r="F192" s="3"/>
      <c r="G192" s="9"/>
      <c r="O192" s="3"/>
    </row>
    <row r="193" spans="4:15" x14ac:dyDescent="0.25">
      <c r="D193" s="8"/>
      <c r="E193" s="8"/>
      <c r="F193" s="3"/>
      <c r="G193" s="9"/>
      <c r="O193" s="3"/>
    </row>
    <row r="194" spans="4:15" x14ac:dyDescent="0.25">
      <c r="D194" s="8"/>
      <c r="E194" s="8"/>
      <c r="F194" s="3"/>
      <c r="G194" s="9"/>
      <c r="O194" s="3"/>
    </row>
    <row r="195" spans="4:15" x14ac:dyDescent="0.25">
      <c r="D195" s="8"/>
      <c r="E195" s="8"/>
      <c r="F195" s="3"/>
      <c r="G195" s="9"/>
      <c r="O195" s="3"/>
    </row>
    <row r="196" spans="4:15" x14ac:dyDescent="0.25">
      <c r="D196" s="8"/>
      <c r="E196" s="8"/>
      <c r="F196" s="3"/>
      <c r="G196" s="9"/>
      <c r="O196" s="3"/>
    </row>
    <row r="197" spans="4:15" x14ac:dyDescent="0.25">
      <c r="D197" s="8"/>
      <c r="E197" s="8"/>
      <c r="F197" s="3"/>
      <c r="G197" s="9"/>
      <c r="O197" s="3"/>
    </row>
    <row r="198" spans="4:15" x14ac:dyDescent="0.25">
      <c r="D198" s="8"/>
      <c r="E198" s="8"/>
      <c r="F198" s="3"/>
      <c r="G198" s="9"/>
      <c r="O198" s="3"/>
    </row>
    <row r="199" spans="4:15" x14ac:dyDescent="0.25">
      <c r="D199" s="8"/>
      <c r="E199" s="8"/>
      <c r="F199" s="3"/>
      <c r="G199" s="9"/>
      <c r="O199" s="3"/>
    </row>
    <row r="200" spans="4:15" x14ac:dyDescent="0.25">
      <c r="D200" s="8"/>
      <c r="E200" s="8"/>
      <c r="F200" s="3"/>
      <c r="G200" s="9"/>
      <c r="O200" s="3"/>
    </row>
    <row r="201" spans="4:15" x14ac:dyDescent="0.25">
      <c r="D201" s="8"/>
      <c r="E201" s="8"/>
      <c r="F201" s="3"/>
      <c r="G201" s="9"/>
      <c r="O201" s="3"/>
    </row>
    <row r="202" spans="4:15" x14ac:dyDescent="0.25">
      <c r="D202" s="8"/>
      <c r="E202" s="8"/>
      <c r="F202" s="3"/>
      <c r="O202" s="3"/>
    </row>
    <row r="203" spans="4:15" x14ac:dyDescent="0.25">
      <c r="D203" s="8"/>
      <c r="E203" s="8"/>
      <c r="F203" s="3"/>
      <c r="G203" s="9"/>
      <c r="O203" s="3"/>
    </row>
    <row r="204" spans="4:15" x14ac:dyDescent="0.25">
      <c r="D204" s="8"/>
      <c r="E204" s="8"/>
      <c r="F204" s="3"/>
      <c r="G204" s="9"/>
      <c r="O204" s="3"/>
    </row>
    <row r="205" spans="4:15" x14ac:dyDescent="0.25">
      <c r="D205" s="8"/>
      <c r="E205" s="8"/>
      <c r="F205" s="3"/>
      <c r="G205" s="9"/>
      <c r="O205" s="3"/>
    </row>
    <row r="206" spans="4:15" x14ac:dyDescent="0.25">
      <c r="D206" s="8"/>
      <c r="E206" s="8"/>
      <c r="F206" s="3"/>
      <c r="G206" s="9"/>
      <c r="O206" s="3"/>
    </row>
    <row r="207" spans="4:15" x14ac:dyDescent="0.25">
      <c r="D207" s="8"/>
      <c r="E207" s="8"/>
      <c r="F207" s="3"/>
      <c r="G207" s="9"/>
      <c r="O207" s="3"/>
    </row>
    <row r="208" spans="4:15" x14ac:dyDescent="0.25">
      <c r="D208" s="8"/>
      <c r="E208" s="8"/>
      <c r="F208" s="3"/>
      <c r="G208" s="9"/>
      <c r="O208" s="3"/>
    </row>
    <row r="209" spans="4:15" x14ac:dyDescent="0.25">
      <c r="D209" s="8"/>
      <c r="E209" s="8"/>
      <c r="F209" s="3"/>
      <c r="G209" s="9"/>
      <c r="O209" s="3"/>
    </row>
    <row r="210" spans="4:15" x14ac:dyDescent="0.25">
      <c r="D210" s="8"/>
      <c r="E210" s="8"/>
      <c r="F210" s="3"/>
      <c r="G210" s="9"/>
      <c r="O210" s="3"/>
    </row>
    <row r="211" spans="4:15" x14ac:dyDescent="0.25">
      <c r="D211" s="8"/>
      <c r="E211" s="8"/>
      <c r="F211" s="3"/>
      <c r="G211" s="9"/>
      <c r="O211" s="3"/>
    </row>
    <row r="212" spans="4:15" x14ac:dyDescent="0.25">
      <c r="D212" s="8"/>
      <c r="E212" s="8"/>
      <c r="F212" s="3"/>
      <c r="G212" s="9"/>
      <c r="O212" s="3"/>
    </row>
    <row r="213" spans="4:15" x14ac:dyDescent="0.25">
      <c r="D213" s="8"/>
      <c r="E213" s="8"/>
      <c r="F213" s="3"/>
      <c r="G213" s="9"/>
      <c r="O213" s="3"/>
    </row>
    <row r="214" spans="4:15" x14ac:dyDescent="0.25">
      <c r="D214" s="8"/>
      <c r="E214" s="8"/>
      <c r="F214" s="3"/>
      <c r="G214" s="9"/>
      <c r="O214" s="3"/>
    </row>
    <row r="215" spans="4:15" x14ac:dyDescent="0.25">
      <c r="D215" s="8"/>
      <c r="E215" s="8"/>
      <c r="F215" s="3"/>
      <c r="G215" s="9"/>
      <c r="O215" s="3"/>
    </row>
    <row r="216" spans="4:15" x14ac:dyDescent="0.25">
      <c r="D216" s="8"/>
      <c r="E216" s="8"/>
      <c r="F216" s="3"/>
      <c r="G216" s="9"/>
      <c r="O216" s="3"/>
    </row>
    <row r="217" spans="4:15" x14ac:dyDescent="0.25">
      <c r="D217" s="8"/>
      <c r="E217" s="8"/>
      <c r="F217" s="3"/>
      <c r="G217" s="9"/>
      <c r="O217" s="3"/>
    </row>
    <row r="218" spans="4:15" x14ac:dyDescent="0.25">
      <c r="D218" s="8"/>
      <c r="E218" s="8"/>
      <c r="F218" s="3"/>
      <c r="G218" s="9"/>
      <c r="O218" s="3"/>
    </row>
    <row r="219" spans="4:15" x14ac:dyDescent="0.25">
      <c r="D219" s="8"/>
      <c r="E219" s="8"/>
      <c r="F219" s="3"/>
      <c r="G219" s="9"/>
      <c r="O219" s="3"/>
    </row>
    <row r="220" spans="4:15" x14ac:dyDescent="0.25">
      <c r="D220" s="8"/>
      <c r="E220" s="8"/>
      <c r="F220" s="3"/>
      <c r="G220" s="9"/>
      <c r="O220" s="3"/>
    </row>
    <row r="221" spans="4:15" x14ac:dyDescent="0.25">
      <c r="D221" s="8"/>
      <c r="E221" s="8"/>
      <c r="F221" s="3"/>
      <c r="G221" s="9"/>
      <c r="O221" s="3"/>
    </row>
    <row r="222" spans="4:15" x14ac:dyDescent="0.25">
      <c r="D222" s="8"/>
      <c r="E222" s="8"/>
      <c r="F222" s="3"/>
      <c r="G222" s="9"/>
      <c r="O222" s="3"/>
    </row>
    <row r="223" spans="4:15" x14ac:dyDescent="0.25">
      <c r="D223" s="8"/>
      <c r="E223" s="8"/>
      <c r="F223" s="3"/>
      <c r="G223" s="9"/>
      <c r="O223" s="3"/>
    </row>
    <row r="224" spans="4:15" x14ac:dyDescent="0.25">
      <c r="D224" s="8"/>
      <c r="E224" s="8"/>
      <c r="F224" s="3"/>
      <c r="G224" s="9"/>
      <c r="O224" s="3"/>
    </row>
    <row r="225" spans="4:15" x14ac:dyDescent="0.25">
      <c r="D225" s="8"/>
      <c r="E225" s="8"/>
      <c r="F225" s="3"/>
      <c r="G225" s="9"/>
      <c r="O225" s="3"/>
    </row>
    <row r="226" spans="4:15" x14ac:dyDescent="0.25">
      <c r="D226" s="8"/>
      <c r="E226" s="8"/>
      <c r="F226" s="3"/>
      <c r="G226" s="9"/>
      <c r="O226" s="3"/>
    </row>
    <row r="227" spans="4:15" x14ac:dyDescent="0.25">
      <c r="D227" s="8"/>
      <c r="E227" s="8"/>
      <c r="F227" s="3"/>
      <c r="O227" s="3"/>
    </row>
    <row r="228" spans="4:15" x14ac:dyDescent="0.25">
      <c r="D228" s="8"/>
      <c r="E228" s="8"/>
      <c r="F228" s="3"/>
      <c r="G228" s="9"/>
      <c r="O228" s="3"/>
    </row>
    <row r="229" spans="4:15" x14ac:dyDescent="0.25">
      <c r="D229" s="8"/>
      <c r="E229" s="8"/>
      <c r="F229" s="3"/>
      <c r="G229" s="9"/>
      <c r="O229" s="3"/>
    </row>
    <row r="230" spans="4:15" x14ac:dyDescent="0.25">
      <c r="D230" s="8"/>
      <c r="E230" s="8"/>
      <c r="F230" s="3"/>
      <c r="G230" s="9"/>
      <c r="O230" s="3"/>
    </row>
    <row r="231" spans="4:15" x14ac:dyDescent="0.25">
      <c r="D231" s="8"/>
      <c r="E231" s="8"/>
      <c r="F231" s="3"/>
      <c r="G231" s="9"/>
      <c r="O231" s="3"/>
    </row>
    <row r="232" spans="4:15" x14ac:dyDescent="0.25">
      <c r="D232" s="8"/>
      <c r="E232" s="8"/>
      <c r="F232" s="3"/>
      <c r="G232" s="9"/>
      <c r="O232" s="3"/>
    </row>
    <row r="233" spans="4:15" x14ac:dyDescent="0.25">
      <c r="D233" s="8"/>
      <c r="E233" s="8"/>
      <c r="F233" s="3"/>
      <c r="G233" s="9"/>
      <c r="O233" s="3"/>
    </row>
    <row r="234" spans="4:15" x14ac:dyDescent="0.25">
      <c r="D234" s="8"/>
      <c r="E234" s="8"/>
      <c r="F234" s="3"/>
      <c r="G234" s="9"/>
      <c r="O234" s="3"/>
    </row>
    <row r="235" spans="4:15" x14ac:dyDescent="0.25">
      <c r="D235" s="8"/>
      <c r="E235" s="8"/>
      <c r="F235" s="3"/>
      <c r="G235" s="9"/>
      <c r="O235" s="3"/>
    </row>
    <row r="236" spans="4:15" x14ac:dyDescent="0.25">
      <c r="D236" s="8"/>
      <c r="E236" s="8"/>
      <c r="F236" s="3"/>
      <c r="G236" s="9"/>
      <c r="O236" s="3"/>
    </row>
    <row r="237" spans="4:15" x14ac:dyDescent="0.25">
      <c r="D237" s="8"/>
      <c r="E237" s="8"/>
      <c r="F237" s="3"/>
      <c r="G237" s="9"/>
      <c r="O237" s="3"/>
    </row>
    <row r="238" spans="4:15" x14ac:dyDescent="0.25">
      <c r="D238" s="8"/>
      <c r="E238" s="8"/>
      <c r="F238" s="3"/>
      <c r="G238" s="9"/>
      <c r="O238" s="3"/>
    </row>
    <row r="239" spans="4:15" x14ac:dyDescent="0.25">
      <c r="D239" s="8"/>
      <c r="E239" s="8"/>
      <c r="F239" s="3"/>
      <c r="G239" s="9"/>
      <c r="O239" s="3"/>
    </row>
    <row r="240" spans="4:15" x14ac:dyDescent="0.25">
      <c r="D240" s="8"/>
      <c r="E240" s="8"/>
      <c r="F240" s="3"/>
      <c r="G240" s="9"/>
      <c r="O240" s="3"/>
    </row>
    <row r="241" spans="4:15" x14ac:dyDescent="0.25">
      <c r="D241" s="8"/>
      <c r="E241" s="8"/>
      <c r="F241" s="3"/>
      <c r="G241" s="9"/>
      <c r="O241" s="3"/>
    </row>
    <row r="242" spans="4:15" x14ac:dyDescent="0.25">
      <c r="D242" s="8"/>
      <c r="E242" s="8"/>
      <c r="F242" s="3"/>
      <c r="G242" s="9"/>
      <c r="O242" s="3"/>
    </row>
    <row r="243" spans="4:15" x14ac:dyDescent="0.25">
      <c r="D243" s="8"/>
      <c r="E243" s="8"/>
      <c r="F243" s="3"/>
      <c r="G243" s="9"/>
      <c r="O243" s="3"/>
    </row>
    <row r="244" spans="4:15" x14ac:dyDescent="0.25">
      <c r="D244" s="8"/>
      <c r="E244" s="8"/>
      <c r="F244" s="3"/>
      <c r="G244" s="9"/>
      <c r="O244" s="3"/>
    </row>
    <row r="245" spans="4:15" x14ac:dyDescent="0.25">
      <c r="D245" s="8"/>
      <c r="E245" s="8"/>
      <c r="F245" s="3"/>
      <c r="G245" s="9"/>
      <c r="O245" s="3"/>
    </row>
    <row r="246" spans="4:15" x14ac:dyDescent="0.25">
      <c r="D246" s="8"/>
      <c r="E246" s="8"/>
      <c r="F246" s="3"/>
      <c r="G246" s="9"/>
      <c r="O246" s="3"/>
    </row>
    <row r="247" spans="4:15" x14ac:dyDescent="0.25">
      <c r="D247" s="8"/>
      <c r="E247" s="8"/>
      <c r="F247" s="3"/>
      <c r="G247" s="9"/>
      <c r="O247" s="3"/>
    </row>
    <row r="248" spans="4:15" x14ac:dyDescent="0.25">
      <c r="D248" s="8"/>
      <c r="E248" s="8"/>
      <c r="F248" s="3"/>
      <c r="G248" s="9"/>
      <c r="O248" s="3"/>
    </row>
    <row r="249" spans="4:15" x14ac:dyDescent="0.25">
      <c r="D249" s="8"/>
      <c r="E249" s="8"/>
      <c r="F249" s="3"/>
      <c r="G249" s="9"/>
      <c r="O249" s="3"/>
    </row>
    <row r="250" spans="4:15" x14ac:dyDescent="0.25">
      <c r="D250" s="8"/>
      <c r="E250" s="8"/>
      <c r="F250" s="3"/>
      <c r="G250" s="9"/>
      <c r="O250" s="3"/>
    </row>
    <row r="251" spans="4:15" x14ac:dyDescent="0.25">
      <c r="D251" s="8"/>
      <c r="E251" s="8"/>
      <c r="F251" s="3"/>
      <c r="G251" s="9"/>
      <c r="O251" s="3"/>
    </row>
    <row r="252" spans="4:15" x14ac:dyDescent="0.25">
      <c r="D252" s="8"/>
      <c r="E252" s="8"/>
      <c r="F252" s="3"/>
      <c r="O252" s="3"/>
    </row>
    <row r="253" spans="4:15" x14ac:dyDescent="0.25">
      <c r="D253" s="8"/>
      <c r="E253" s="8"/>
      <c r="F253" s="3"/>
      <c r="G253" s="9"/>
      <c r="O253" s="3"/>
    </row>
    <row r="254" spans="4:15" x14ac:dyDescent="0.25">
      <c r="D254" s="8"/>
      <c r="E254" s="8"/>
      <c r="F254" s="3"/>
      <c r="G254" s="9"/>
      <c r="O254" s="3"/>
    </row>
    <row r="255" spans="4:15" x14ac:dyDescent="0.25">
      <c r="D255" s="8"/>
      <c r="E255" s="8"/>
      <c r="F255" s="3"/>
      <c r="G255" s="9"/>
      <c r="O255" s="3"/>
    </row>
    <row r="256" spans="4:15" x14ac:dyDescent="0.25">
      <c r="D256" s="8"/>
      <c r="E256" s="8"/>
      <c r="F256" s="3"/>
      <c r="G256" s="9"/>
      <c r="O256" s="3"/>
    </row>
    <row r="257" spans="4:15" x14ac:dyDescent="0.25">
      <c r="D257" s="8"/>
      <c r="E257" s="8"/>
      <c r="F257" s="3"/>
      <c r="G257" s="9"/>
      <c r="O257" s="3"/>
    </row>
    <row r="258" spans="4:15" x14ac:dyDescent="0.25">
      <c r="D258" s="8"/>
      <c r="E258" s="8"/>
      <c r="F258" s="3"/>
      <c r="G258" s="9"/>
      <c r="O258" s="3"/>
    </row>
    <row r="259" spans="4:15" x14ac:dyDescent="0.25">
      <c r="D259" s="8"/>
      <c r="E259" s="8"/>
      <c r="F259" s="3"/>
      <c r="G259" s="9"/>
      <c r="O259" s="3"/>
    </row>
    <row r="260" spans="4:15" x14ac:dyDescent="0.25">
      <c r="D260" s="8"/>
      <c r="E260" s="8"/>
      <c r="F260" s="3"/>
      <c r="G260" s="9"/>
      <c r="O260" s="3"/>
    </row>
    <row r="261" spans="4:15" x14ac:dyDescent="0.25">
      <c r="D261" s="8"/>
      <c r="E261" s="8"/>
      <c r="F261" s="3"/>
      <c r="G261" s="9"/>
      <c r="O261" s="3"/>
    </row>
    <row r="262" spans="4:15" x14ac:dyDescent="0.25">
      <c r="D262" s="8"/>
      <c r="E262" s="8"/>
      <c r="F262" s="3"/>
      <c r="G262" s="9"/>
      <c r="O262" s="3"/>
    </row>
    <row r="263" spans="4:15" x14ac:dyDescent="0.25">
      <c r="D263" s="8"/>
      <c r="E263" s="8"/>
      <c r="F263" s="3"/>
      <c r="G263" s="9"/>
      <c r="O263" s="3"/>
    </row>
    <row r="264" spans="4:15" x14ac:dyDescent="0.25">
      <c r="D264" s="8"/>
      <c r="E264" s="8"/>
      <c r="F264" s="3"/>
      <c r="G264" s="9"/>
      <c r="O264" s="3"/>
    </row>
    <row r="265" spans="4:15" x14ac:dyDescent="0.25">
      <c r="D265" s="8"/>
      <c r="E265" s="8"/>
      <c r="F265" s="3"/>
      <c r="G265" s="9"/>
      <c r="O265" s="3"/>
    </row>
    <row r="266" spans="4:15" x14ac:dyDescent="0.25">
      <c r="D266" s="8"/>
      <c r="E266" s="8"/>
      <c r="F266" s="3"/>
      <c r="G266" s="9"/>
      <c r="O266" s="3"/>
    </row>
    <row r="267" spans="4:15" x14ac:dyDescent="0.25">
      <c r="D267" s="8"/>
      <c r="E267" s="8"/>
      <c r="F267" s="3"/>
      <c r="G267" s="9"/>
      <c r="O267" s="3"/>
    </row>
    <row r="268" spans="4:15" x14ac:dyDescent="0.25">
      <c r="D268" s="8"/>
      <c r="E268" s="8"/>
      <c r="F268" s="3"/>
      <c r="G268" s="9"/>
      <c r="O268" s="3"/>
    </row>
    <row r="269" spans="4:15" x14ac:dyDescent="0.25">
      <c r="D269" s="8"/>
      <c r="E269" s="8"/>
      <c r="F269" s="3"/>
      <c r="G269" s="9"/>
      <c r="O269" s="3"/>
    </row>
    <row r="270" spans="4:15" x14ac:dyDescent="0.25">
      <c r="D270" s="8"/>
      <c r="E270" s="8"/>
      <c r="F270" s="3"/>
      <c r="G270" s="9"/>
      <c r="O270" s="3"/>
    </row>
    <row r="271" spans="4:15" x14ac:dyDescent="0.25">
      <c r="D271" s="8"/>
      <c r="E271" s="8"/>
      <c r="F271" s="3"/>
      <c r="G271" s="9"/>
      <c r="O271" s="3"/>
    </row>
    <row r="272" spans="4:15" x14ac:dyDescent="0.25">
      <c r="D272" s="8"/>
      <c r="E272" s="8"/>
      <c r="F272" s="3"/>
      <c r="G272" s="9"/>
      <c r="O272" s="3"/>
    </row>
    <row r="273" spans="4:15" x14ac:dyDescent="0.25">
      <c r="D273" s="8"/>
      <c r="E273" s="8"/>
      <c r="F273" s="3"/>
      <c r="G273" s="9"/>
      <c r="O273" s="3"/>
    </row>
    <row r="274" spans="4:15" x14ac:dyDescent="0.25">
      <c r="D274" s="8"/>
      <c r="E274" s="8"/>
      <c r="F274" s="3"/>
      <c r="G274" s="9"/>
      <c r="O274" s="3"/>
    </row>
    <row r="275" spans="4:15" x14ac:dyDescent="0.25">
      <c r="D275" s="8"/>
      <c r="E275" s="8"/>
      <c r="F275" s="3"/>
      <c r="G275" s="9"/>
      <c r="O275" s="3"/>
    </row>
    <row r="276" spans="4:15" x14ac:dyDescent="0.25">
      <c r="D276" s="8"/>
      <c r="E276" s="8"/>
      <c r="F276" s="3"/>
      <c r="G276" s="9"/>
      <c r="O276" s="3"/>
    </row>
    <row r="277" spans="4:15" x14ac:dyDescent="0.25">
      <c r="D277" s="8"/>
      <c r="E277" s="8"/>
      <c r="F277" s="3"/>
      <c r="O277" s="3"/>
    </row>
    <row r="278" spans="4:15" x14ac:dyDescent="0.25">
      <c r="D278" s="8"/>
      <c r="E278" s="8"/>
      <c r="F278" s="3"/>
      <c r="G278" s="9"/>
      <c r="O278" s="3"/>
    </row>
    <row r="279" spans="4:15" x14ac:dyDescent="0.25">
      <c r="D279" s="8"/>
      <c r="E279" s="8"/>
      <c r="F279" s="3"/>
      <c r="G279" s="9"/>
      <c r="O279" s="3"/>
    </row>
    <row r="280" spans="4:15" x14ac:dyDescent="0.25">
      <c r="D280" s="8"/>
      <c r="E280" s="8"/>
      <c r="F280" s="3"/>
      <c r="G280" s="9"/>
      <c r="O280" s="3"/>
    </row>
    <row r="281" spans="4:15" x14ac:dyDescent="0.25">
      <c r="D281" s="8"/>
      <c r="E281" s="8"/>
      <c r="F281" s="3"/>
      <c r="G281" s="9"/>
      <c r="O281" s="3"/>
    </row>
    <row r="282" spans="4:15" x14ac:dyDescent="0.25">
      <c r="D282" s="8"/>
      <c r="E282" s="8"/>
      <c r="F282" s="3"/>
      <c r="G282" s="9"/>
      <c r="O282" s="3"/>
    </row>
    <row r="283" spans="4:15" x14ac:dyDescent="0.25">
      <c r="D283" s="8"/>
      <c r="E283" s="8"/>
      <c r="F283" s="3"/>
      <c r="G283" s="9"/>
      <c r="O283" s="3"/>
    </row>
    <row r="284" spans="4:15" x14ac:dyDescent="0.25">
      <c r="D284" s="8"/>
      <c r="E284" s="8"/>
      <c r="F284" s="3"/>
      <c r="G284" s="9"/>
      <c r="O284" s="3"/>
    </row>
    <row r="285" spans="4:15" x14ac:dyDescent="0.25">
      <c r="D285" s="8"/>
      <c r="E285" s="8"/>
      <c r="F285" s="3"/>
      <c r="G285" s="9"/>
      <c r="O285" s="3"/>
    </row>
    <row r="286" spans="4:15" x14ac:dyDescent="0.25">
      <c r="D286" s="8"/>
      <c r="E286" s="8"/>
      <c r="F286" s="3"/>
      <c r="G286" s="9"/>
      <c r="O286" s="3"/>
    </row>
    <row r="287" spans="4:15" x14ac:dyDescent="0.25">
      <c r="D287" s="8"/>
      <c r="E287" s="8"/>
      <c r="F287" s="3"/>
      <c r="G287" s="9"/>
      <c r="O287" s="3"/>
    </row>
    <row r="288" spans="4:15" x14ac:dyDescent="0.25">
      <c r="D288" s="8"/>
      <c r="E288" s="8"/>
      <c r="F288" s="3"/>
      <c r="G288" s="9"/>
      <c r="O288" s="3"/>
    </row>
    <row r="289" spans="4:15" x14ac:dyDescent="0.25">
      <c r="D289" s="8"/>
      <c r="E289" s="8"/>
      <c r="F289" s="3"/>
      <c r="G289" s="9"/>
      <c r="O289" s="3"/>
    </row>
    <row r="290" spans="4:15" x14ac:dyDescent="0.25">
      <c r="D290" s="8"/>
      <c r="E290" s="8"/>
      <c r="F290" s="3"/>
      <c r="G290" s="9"/>
      <c r="O290" s="3"/>
    </row>
    <row r="291" spans="4:15" x14ac:dyDescent="0.25">
      <c r="D291" s="8"/>
      <c r="E291" s="8"/>
      <c r="F291" s="3"/>
      <c r="G291" s="9"/>
      <c r="O291" s="3"/>
    </row>
    <row r="292" spans="4:15" x14ac:dyDescent="0.25">
      <c r="D292" s="8"/>
      <c r="E292" s="8"/>
      <c r="F292" s="3"/>
      <c r="G292" s="9"/>
      <c r="O292" s="3"/>
    </row>
    <row r="293" spans="4:15" x14ac:dyDescent="0.25">
      <c r="D293" s="8"/>
      <c r="E293" s="8"/>
      <c r="F293" s="3"/>
      <c r="G293" s="9"/>
      <c r="O293" s="3"/>
    </row>
    <row r="294" spans="4:15" x14ac:dyDescent="0.25">
      <c r="D294" s="8"/>
      <c r="E294" s="8"/>
      <c r="F294" s="3"/>
      <c r="G294" s="9"/>
      <c r="O294" s="3"/>
    </row>
    <row r="295" spans="4:15" x14ac:dyDescent="0.25">
      <c r="D295" s="8"/>
      <c r="E295" s="8"/>
      <c r="F295" s="3"/>
      <c r="G295" s="9"/>
      <c r="O295" s="3"/>
    </row>
    <row r="296" spans="4:15" x14ac:dyDescent="0.25">
      <c r="D296" s="8"/>
      <c r="E296" s="8"/>
      <c r="F296" s="3"/>
      <c r="G296" s="9"/>
      <c r="O296" s="3"/>
    </row>
    <row r="297" spans="4:15" x14ac:dyDescent="0.25">
      <c r="D297" s="8"/>
      <c r="E297" s="8"/>
      <c r="F297" s="3"/>
      <c r="G297" s="9"/>
      <c r="O297" s="3"/>
    </row>
    <row r="298" spans="4:15" x14ac:dyDescent="0.25">
      <c r="D298" s="8"/>
      <c r="E298" s="8"/>
      <c r="F298" s="3"/>
      <c r="G298" s="9"/>
      <c r="O298" s="3"/>
    </row>
    <row r="299" spans="4:15" x14ac:dyDescent="0.25">
      <c r="D299" s="8"/>
      <c r="E299" s="8"/>
      <c r="F299" s="3"/>
      <c r="G299" s="9"/>
      <c r="O299" s="3"/>
    </row>
    <row r="300" spans="4:15" x14ac:dyDescent="0.25">
      <c r="D300" s="8"/>
      <c r="E300" s="8"/>
      <c r="F300" s="3"/>
      <c r="G300" s="9"/>
      <c r="O300" s="3"/>
    </row>
    <row r="301" spans="4:15" x14ac:dyDescent="0.25">
      <c r="D301" s="8"/>
      <c r="E301" s="8"/>
      <c r="F301" s="3"/>
      <c r="G301" s="9"/>
      <c r="O301" s="3"/>
    </row>
    <row r="302" spans="4:15" x14ac:dyDescent="0.25">
      <c r="D302" s="8"/>
      <c r="E302" s="8"/>
      <c r="F302" s="3"/>
      <c r="O302" s="3"/>
    </row>
    <row r="303" spans="4:15" x14ac:dyDescent="0.25">
      <c r="D303" s="8"/>
      <c r="E303" s="8"/>
      <c r="F303" s="3"/>
      <c r="G303" s="9"/>
      <c r="O303" s="3"/>
    </row>
    <row r="304" spans="4:15" x14ac:dyDescent="0.25">
      <c r="D304" s="8"/>
      <c r="E304" s="8"/>
      <c r="F304" s="3"/>
      <c r="G304" s="9"/>
      <c r="O304" s="3"/>
    </row>
    <row r="305" spans="4:15" x14ac:dyDescent="0.25">
      <c r="D305" s="8"/>
      <c r="E305" s="8"/>
      <c r="F305" s="3"/>
      <c r="G305" s="9"/>
      <c r="O305" s="3"/>
    </row>
    <row r="306" spans="4:15" x14ac:dyDescent="0.25">
      <c r="D306" s="8"/>
      <c r="E306" s="8"/>
      <c r="F306" s="3"/>
      <c r="G306" s="9"/>
      <c r="O306" s="3"/>
    </row>
    <row r="307" spans="4:15" x14ac:dyDescent="0.25">
      <c r="D307" s="8"/>
      <c r="E307" s="8"/>
      <c r="F307" s="3"/>
      <c r="G307" s="9"/>
      <c r="O307" s="3"/>
    </row>
    <row r="308" spans="4:15" x14ac:dyDescent="0.25">
      <c r="D308" s="8"/>
      <c r="E308" s="8"/>
      <c r="F308" s="3"/>
      <c r="G308" s="9"/>
      <c r="O308" s="3"/>
    </row>
    <row r="309" spans="4:15" x14ac:dyDescent="0.25">
      <c r="D309" s="8"/>
      <c r="E309" s="8"/>
      <c r="F309" s="3"/>
      <c r="G309" s="9"/>
      <c r="O309" s="3"/>
    </row>
    <row r="310" spans="4:15" x14ac:dyDescent="0.25">
      <c r="D310" s="8"/>
      <c r="E310" s="8"/>
      <c r="F310" s="3"/>
      <c r="G310" s="9"/>
      <c r="O310" s="3"/>
    </row>
    <row r="311" spans="4:15" x14ac:dyDescent="0.25">
      <c r="D311" s="8"/>
      <c r="E311" s="8"/>
      <c r="F311" s="3"/>
      <c r="G311" s="9"/>
      <c r="O311" s="3"/>
    </row>
    <row r="312" spans="4:15" x14ac:dyDescent="0.25">
      <c r="D312" s="8"/>
      <c r="E312" s="8"/>
      <c r="F312" s="3"/>
      <c r="G312" s="9"/>
      <c r="O312" s="3"/>
    </row>
    <row r="313" spans="4:15" x14ac:dyDescent="0.25">
      <c r="D313" s="8"/>
      <c r="E313" s="8"/>
      <c r="F313" s="3"/>
      <c r="G313" s="9"/>
      <c r="O313" s="3"/>
    </row>
    <row r="314" spans="4:15" x14ac:dyDescent="0.25">
      <c r="D314" s="8"/>
      <c r="E314" s="8"/>
      <c r="F314" s="3"/>
      <c r="G314" s="9"/>
      <c r="O314" s="3"/>
    </row>
    <row r="315" spans="4:15" x14ac:dyDescent="0.25">
      <c r="D315" s="8"/>
      <c r="E315" s="8"/>
      <c r="F315" s="3"/>
      <c r="G315" s="9"/>
      <c r="O315" s="3"/>
    </row>
    <row r="316" spans="4:15" x14ac:dyDescent="0.25">
      <c r="D316" s="8"/>
      <c r="E316" s="8"/>
      <c r="F316" s="3"/>
      <c r="G316" s="9"/>
      <c r="O316" s="3"/>
    </row>
    <row r="317" spans="4:15" x14ac:dyDescent="0.25">
      <c r="D317" s="8"/>
      <c r="E317" s="8"/>
      <c r="F317" s="3"/>
      <c r="G317" s="9"/>
      <c r="O317" s="3"/>
    </row>
    <row r="318" spans="4:15" x14ac:dyDescent="0.25">
      <c r="D318" s="8"/>
      <c r="E318" s="8"/>
      <c r="F318" s="3"/>
      <c r="G318" s="9"/>
      <c r="O318" s="3"/>
    </row>
    <row r="319" spans="4:15" x14ac:dyDescent="0.25">
      <c r="D319" s="8"/>
      <c r="E319" s="8"/>
      <c r="F319" s="3"/>
      <c r="G319" s="9"/>
      <c r="O319" s="3"/>
    </row>
    <row r="320" spans="4:15" x14ac:dyDescent="0.25">
      <c r="D320" s="8"/>
      <c r="E320" s="8"/>
      <c r="F320" s="3"/>
      <c r="G320" s="9"/>
      <c r="O320" s="3"/>
    </row>
    <row r="321" spans="4:15" x14ac:dyDescent="0.25">
      <c r="D321" s="8"/>
      <c r="E321" s="8"/>
      <c r="F321" s="3"/>
      <c r="G321" s="9"/>
      <c r="O321" s="3"/>
    </row>
    <row r="322" spans="4:15" x14ac:dyDescent="0.25">
      <c r="D322" s="8"/>
      <c r="E322" s="8"/>
      <c r="F322" s="3"/>
      <c r="G322" s="9"/>
      <c r="O322" s="3"/>
    </row>
    <row r="323" spans="4:15" x14ac:dyDescent="0.25">
      <c r="D323" s="8"/>
      <c r="E323" s="8"/>
      <c r="F323" s="3"/>
      <c r="G323" s="9"/>
      <c r="O323" s="3"/>
    </row>
    <row r="324" spans="4:15" x14ac:dyDescent="0.25">
      <c r="D324" s="8"/>
      <c r="E324" s="8"/>
      <c r="F324" s="3"/>
      <c r="G324" s="9"/>
      <c r="O324" s="3"/>
    </row>
    <row r="325" spans="4:15" x14ac:dyDescent="0.25">
      <c r="D325" s="8"/>
      <c r="E325" s="8"/>
      <c r="F325" s="3"/>
      <c r="G325" s="9"/>
      <c r="O325" s="3"/>
    </row>
    <row r="326" spans="4:15" x14ac:dyDescent="0.25">
      <c r="D326" s="8"/>
      <c r="E326" s="8"/>
      <c r="F326" s="3"/>
      <c r="G326" s="9"/>
      <c r="O326" s="3"/>
    </row>
    <row r="327" spans="4:15" x14ac:dyDescent="0.25">
      <c r="D327" s="8"/>
      <c r="E327" s="8"/>
      <c r="F327" s="3"/>
      <c r="O327" s="3"/>
    </row>
    <row r="328" spans="4:15" x14ac:dyDescent="0.25">
      <c r="D328" s="8"/>
      <c r="E328" s="8"/>
      <c r="F328" s="3"/>
      <c r="G328" s="9"/>
      <c r="O328" s="3"/>
    </row>
    <row r="329" spans="4:15" x14ac:dyDescent="0.25">
      <c r="D329" s="8"/>
      <c r="E329" s="8"/>
      <c r="F329" s="3"/>
      <c r="G329" s="9"/>
      <c r="O329" s="3"/>
    </row>
    <row r="330" spans="4:15" x14ac:dyDescent="0.25">
      <c r="D330" s="8"/>
      <c r="E330" s="8"/>
      <c r="F330" s="3"/>
      <c r="G330" s="9"/>
      <c r="O330" s="3"/>
    </row>
    <row r="331" spans="4:15" x14ac:dyDescent="0.25">
      <c r="D331" s="8"/>
      <c r="E331" s="8"/>
      <c r="F331" s="3"/>
      <c r="G331" s="9"/>
      <c r="O331" s="3"/>
    </row>
    <row r="332" spans="4:15" x14ac:dyDescent="0.25">
      <c r="D332" s="8"/>
      <c r="E332" s="8"/>
      <c r="F332" s="3"/>
      <c r="G332" s="9"/>
      <c r="O332" s="3"/>
    </row>
    <row r="333" spans="4:15" x14ac:dyDescent="0.25">
      <c r="D333" s="8"/>
      <c r="E333" s="8"/>
      <c r="F333" s="3"/>
      <c r="G333" s="9"/>
      <c r="O333" s="3"/>
    </row>
    <row r="334" spans="4:15" x14ac:dyDescent="0.25">
      <c r="D334" s="8"/>
      <c r="E334" s="8"/>
      <c r="F334" s="3"/>
      <c r="G334" s="9"/>
      <c r="O334" s="3"/>
    </row>
    <row r="335" spans="4:15" x14ac:dyDescent="0.25">
      <c r="D335" s="8"/>
      <c r="E335" s="8"/>
      <c r="F335" s="3"/>
      <c r="G335" s="9"/>
      <c r="O335" s="3"/>
    </row>
    <row r="336" spans="4:15" x14ac:dyDescent="0.25">
      <c r="D336" s="8"/>
      <c r="E336" s="8"/>
      <c r="F336" s="3"/>
      <c r="G336" s="9"/>
      <c r="O336" s="3"/>
    </row>
    <row r="337" spans="4:15" x14ac:dyDescent="0.25">
      <c r="D337" s="8"/>
      <c r="E337" s="8"/>
      <c r="F337" s="3"/>
      <c r="G337" s="9"/>
      <c r="O337" s="3"/>
    </row>
    <row r="338" spans="4:15" x14ac:dyDescent="0.25">
      <c r="D338" s="8"/>
      <c r="E338" s="8"/>
      <c r="F338" s="3"/>
      <c r="G338" s="9"/>
      <c r="O338" s="3"/>
    </row>
    <row r="339" spans="4:15" x14ac:dyDescent="0.25">
      <c r="D339" s="8"/>
      <c r="E339" s="8"/>
      <c r="F339" s="3"/>
      <c r="G339" s="9"/>
      <c r="O339" s="3"/>
    </row>
    <row r="340" spans="4:15" x14ac:dyDescent="0.25">
      <c r="D340" s="8"/>
      <c r="E340" s="8"/>
      <c r="F340" s="3"/>
      <c r="G340" s="9"/>
      <c r="O340" s="3"/>
    </row>
    <row r="341" spans="4:15" x14ac:dyDescent="0.25">
      <c r="D341" s="8"/>
      <c r="E341" s="8"/>
      <c r="F341" s="3"/>
      <c r="G341" s="9"/>
      <c r="O341" s="3"/>
    </row>
    <row r="342" spans="4:15" x14ac:dyDescent="0.25">
      <c r="D342" s="8"/>
      <c r="E342" s="8"/>
      <c r="F342" s="3"/>
      <c r="G342" s="9"/>
      <c r="O342" s="3"/>
    </row>
    <row r="343" spans="4:15" x14ac:dyDescent="0.25">
      <c r="D343" s="8"/>
      <c r="E343" s="8"/>
      <c r="F343" s="3"/>
      <c r="G343" s="9"/>
      <c r="O343" s="3"/>
    </row>
    <row r="344" spans="4:15" x14ac:dyDescent="0.25">
      <c r="D344" s="8"/>
      <c r="E344" s="8"/>
      <c r="F344" s="3"/>
      <c r="G344" s="9"/>
      <c r="O344" s="3"/>
    </row>
    <row r="345" spans="4:15" x14ac:dyDescent="0.25">
      <c r="D345" s="8"/>
      <c r="E345" s="8"/>
      <c r="F345" s="3"/>
      <c r="G345" s="9"/>
      <c r="O345" s="3"/>
    </row>
    <row r="346" spans="4:15" x14ac:dyDescent="0.25">
      <c r="D346" s="8"/>
      <c r="E346" s="8"/>
      <c r="F346" s="3"/>
      <c r="G346" s="9"/>
      <c r="O346" s="3"/>
    </row>
    <row r="347" spans="4:15" x14ac:dyDescent="0.25">
      <c r="D347" s="8"/>
      <c r="E347" s="8"/>
      <c r="F347" s="3"/>
      <c r="G347" s="9"/>
      <c r="O347" s="3"/>
    </row>
    <row r="348" spans="4:15" x14ac:dyDescent="0.25">
      <c r="D348" s="8"/>
      <c r="E348" s="8"/>
      <c r="F348" s="3"/>
      <c r="G348" s="9"/>
      <c r="O348" s="3"/>
    </row>
    <row r="349" spans="4:15" x14ac:dyDescent="0.25">
      <c r="D349" s="8"/>
      <c r="E349" s="8"/>
      <c r="F349" s="3"/>
      <c r="G349" s="9"/>
      <c r="O349" s="3"/>
    </row>
    <row r="350" spans="4:15" x14ac:dyDescent="0.25">
      <c r="D350" s="8"/>
      <c r="E350" s="8"/>
      <c r="F350" s="3"/>
      <c r="G350" s="9"/>
      <c r="O350" s="3"/>
    </row>
    <row r="351" spans="4:15" x14ac:dyDescent="0.25">
      <c r="D351" s="8"/>
      <c r="E351" s="8"/>
      <c r="F351" s="3"/>
      <c r="G351" s="9"/>
      <c r="O351" s="3"/>
    </row>
    <row r="352" spans="4:15" x14ac:dyDescent="0.25">
      <c r="D352" s="8"/>
      <c r="E352" s="8"/>
      <c r="F352" s="3"/>
      <c r="O352" s="3"/>
    </row>
    <row r="353" spans="4:15" x14ac:dyDescent="0.25">
      <c r="D353" s="8"/>
      <c r="E353" s="8"/>
      <c r="F353" s="3"/>
      <c r="G353" s="9"/>
      <c r="O353" s="3"/>
    </row>
    <row r="354" spans="4:15" x14ac:dyDescent="0.25">
      <c r="D354" s="8"/>
      <c r="E354" s="8"/>
      <c r="F354" s="3"/>
      <c r="G354" s="9"/>
      <c r="O354" s="3"/>
    </row>
    <row r="355" spans="4:15" x14ac:dyDescent="0.25">
      <c r="D355" s="8"/>
      <c r="E355" s="8"/>
      <c r="F355" s="3"/>
      <c r="G355" s="9"/>
      <c r="O355" s="3"/>
    </row>
    <row r="356" spans="4:15" x14ac:dyDescent="0.25">
      <c r="D356" s="8"/>
      <c r="E356" s="8"/>
      <c r="F356" s="3"/>
      <c r="G356" s="9"/>
      <c r="O356" s="3"/>
    </row>
    <row r="357" spans="4:15" x14ac:dyDescent="0.25">
      <c r="D357" s="8"/>
      <c r="E357" s="8"/>
      <c r="F357" s="3"/>
      <c r="G357" s="9"/>
      <c r="O357" s="3"/>
    </row>
    <row r="358" spans="4:15" x14ac:dyDescent="0.25">
      <c r="D358" s="8"/>
      <c r="E358" s="8"/>
      <c r="F358" s="3"/>
      <c r="G358" s="9"/>
      <c r="O358" s="3"/>
    </row>
    <row r="359" spans="4:15" x14ac:dyDescent="0.25">
      <c r="D359" s="8"/>
      <c r="E359" s="8"/>
      <c r="F359" s="3"/>
      <c r="G359" s="9"/>
      <c r="O359" s="3"/>
    </row>
    <row r="360" spans="4:15" x14ac:dyDescent="0.25">
      <c r="D360" s="8"/>
      <c r="E360" s="8"/>
      <c r="F360" s="3"/>
      <c r="G360" s="9"/>
      <c r="O360" s="3"/>
    </row>
    <row r="361" spans="4:15" x14ac:dyDescent="0.25">
      <c r="D361" s="8"/>
      <c r="E361" s="8"/>
      <c r="F361" s="3"/>
      <c r="G361" s="9"/>
      <c r="O361" s="3"/>
    </row>
    <row r="362" spans="4:15" x14ac:dyDescent="0.25">
      <c r="D362" s="8"/>
      <c r="E362" s="8"/>
      <c r="F362" s="3"/>
      <c r="G362" s="9"/>
      <c r="O362" s="3"/>
    </row>
    <row r="363" spans="4:15" x14ac:dyDescent="0.25">
      <c r="D363" s="8"/>
      <c r="E363" s="8"/>
      <c r="F363" s="3"/>
      <c r="G363" s="9"/>
      <c r="O363" s="3"/>
    </row>
    <row r="364" spans="4:15" x14ac:dyDescent="0.25">
      <c r="D364" s="8"/>
      <c r="E364" s="8"/>
      <c r="F364" s="3"/>
      <c r="G364" s="9"/>
      <c r="O364" s="3"/>
    </row>
    <row r="365" spans="4:15" x14ac:dyDescent="0.25">
      <c r="D365" s="8"/>
      <c r="E365" s="8"/>
      <c r="F365" s="3"/>
      <c r="G365" s="9"/>
      <c r="O365" s="3"/>
    </row>
    <row r="366" spans="4:15" x14ac:dyDescent="0.25">
      <c r="D366" s="8"/>
      <c r="E366" s="8"/>
      <c r="F366" s="3"/>
      <c r="G366" s="9"/>
      <c r="O366" s="3"/>
    </row>
    <row r="367" spans="4:15" x14ac:dyDescent="0.25">
      <c r="D367" s="8"/>
      <c r="E367" s="8"/>
      <c r="F367" s="3"/>
      <c r="G367" s="9"/>
      <c r="O367" s="3"/>
    </row>
    <row r="368" spans="4:15" x14ac:dyDescent="0.25">
      <c r="D368" s="8"/>
      <c r="E368" s="8"/>
      <c r="F368" s="3"/>
      <c r="G368" s="9"/>
      <c r="O368" s="3"/>
    </row>
    <row r="369" spans="4:15" x14ac:dyDescent="0.25">
      <c r="D369" s="8"/>
      <c r="E369" s="8"/>
      <c r="F369" s="3"/>
      <c r="G369" s="9"/>
      <c r="O369" s="3"/>
    </row>
    <row r="370" spans="4:15" x14ac:dyDescent="0.25">
      <c r="D370" s="8"/>
      <c r="E370" s="8"/>
      <c r="F370" s="3"/>
      <c r="G370" s="9"/>
      <c r="O370" s="3"/>
    </row>
    <row r="371" spans="4:15" x14ac:dyDescent="0.25">
      <c r="D371" s="8"/>
      <c r="E371" s="8"/>
      <c r="F371" s="3"/>
      <c r="G371" s="9"/>
      <c r="O371" s="3"/>
    </row>
    <row r="372" spans="4:15" x14ac:dyDescent="0.25">
      <c r="D372" s="8"/>
      <c r="E372" s="8"/>
      <c r="F372" s="3"/>
      <c r="G372" s="9"/>
      <c r="O372" s="3"/>
    </row>
    <row r="373" spans="4:15" x14ac:dyDescent="0.25">
      <c r="D373" s="8"/>
      <c r="E373" s="8"/>
      <c r="F373" s="3"/>
      <c r="G373" s="9"/>
      <c r="O373" s="3"/>
    </row>
    <row r="374" spans="4:15" x14ac:dyDescent="0.25">
      <c r="D374" s="8"/>
      <c r="E374" s="8"/>
      <c r="F374" s="3"/>
      <c r="G374" s="9"/>
      <c r="O374" s="3"/>
    </row>
    <row r="375" spans="4:15" x14ac:dyDescent="0.25">
      <c r="D375" s="8"/>
      <c r="E375" s="8"/>
      <c r="F375" s="3"/>
      <c r="G375" s="9"/>
      <c r="O375" s="3"/>
    </row>
    <row r="376" spans="4:15" x14ac:dyDescent="0.25">
      <c r="D376" s="8"/>
      <c r="E376" s="8"/>
      <c r="F376" s="3"/>
      <c r="G376" s="9"/>
      <c r="O376" s="3"/>
    </row>
    <row r="377" spans="4:15" x14ac:dyDescent="0.25">
      <c r="D377" s="8"/>
      <c r="E377" s="8"/>
      <c r="F377" s="3"/>
      <c r="O377" s="3"/>
    </row>
    <row r="378" spans="4:15" x14ac:dyDescent="0.25">
      <c r="D378" s="8"/>
      <c r="E378" s="8"/>
      <c r="F378" s="3"/>
      <c r="G378" s="9"/>
      <c r="O378" s="3"/>
    </row>
    <row r="379" spans="4:15" x14ac:dyDescent="0.25">
      <c r="D379" s="8"/>
      <c r="E379" s="8"/>
      <c r="F379" s="3"/>
      <c r="G379" s="9"/>
      <c r="O379" s="3"/>
    </row>
    <row r="380" spans="4:15" x14ac:dyDescent="0.25">
      <c r="D380" s="8"/>
      <c r="E380" s="8"/>
      <c r="F380" s="3"/>
      <c r="G380" s="9"/>
      <c r="O380" s="3"/>
    </row>
    <row r="381" spans="4:15" x14ac:dyDescent="0.25">
      <c r="D381" s="8"/>
      <c r="E381" s="8"/>
      <c r="F381" s="3"/>
      <c r="G381" s="9"/>
      <c r="O381" s="3"/>
    </row>
    <row r="382" spans="4:15" x14ac:dyDescent="0.25">
      <c r="D382" s="8"/>
      <c r="E382" s="8"/>
      <c r="F382" s="3"/>
      <c r="G382" s="9"/>
      <c r="O382" s="3"/>
    </row>
    <row r="383" spans="4:15" x14ac:dyDescent="0.25">
      <c r="D383" s="8"/>
      <c r="E383" s="8"/>
      <c r="F383" s="3"/>
      <c r="G383" s="9"/>
      <c r="O383" s="3"/>
    </row>
    <row r="384" spans="4:15" x14ac:dyDescent="0.25">
      <c r="D384" s="8"/>
      <c r="E384" s="8"/>
      <c r="F384" s="3"/>
      <c r="G384" s="9"/>
      <c r="O384" s="3"/>
    </row>
    <row r="385" spans="4:15" x14ac:dyDescent="0.25">
      <c r="D385" s="8"/>
      <c r="E385" s="8"/>
      <c r="F385" s="3"/>
      <c r="G385" s="9"/>
      <c r="O385" s="3"/>
    </row>
    <row r="386" spans="4:15" x14ac:dyDescent="0.25">
      <c r="D386" s="8"/>
      <c r="E386" s="8"/>
      <c r="F386" s="3"/>
      <c r="G386" s="9"/>
      <c r="O386" s="3"/>
    </row>
    <row r="387" spans="4:15" x14ac:dyDescent="0.25">
      <c r="D387" s="8"/>
      <c r="E387" s="8"/>
      <c r="F387" s="3"/>
      <c r="G387" s="9"/>
      <c r="O387" s="3"/>
    </row>
    <row r="388" spans="4:15" x14ac:dyDescent="0.25">
      <c r="D388" s="8"/>
      <c r="E388" s="8"/>
      <c r="F388" s="3"/>
      <c r="G388" s="9"/>
      <c r="O388" s="3"/>
    </row>
    <row r="389" spans="4:15" x14ac:dyDescent="0.25">
      <c r="D389" s="8"/>
      <c r="E389" s="8"/>
      <c r="F389" s="3"/>
      <c r="G389" s="9"/>
      <c r="O389" s="3"/>
    </row>
    <row r="390" spans="4:15" x14ac:dyDescent="0.25">
      <c r="D390" s="8"/>
      <c r="E390" s="8"/>
      <c r="F390" s="3"/>
      <c r="G390" s="9"/>
      <c r="O390" s="3"/>
    </row>
    <row r="391" spans="4:15" x14ac:dyDescent="0.25">
      <c r="D391" s="8"/>
      <c r="E391" s="8"/>
      <c r="F391" s="3"/>
      <c r="G391" s="9"/>
      <c r="O391" s="3"/>
    </row>
    <row r="392" spans="4:15" x14ac:dyDescent="0.25">
      <c r="D392" s="8"/>
      <c r="E392" s="8"/>
      <c r="F392" s="3"/>
      <c r="G392" s="9"/>
      <c r="O392" s="3"/>
    </row>
    <row r="393" spans="4:15" x14ac:dyDescent="0.25">
      <c r="D393" s="8"/>
      <c r="E393" s="8"/>
      <c r="F393" s="3"/>
      <c r="G393" s="9"/>
      <c r="O393" s="3"/>
    </row>
    <row r="394" spans="4:15" x14ac:dyDescent="0.25">
      <c r="D394" s="8"/>
      <c r="E394" s="8"/>
      <c r="F394" s="3"/>
      <c r="G394" s="9"/>
      <c r="O394" s="3"/>
    </row>
    <row r="395" spans="4:15" x14ac:dyDescent="0.25">
      <c r="D395" s="8"/>
      <c r="E395" s="8"/>
      <c r="F395" s="3"/>
      <c r="G395" s="9"/>
      <c r="O395" s="3"/>
    </row>
    <row r="396" spans="4:15" x14ac:dyDescent="0.25">
      <c r="D396" s="8"/>
      <c r="E396" s="8"/>
      <c r="F396" s="3"/>
      <c r="G396" s="9"/>
      <c r="O396" s="3"/>
    </row>
    <row r="397" spans="4:15" x14ac:dyDescent="0.25">
      <c r="D397" s="8"/>
      <c r="E397" s="8"/>
      <c r="F397" s="3"/>
      <c r="G397" s="9"/>
      <c r="O397" s="3"/>
    </row>
    <row r="398" spans="4:15" x14ac:dyDescent="0.25">
      <c r="D398" s="8"/>
      <c r="E398" s="8"/>
      <c r="F398" s="3"/>
      <c r="G398" s="9"/>
      <c r="O398" s="3"/>
    </row>
    <row r="399" spans="4:15" x14ac:dyDescent="0.25">
      <c r="D399" s="8"/>
      <c r="E399" s="8"/>
      <c r="F399" s="3"/>
      <c r="G399" s="9"/>
      <c r="O399" s="3"/>
    </row>
    <row r="400" spans="4:15" x14ac:dyDescent="0.25">
      <c r="D400" s="8"/>
      <c r="E400" s="8"/>
      <c r="F400" s="3"/>
      <c r="G400" s="9"/>
      <c r="O400" s="3"/>
    </row>
    <row r="401" spans="4:15" x14ac:dyDescent="0.25">
      <c r="D401" s="8"/>
      <c r="E401" s="8"/>
      <c r="F401" s="3"/>
      <c r="G401" s="9"/>
      <c r="O401" s="3"/>
    </row>
    <row r="402" spans="4:15" x14ac:dyDescent="0.25">
      <c r="D402" s="8"/>
      <c r="E402" s="8"/>
      <c r="F402" s="3"/>
      <c r="O402" s="3"/>
    </row>
    <row r="403" spans="4:15" x14ac:dyDescent="0.25">
      <c r="D403" s="8"/>
      <c r="E403" s="8"/>
      <c r="F403" s="3"/>
      <c r="G403" s="9"/>
      <c r="O403" s="3"/>
    </row>
    <row r="404" spans="4:15" x14ac:dyDescent="0.25">
      <c r="D404" s="8"/>
      <c r="E404" s="8"/>
      <c r="F404" s="3"/>
      <c r="G404" s="9"/>
      <c r="O404" s="3"/>
    </row>
    <row r="405" spans="4:15" x14ac:dyDescent="0.25">
      <c r="D405" s="8"/>
      <c r="E405" s="8"/>
      <c r="F405" s="3"/>
      <c r="G405" s="9"/>
      <c r="O405" s="3"/>
    </row>
    <row r="406" spans="4:15" x14ac:dyDescent="0.25">
      <c r="D406" s="8"/>
      <c r="E406" s="8"/>
      <c r="F406" s="3"/>
      <c r="G406" s="9"/>
      <c r="O406" s="3"/>
    </row>
    <row r="407" spans="4:15" x14ac:dyDescent="0.25">
      <c r="D407" s="8"/>
      <c r="E407" s="8"/>
      <c r="F407" s="3"/>
      <c r="G407" s="9"/>
      <c r="O407" s="3"/>
    </row>
    <row r="408" spans="4:15" x14ac:dyDescent="0.25">
      <c r="D408" s="8"/>
      <c r="E408" s="8"/>
      <c r="F408" s="3"/>
      <c r="G408" s="9"/>
      <c r="O408" s="3"/>
    </row>
    <row r="409" spans="4:15" x14ac:dyDescent="0.25">
      <c r="D409" s="8"/>
      <c r="E409" s="8"/>
      <c r="F409" s="3"/>
      <c r="G409" s="9"/>
      <c r="O409" s="3"/>
    </row>
    <row r="410" spans="4:15" x14ac:dyDescent="0.25">
      <c r="D410" s="8"/>
      <c r="E410" s="8"/>
      <c r="F410" s="3"/>
      <c r="G410" s="9"/>
      <c r="O410" s="3"/>
    </row>
    <row r="411" spans="4:15" x14ac:dyDescent="0.25">
      <c r="D411" s="8"/>
      <c r="E411" s="8"/>
      <c r="F411" s="3"/>
      <c r="G411" s="9"/>
      <c r="O411" s="3"/>
    </row>
    <row r="412" spans="4:15" x14ac:dyDescent="0.25">
      <c r="D412" s="8"/>
      <c r="E412" s="8"/>
      <c r="F412" s="3"/>
      <c r="G412" s="9"/>
      <c r="O412" s="3"/>
    </row>
    <row r="413" spans="4:15" x14ac:dyDescent="0.25">
      <c r="D413" s="8"/>
      <c r="E413" s="8"/>
      <c r="F413" s="3"/>
      <c r="G413" s="9"/>
      <c r="O413" s="3"/>
    </row>
    <row r="414" spans="4:15" x14ac:dyDescent="0.25">
      <c r="D414" s="8"/>
      <c r="E414" s="8"/>
      <c r="F414" s="3"/>
      <c r="G414" s="9"/>
      <c r="O414" s="3"/>
    </row>
    <row r="415" spans="4:15" x14ac:dyDescent="0.25">
      <c r="D415" s="8"/>
      <c r="E415" s="8"/>
      <c r="F415" s="3"/>
      <c r="G415" s="9"/>
      <c r="O415" s="3"/>
    </row>
    <row r="416" spans="4:15" x14ac:dyDescent="0.25">
      <c r="D416" s="8"/>
      <c r="E416" s="8"/>
      <c r="F416" s="3"/>
      <c r="G416" s="9"/>
      <c r="O416" s="3"/>
    </row>
    <row r="417" spans="4:15" x14ac:dyDescent="0.25">
      <c r="D417" s="8"/>
      <c r="E417" s="8"/>
      <c r="F417" s="3"/>
      <c r="G417" s="9"/>
      <c r="O417" s="3"/>
    </row>
    <row r="418" spans="4:15" x14ac:dyDescent="0.25">
      <c r="D418" s="8"/>
      <c r="E418" s="8"/>
      <c r="F418" s="3"/>
      <c r="G418" s="9"/>
      <c r="O418" s="3"/>
    </row>
    <row r="419" spans="4:15" x14ac:dyDescent="0.25">
      <c r="D419" s="8"/>
      <c r="E419" s="8"/>
      <c r="F419" s="3"/>
      <c r="G419" s="9"/>
      <c r="O419" s="3"/>
    </row>
    <row r="420" spans="4:15" x14ac:dyDescent="0.25">
      <c r="D420" s="8"/>
      <c r="E420" s="8"/>
      <c r="F420" s="3"/>
      <c r="G420" s="9"/>
      <c r="O420" s="3"/>
    </row>
    <row r="421" spans="4:15" x14ac:dyDescent="0.25">
      <c r="D421" s="8"/>
      <c r="E421" s="8"/>
      <c r="F421" s="3"/>
      <c r="G421" s="9"/>
      <c r="O421" s="3"/>
    </row>
    <row r="422" spans="4:15" x14ac:dyDescent="0.25">
      <c r="D422" s="8"/>
      <c r="E422" s="8"/>
      <c r="F422" s="3"/>
      <c r="G422" s="9"/>
      <c r="O422" s="3"/>
    </row>
    <row r="423" spans="4:15" x14ac:dyDescent="0.25">
      <c r="D423" s="8"/>
      <c r="E423" s="8"/>
      <c r="F423" s="3"/>
      <c r="G423" s="9"/>
      <c r="O423" s="3"/>
    </row>
    <row r="424" spans="4:15" x14ac:dyDescent="0.25">
      <c r="D424" s="8"/>
      <c r="E424" s="8"/>
      <c r="F424" s="3"/>
      <c r="G424" s="9"/>
      <c r="O424" s="3"/>
    </row>
    <row r="425" spans="4:15" x14ac:dyDescent="0.25">
      <c r="D425" s="8"/>
      <c r="E425" s="8"/>
      <c r="F425" s="3"/>
      <c r="G425" s="9"/>
      <c r="O425" s="3"/>
    </row>
    <row r="426" spans="4:15" x14ac:dyDescent="0.25">
      <c r="D426" s="8"/>
      <c r="E426" s="8"/>
      <c r="F426" s="3"/>
      <c r="G426" s="9"/>
      <c r="O426" s="3"/>
    </row>
    <row r="427" spans="4:15" x14ac:dyDescent="0.25">
      <c r="D427" s="8"/>
      <c r="E427" s="8"/>
      <c r="F427" s="3"/>
      <c r="O427" s="3"/>
    </row>
    <row r="428" spans="4:15" x14ac:dyDescent="0.25">
      <c r="D428" s="8"/>
      <c r="E428" s="8"/>
      <c r="F428" s="3"/>
      <c r="G428" s="9"/>
      <c r="O428" s="3"/>
    </row>
    <row r="429" spans="4:15" x14ac:dyDescent="0.25">
      <c r="D429" s="8"/>
      <c r="E429" s="8"/>
      <c r="F429" s="3"/>
      <c r="G429" s="9"/>
      <c r="O429" s="3"/>
    </row>
    <row r="430" spans="4:15" x14ac:dyDescent="0.25">
      <c r="D430" s="8"/>
      <c r="E430" s="8"/>
      <c r="F430" s="3"/>
      <c r="G430" s="9"/>
      <c r="O430" s="3"/>
    </row>
    <row r="431" spans="4:15" x14ac:dyDescent="0.25">
      <c r="D431" s="8"/>
      <c r="E431" s="8"/>
      <c r="F431" s="3"/>
      <c r="G431" s="9"/>
      <c r="O431" s="3"/>
    </row>
    <row r="432" spans="4:15" x14ac:dyDescent="0.25">
      <c r="D432" s="8"/>
      <c r="E432" s="8"/>
      <c r="F432" s="3"/>
      <c r="G432" s="9"/>
      <c r="O432" s="3"/>
    </row>
    <row r="433" spans="4:15" x14ac:dyDescent="0.25">
      <c r="D433" s="8"/>
      <c r="E433" s="8"/>
      <c r="F433" s="3"/>
      <c r="G433" s="9"/>
      <c r="O433" s="3"/>
    </row>
    <row r="434" spans="4:15" x14ac:dyDescent="0.25">
      <c r="D434" s="8"/>
      <c r="E434" s="8"/>
      <c r="F434" s="3"/>
      <c r="G434" s="9"/>
      <c r="O434" s="3"/>
    </row>
    <row r="435" spans="4:15" x14ac:dyDescent="0.25">
      <c r="D435" s="8"/>
      <c r="E435" s="8"/>
      <c r="F435" s="3"/>
      <c r="G435" s="9"/>
      <c r="O435" s="3"/>
    </row>
    <row r="436" spans="4:15" x14ac:dyDescent="0.25">
      <c r="D436" s="8"/>
      <c r="E436" s="8"/>
      <c r="F436" s="3"/>
      <c r="G436" s="9"/>
      <c r="O436" s="3"/>
    </row>
    <row r="437" spans="4:15" x14ac:dyDescent="0.25">
      <c r="D437" s="8"/>
      <c r="E437" s="8"/>
      <c r="F437" s="3"/>
      <c r="G437" s="9"/>
      <c r="O437" s="3"/>
    </row>
    <row r="438" spans="4:15" x14ac:dyDescent="0.25">
      <c r="D438" s="8"/>
      <c r="E438" s="8"/>
      <c r="F438" s="3"/>
      <c r="G438" s="9"/>
      <c r="O438" s="3"/>
    </row>
    <row r="439" spans="4:15" x14ac:dyDescent="0.25">
      <c r="D439" s="8"/>
      <c r="E439" s="8"/>
      <c r="F439" s="3"/>
      <c r="G439" s="9"/>
      <c r="O439" s="3"/>
    </row>
    <row r="440" spans="4:15" x14ac:dyDescent="0.25">
      <c r="D440" s="8"/>
      <c r="E440" s="8"/>
      <c r="F440" s="3"/>
      <c r="G440" s="9"/>
      <c r="O440" s="3"/>
    </row>
    <row r="441" spans="4:15" x14ac:dyDescent="0.25">
      <c r="D441" s="8"/>
      <c r="E441" s="8"/>
      <c r="F441" s="3"/>
      <c r="G441" s="9"/>
      <c r="O441" s="3"/>
    </row>
    <row r="442" spans="4:15" x14ac:dyDescent="0.25">
      <c r="D442" s="8"/>
      <c r="E442" s="8"/>
      <c r="F442" s="3"/>
      <c r="G442" s="9"/>
      <c r="O442" s="3"/>
    </row>
    <row r="443" spans="4:15" x14ac:dyDescent="0.25">
      <c r="D443" s="8"/>
      <c r="E443" s="8"/>
      <c r="F443" s="3"/>
      <c r="G443" s="9"/>
      <c r="O443" s="3"/>
    </row>
    <row r="444" spans="4:15" x14ac:dyDescent="0.25">
      <c r="D444" s="8"/>
      <c r="E444" s="8"/>
      <c r="F444" s="3"/>
      <c r="G444" s="9"/>
      <c r="O444" s="3"/>
    </row>
    <row r="445" spans="4:15" x14ac:dyDescent="0.25">
      <c r="D445" s="8"/>
      <c r="E445" s="8"/>
      <c r="F445" s="3"/>
      <c r="G445" s="9"/>
      <c r="O445" s="3"/>
    </row>
    <row r="446" spans="4:15" x14ac:dyDescent="0.25">
      <c r="D446" s="8"/>
      <c r="E446" s="8"/>
      <c r="F446" s="3"/>
      <c r="G446" s="9"/>
      <c r="O446" s="3"/>
    </row>
    <row r="447" spans="4:15" x14ac:dyDescent="0.25">
      <c r="D447" s="8"/>
      <c r="E447" s="8"/>
      <c r="F447" s="3"/>
      <c r="G447" s="9"/>
      <c r="O447" s="3"/>
    </row>
    <row r="448" spans="4:15" x14ac:dyDescent="0.25">
      <c r="D448" s="8"/>
      <c r="E448" s="8"/>
      <c r="F448" s="3"/>
      <c r="G448" s="9"/>
      <c r="O448" s="3"/>
    </row>
    <row r="449" spans="4:15" x14ac:dyDescent="0.25">
      <c r="D449" s="8"/>
      <c r="E449" s="8"/>
      <c r="F449" s="3"/>
      <c r="G449" s="9"/>
      <c r="O449" s="3"/>
    </row>
    <row r="450" spans="4:15" x14ac:dyDescent="0.25">
      <c r="D450" s="8"/>
      <c r="E450" s="8"/>
      <c r="F450" s="3"/>
      <c r="G450" s="9"/>
      <c r="O450" s="3"/>
    </row>
    <row r="451" spans="4:15" x14ac:dyDescent="0.25">
      <c r="D451" s="8"/>
      <c r="E451" s="8"/>
      <c r="F451" s="3"/>
      <c r="G451" s="9"/>
      <c r="O451" s="3"/>
    </row>
    <row r="452" spans="4:15" x14ac:dyDescent="0.25">
      <c r="D452" s="8"/>
      <c r="E452" s="8"/>
      <c r="F452" s="3"/>
      <c r="O452" s="3"/>
    </row>
    <row r="453" spans="4:15" x14ac:dyDescent="0.25">
      <c r="D453" s="8"/>
      <c r="E453" s="8"/>
      <c r="F453" s="3"/>
      <c r="G453" s="9"/>
      <c r="O453" s="3"/>
    </row>
    <row r="454" spans="4:15" x14ac:dyDescent="0.25">
      <c r="D454" s="8"/>
      <c r="E454" s="8"/>
      <c r="F454" s="3"/>
      <c r="G454" s="9"/>
      <c r="O454" s="3"/>
    </row>
    <row r="455" spans="4:15" x14ac:dyDescent="0.25">
      <c r="D455" s="8"/>
      <c r="E455" s="8"/>
      <c r="F455" s="3"/>
      <c r="G455" s="9"/>
      <c r="O455" s="3"/>
    </row>
    <row r="456" spans="4:15" x14ac:dyDescent="0.25">
      <c r="D456" s="8"/>
      <c r="E456" s="8"/>
      <c r="F456" s="3"/>
      <c r="G456" s="9"/>
      <c r="O456" s="3"/>
    </row>
    <row r="457" spans="4:15" x14ac:dyDescent="0.25">
      <c r="D457" s="8"/>
      <c r="E457" s="8"/>
      <c r="F457" s="3"/>
      <c r="G457" s="9"/>
      <c r="O457" s="3"/>
    </row>
    <row r="458" spans="4:15" x14ac:dyDescent="0.25">
      <c r="D458" s="8"/>
      <c r="E458" s="8"/>
      <c r="F458" s="3"/>
      <c r="G458" s="9"/>
      <c r="O458" s="3"/>
    </row>
    <row r="459" spans="4:15" x14ac:dyDescent="0.25">
      <c r="D459" s="8"/>
      <c r="E459" s="8"/>
      <c r="F459" s="3"/>
      <c r="G459" s="9"/>
      <c r="O459" s="3"/>
    </row>
    <row r="460" spans="4:15" x14ac:dyDescent="0.25">
      <c r="D460" s="8"/>
      <c r="E460" s="8"/>
      <c r="F460" s="3"/>
      <c r="G460" s="9"/>
      <c r="O460" s="3"/>
    </row>
    <row r="461" spans="4:15" x14ac:dyDescent="0.25">
      <c r="D461" s="8"/>
      <c r="E461" s="8"/>
      <c r="F461" s="3"/>
      <c r="G461" s="9"/>
      <c r="O461" s="3"/>
    </row>
    <row r="462" spans="4:15" x14ac:dyDescent="0.25">
      <c r="D462" s="8"/>
      <c r="E462" s="8"/>
      <c r="F462" s="3"/>
      <c r="G462" s="9"/>
      <c r="O462" s="3"/>
    </row>
    <row r="463" spans="4:15" x14ac:dyDescent="0.25">
      <c r="D463" s="8"/>
      <c r="E463" s="8"/>
      <c r="F463" s="3"/>
      <c r="G463" s="9"/>
      <c r="O463" s="3"/>
    </row>
    <row r="464" spans="4:15" x14ac:dyDescent="0.25">
      <c r="D464" s="8"/>
      <c r="E464" s="8"/>
      <c r="F464" s="3"/>
      <c r="G464" s="9"/>
      <c r="O464" s="3"/>
    </row>
    <row r="465" spans="4:15" x14ac:dyDescent="0.25">
      <c r="D465" s="8"/>
      <c r="E465" s="8"/>
      <c r="F465" s="3"/>
      <c r="G465" s="9"/>
      <c r="O465" s="3"/>
    </row>
    <row r="466" spans="4:15" x14ac:dyDescent="0.25">
      <c r="D466" s="8"/>
      <c r="E466" s="8"/>
      <c r="F466" s="3"/>
      <c r="G466" s="9"/>
      <c r="O466" s="3"/>
    </row>
    <row r="467" spans="4:15" x14ac:dyDescent="0.25">
      <c r="D467" s="8"/>
      <c r="E467" s="8"/>
      <c r="F467" s="3"/>
      <c r="G467" s="9"/>
      <c r="O467" s="3"/>
    </row>
    <row r="468" spans="4:15" x14ac:dyDescent="0.25">
      <c r="D468" s="8"/>
      <c r="E468" s="8"/>
      <c r="F468" s="3"/>
      <c r="G468" s="9"/>
      <c r="O468" s="3"/>
    </row>
    <row r="469" spans="4:15" x14ac:dyDescent="0.25">
      <c r="D469" s="8"/>
      <c r="E469" s="8"/>
      <c r="F469" s="3"/>
      <c r="G469" s="9"/>
      <c r="O469" s="3"/>
    </row>
    <row r="470" spans="4:15" x14ac:dyDescent="0.25">
      <c r="D470" s="8"/>
      <c r="E470" s="8"/>
      <c r="F470" s="3"/>
      <c r="G470" s="9"/>
      <c r="O470" s="3"/>
    </row>
    <row r="471" spans="4:15" x14ac:dyDescent="0.25">
      <c r="D471" s="8"/>
      <c r="E471" s="8"/>
      <c r="F471" s="3"/>
      <c r="G471" s="9"/>
      <c r="O471" s="3"/>
    </row>
    <row r="472" spans="4:15" x14ac:dyDescent="0.25">
      <c r="D472" s="8"/>
      <c r="E472" s="8"/>
      <c r="F472" s="3"/>
      <c r="G472" s="9"/>
      <c r="O472" s="3"/>
    </row>
    <row r="473" spans="4:15" x14ac:dyDescent="0.25">
      <c r="D473" s="8"/>
      <c r="E473" s="8"/>
      <c r="F473" s="3"/>
      <c r="G473" s="9"/>
      <c r="O473" s="3"/>
    </row>
    <row r="474" spans="4:15" x14ac:dyDescent="0.25">
      <c r="D474" s="8"/>
      <c r="E474" s="8"/>
      <c r="F474" s="3"/>
      <c r="G474" s="9"/>
      <c r="O474" s="3"/>
    </row>
    <row r="475" spans="4:15" x14ac:dyDescent="0.25">
      <c r="D475" s="8"/>
      <c r="E475" s="8"/>
      <c r="F475" s="3"/>
      <c r="G475" s="9"/>
      <c r="O475" s="3"/>
    </row>
    <row r="476" spans="4:15" x14ac:dyDescent="0.25">
      <c r="D476" s="8"/>
      <c r="E476" s="8"/>
      <c r="F476" s="3"/>
      <c r="G476" s="9"/>
      <c r="O476" s="3"/>
    </row>
    <row r="477" spans="4:15" x14ac:dyDescent="0.25">
      <c r="D477" s="8"/>
      <c r="E477" s="8"/>
      <c r="F477" s="3"/>
      <c r="O477" s="3"/>
    </row>
    <row r="478" spans="4:15" x14ac:dyDescent="0.25">
      <c r="D478" s="8"/>
      <c r="E478" s="8"/>
      <c r="F478" s="3"/>
      <c r="G478" s="9"/>
      <c r="O478" s="3"/>
    </row>
    <row r="479" spans="4:15" x14ac:dyDescent="0.25">
      <c r="D479" s="8"/>
      <c r="E479" s="8"/>
      <c r="F479" s="3"/>
      <c r="G479" s="9"/>
      <c r="O479" s="3"/>
    </row>
    <row r="480" spans="4:15" x14ac:dyDescent="0.25">
      <c r="D480" s="8"/>
      <c r="E480" s="8"/>
      <c r="F480" s="3"/>
      <c r="G480" s="9"/>
      <c r="O480" s="3"/>
    </row>
    <row r="481" spans="4:15" x14ac:dyDescent="0.25">
      <c r="D481" s="8"/>
      <c r="E481" s="8"/>
      <c r="F481" s="3"/>
      <c r="G481" s="9"/>
      <c r="O481" s="3"/>
    </row>
    <row r="482" spans="4:15" x14ac:dyDescent="0.25">
      <c r="D482" s="8"/>
      <c r="E482" s="8"/>
      <c r="F482" s="3"/>
      <c r="G482" s="9"/>
      <c r="O482" s="3"/>
    </row>
    <row r="483" spans="4:15" x14ac:dyDescent="0.25">
      <c r="D483" s="8"/>
      <c r="E483" s="8"/>
      <c r="F483" s="3"/>
      <c r="G483" s="9"/>
      <c r="O483" s="3"/>
    </row>
    <row r="484" spans="4:15" x14ac:dyDescent="0.25">
      <c r="D484" s="8"/>
      <c r="E484" s="8"/>
      <c r="F484" s="3"/>
      <c r="G484" s="9"/>
      <c r="O484" s="3"/>
    </row>
    <row r="485" spans="4:15" x14ac:dyDescent="0.25">
      <c r="D485" s="8"/>
      <c r="E485" s="8"/>
      <c r="F485" s="3"/>
      <c r="G485" s="9"/>
      <c r="O485" s="3"/>
    </row>
    <row r="486" spans="4:15" x14ac:dyDescent="0.25">
      <c r="D486" s="8"/>
      <c r="E486" s="8"/>
      <c r="F486" s="3"/>
      <c r="G486" s="9"/>
      <c r="O486" s="3"/>
    </row>
    <row r="487" spans="4:15" x14ac:dyDescent="0.25">
      <c r="D487" s="8"/>
      <c r="E487" s="8"/>
      <c r="F487" s="3"/>
      <c r="G487" s="9"/>
      <c r="O487" s="3"/>
    </row>
    <row r="488" spans="4:15" x14ac:dyDescent="0.25">
      <c r="D488" s="8"/>
      <c r="E488" s="8"/>
      <c r="F488" s="3"/>
      <c r="G488" s="9"/>
      <c r="O488" s="3"/>
    </row>
    <row r="489" spans="4:15" x14ac:dyDescent="0.25">
      <c r="D489" s="8"/>
      <c r="E489" s="8"/>
      <c r="F489" s="3"/>
      <c r="G489" s="9"/>
      <c r="O489" s="3"/>
    </row>
    <row r="490" spans="4:15" x14ac:dyDescent="0.25">
      <c r="D490" s="8"/>
      <c r="E490" s="8"/>
      <c r="F490" s="3"/>
      <c r="G490" s="9"/>
      <c r="O490" s="3"/>
    </row>
    <row r="491" spans="4:15" x14ac:dyDescent="0.25">
      <c r="D491" s="8"/>
      <c r="E491" s="8"/>
      <c r="F491" s="3"/>
      <c r="G491" s="9"/>
      <c r="O491" s="3"/>
    </row>
    <row r="492" spans="4:15" x14ac:dyDescent="0.25">
      <c r="D492" s="8"/>
      <c r="E492" s="8"/>
      <c r="F492" s="3"/>
      <c r="G492" s="9"/>
      <c r="O492" s="3"/>
    </row>
    <row r="493" spans="4:15" x14ac:dyDescent="0.25">
      <c r="D493" s="8"/>
      <c r="E493" s="8"/>
      <c r="F493" s="3"/>
      <c r="G493" s="9"/>
      <c r="O493" s="3"/>
    </row>
    <row r="494" spans="4:15" x14ac:dyDescent="0.25">
      <c r="D494" s="8"/>
      <c r="E494" s="8"/>
      <c r="F494" s="3"/>
      <c r="G494" s="9"/>
      <c r="O494" s="3"/>
    </row>
    <row r="495" spans="4:15" x14ac:dyDescent="0.25">
      <c r="D495" s="8"/>
      <c r="E495" s="8"/>
      <c r="F495" s="3"/>
      <c r="G495" s="9"/>
      <c r="O495" s="3"/>
    </row>
    <row r="496" spans="4:15" x14ac:dyDescent="0.25">
      <c r="D496" s="8"/>
      <c r="E496" s="8"/>
      <c r="F496" s="3"/>
      <c r="G496" s="9"/>
      <c r="O496" s="3"/>
    </row>
    <row r="497" spans="4:15" x14ac:dyDescent="0.25">
      <c r="D497" s="8"/>
      <c r="E497" s="8"/>
      <c r="F497" s="3"/>
      <c r="G497" s="9"/>
      <c r="O497" s="3"/>
    </row>
    <row r="498" spans="4:15" x14ac:dyDescent="0.25">
      <c r="D498" s="8"/>
      <c r="E498" s="8"/>
      <c r="F498" s="3"/>
      <c r="G498" s="9"/>
      <c r="O498" s="3"/>
    </row>
    <row r="499" spans="4:15" x14ac:dyDescent="0.25">
      <c r="D499" s="8"/>
      <c r="E499" s="8"/>
      <c r="F499" s="3"/>
      <c r="G499" s="9"/>
      <c r="O499" s="3"/>
    </row>
    <row r="500" spans="4:15" x14ac:dyDescent="0.25">
      <c r="D500" s="8"/>
      <c r="E500" s="8"/>
      <c r="F500" s="3"/>
      <c r="G500" s="9"/>
      <c r="O500" s="3"/>
    </row>
    <row r="501" spans="4:15" x14ac:dyDescent="0.25">
      <c r="D501" s="8"/>
      <c r="E501" s="8"/>
      <c r="F501" s="3"/>
      <c r="G501" s="9"/>
      <c r="O501" s="3"/>
    </row>
    <row r="502" spans="4:15" x14ac:dyDescent="0.25">
      <c r="D502" s="8"/>
      <c r="E502" s="8"/>
      <c r="F502" s="3"/>
      <c r="O502" s="3"/>
    </row>
    <row r="503" spans="4:15" x14ac:dyDescent="0.25">
      <c r="D503" s="8"/>
      <c r="E503" s="8"/>
      <c r="F503" s="3"/>
      <c r="G503" s="9"/>
      <c r="O503" s="3"/>
    </row>
    <row r="504" spans="4:15" x14ac:dyDescent="0.25">
      <c r="D504" s="8"/>
      <c r="E504" s="8"/>
      <c r="F504" s="3"/>
      <c r="G504" s="9"/>
      <c r="O504" s="3"/>
    </row>
    <row r="505" spans="4:15" x14ac:dyDescent="0.25">
      <c r="D505" s="8"/>
      <c r="E505" s="8"/>
      <c r="F505" s="3"/>
      <c r="G505" s="9"/>
      <c r="O505" s="3"/>
    </row>
    <row r="506" spans="4:15" x14ac:dyDescent="0.25">
      <c r="D506" s="8"/>
      <c r="E506" s="8"/>
      <c r="F506" s="3"/>
      <c r="G506" s="9"/>
      <c r="O506" s="3"/>
    </row>
    <row r="507" spans="4:15" x14ac:dyDescent="0.25">
      <c r="D507" s="8"/>
      <c r="E507" s="8"/>
      <c r="F507" s="3"/>
      <c r="G507" s="9"/>
      <c r="O507" s="3"/>
    </row>
    <row r="508" spans="4:15" x14ac:dyDescent="0.25">
      <c r="D508" s="8"/>
      <c r="E508" s="8"/>
      <c r="F508" s="3"/>
      <c r="G508" s="9"/>
      <c r="O508" s="3"/>
    </row>
    <row r="509" spans="4:15" x14ac:dyDescent="0.25">
      <c r="D509" s="8"/>
      <c r="E509" s="8"/>
      <c r="F509" s="3"/>
      <c r="G509" s="9"/>
      <c r="O509" s="3"/>
    </row>
    <row r="510" spans="4:15" x14ac:dyDescent="0.25">
      <c r="D510" s="8"/>
      <c r="E510" s="8"/>
      <c r="F510" s="3"/>
      <c r="G510" s="9"/>
      <c r="O510" s="3"/>
    </row>
    <row r="511" spans="4:15" x14ac:dyDescent="0.25">
      <c r="D511" s="8"/>
      <c r="E511" s="8"/>
      <c r="F511" s="3"/>
      <c r="G511" s="9"/>
      <c r="O511" s="3"/>
    </row>
    <row r="512" spans="4:15" x14ac:dyDescent="0.25">
      <c r="D512" s="8"/>
      <c r="E512" s="8"/>
      <c r="F512" s="3"/>
      <c r="G512" s="9"/>
      <c r="O512" s="3"/>
    </row>
    <row r="513" spans="4:15" x14ac:dyDescent="0.25">
      <c r="D513" s="8"/>
      <c r="E513" s="8"/>
      <c r="F513" s="3"/>
      <c r="G513" s="9"/>
      <c r="O513" s="3"/>
    </row>
    <row r="514" spans="4:15" x14ac:dyDescent="0.25">
      <c r="D514" s="8"/>
      <c r="E514" s="8"/>
      <c r="F514" s="3"/>
      <c r="G514" s="9"/>
      <c r="O514" s="3"/>
    </row>
    <row r="515" spans="4:15" x14ac:dyDescent="0.25">
      <c r="D515" s="8"/>
      <c r="E515" s="8"/>
      <c r="F515" s="3"/>
      <c r="G515" s="9"/>
      <c r="O515" s="3"/>
    </row>
    <row r="516" spans="4:15" x14ac:dyDescent="0.25">
      <c r="D516" s="8"/>
      <c r="E516" s="8"/>
      <c r="F516" s="3"/>
      <c r="G516" s="9"/>
      <c r="O516" s="3"/>
    </row>
    <row r="517" spans="4:15" x14ac:dyDescent="0.25">
      <c r="D517" s="8"/>
      <c r="E517" s="8"/>
      <c r="F517" s="3"/>
      <c r="G517" s="9"/>
      <c r="O517" s="3"/>
    </row>
    <row r="518" spans="4:15" x14ac:dyDescent="0.25">
      <c r="D518" s="8"/>
      <c r="E518" s="8"/>
      <c r="F518" s="3"/>
      <c r="G518" s="9"/>
      <c r="O518" s="3"/>
    </row>
    <row r="519" spans="4:15" x14ac:dyDescent="0.25">
      <c r="D519" s="8"/>
      <c r="E519" s="8"/>
      <c r="F519" s="3"/>
      <c r="G519" s="9"/>
      <c r="O519" s="3"/>
    </row>
    <row r="520" spans="4:15" x14ac:dyDescent="0.25">
      <c r="D520" s="8"/>
      <c r="E520" s="8"/>
      <c r="F520" s="3"/>
      <c r="G520" s="9"/>
      <c r="O520" s="3"/>
    </row>
    <row r="521" spans="4:15" x14ac:dyDescent="0.25">
      <c r="D521" s="8"/>
      <c r="E521" s="8"/>
      <c r="F521" s="3"/>
      <c r="G521" s="9"/>
      <c r="O521" s="3"/>
    </row>
    <row r="522" spans="4:15" x14ac:dyDescent="0.25">
      <c r="D522" s="8"/>
      <c r="E522" s="8"/>
      <c r="F522" s="3"/>
      <c r="G522" s="9"/>
      <c r="O522" s="3"/>
    </row>
    <row r="523" spans="4:15" x14ac:dyDescent="0.25">
      <c r="D523" s="8"/>
      <c r="E523" s="8"/>
      <c r="F523" s="3"/>
      <c r="G523" s="9"/>
      <c r="O523" s="3"/>
    </row>
    <row r="524" spans="4:15" x14ac:dyDescent="0.25">
      <c r="D524" s="8"/>
      <c r="E524" s="8"/>
      <c r="F524" s="3"/>
      <c r="G524" s="9"/>
      <c r="O524" s="3"/>
    </row>
    <row r="525" spans="4:15" x14ac:dyDescent="0.25">
      <c r="D525" s="8"/>
      <c r="E525" s="8"/>
      <c r="F525" s="3"/>
      <c r="G525" s="9"/>
      <c r="O525" s="3"/>
    </row>
    <row r="526" spans="4:15" x14ac:dyDescent="0.25">
      <c r="D526" s="8"/>
      <c r="E526" s="8"/>
      <c r="F526" s="3"/>
      <c r="G526" s="9"/>
      <c r="O526" s="3"/>
    </row>
    <row r="527" spans="4:15" x14ac:dyDescent="0.25">
      <c r="D527" s="8"/>
      <c r="E527" s="8"/>
      <c r="F527" s="3"/>
      <c r="O527" s="3"/>
    </row>
    <row r="528" spans="4:15" x14ac:dyDescent="0.25">
      <c r="D528" s="8"/>
      <c r="E528" s="8"/>
      <c r="F528" s="3"/>
      <c r="G528" s="9"/>
      <c r="O528" s="3"/>
    </row>
    <row r="529" spans="4:15" x14ac:dyDescent="0.25">
      <c r="D529" s="8"/>
      <c r="E529" s="8"/>
      <c r="F529" s="3"/>
      <c r="G529" s="9"/>
      <c r="O529" s="3"/>
    </row>
    <row r="530" spans="4:15" x14ac:dyDescent="0.25">
      <c r="D530" s="8"/>
      <c r="E530" s="8"/>
      <c r="F530" s="3"/>
      <c r="G530" s="9"/>
      <c r="O530" s="3"/>
    </row>
    <row r="531" spans="4:15" x14ac:dyDescent="0.25">
      <c r="D531" s="8"/>
      <c r="E531" s="8"/>
      <c r="F531" s="3"/>
      <c r="G531" s="9"/>
      <c r="O531" s="3"/>
    </row>
    <row r="532" spans="4:15" x14ac:dyDescent="0.25">
      <c r="D532" s="8"/>
      <c r="E532" s="8"/>
      <c r="F532" s="3"/>
      <c r="G532" s="9"/>
      <c r="O532" s="3"/>
    </row>
    <row r="533" spans="4:15" x14ac:dyDescent="0.25">
      <c r="D533" s="8"/>
      <c r="E533" s="8"/>
      <c r="F533" s="3"/>
      <c r="G533" s="9"/>
      <c r="O533" s="3"/>
    </row>
    <row r="534" spans="4:15" x14ac:dyDescent="0.25">
      <c r="D534" s="8"/>
      <c r="E534" s="8"/>
      <c r="F534" s="3"/>
      <c r="G534" s="9"/>
      <c r="O534" s="3"/>
    </row>
    <row r="535" spans="4:15" x14ac:dyDescent="0.25">
      <c r="D535" s="8"/>
      <c r="E535" s="8"/>
      <c r="F535" s="3"/>
      <c r="G535" s="9"/>
      <c r="O535" s="3"/>
    </row>
    <row r="536" spans="4:15" x14ac:dyDescent="0.25">
      <c r="D536" s="8"/>
      <c r="E536" s="8"/>
      <c r="F536" s="3"/>
      <c r="G536" s="9"/>
      <c r="O536" s="3"/>
    </row>
    <row r="537" spans="4:15" x14ac:dyDescent="0.25">
      <c r="D537" s="8"/>
      <c r="E537" s="8"/>
      <c r="F537" s="3"/>
      <c r="G537" s="9"/>
      <c r="O537" s="3"/>
    </row>
    <row r="538" spans="4:15" x14ac:dyDescent="0.25">
      <c r="D538" s="8"/>
      <c r="E538" s="8"/>
      <c r="F538" s="3"/>
      <c r="G538" s="9"/>
      <c r="O538" s="3"/>
    </row>
    <row r="539" spans="4:15" x14ac:dyDescent="0.25">
      <c r="D539" s="8"/>
      <c r="E539" s="8"/>
      <c r="F539" s="3"/>
      <c r="G539" s="9"/>
      <c r="O539" s="3"/>
    </row>
    <row r="540" spans="4:15" x14ac:dyDescent="0.25">
      <c r="D540" s="8"/>
      <c r="E540" s="8"/>
      <c r="F540" s="3"/>
      <c r="G540" s="9"/>
      <c r="O540" s="3"/>
    </row>
    <row r="541" spans="4:15" x14ac:dyDescent="0.25">
      <c r="D541" s="8"/>
      <c r="E541" s="8"/>
      <c r="F541" s="3"/>
      <c r="G541" s="9"/>
      <c r="O541" s="3"/>
    </row>
    <row r="542" spans="4:15" x14ac:dyDescent="0.25">
      <c r="D542" s="8"/>
      <c r="E542" s="8"/>
      <c r="F542" s="3"/>
      <c r="G542" s="9"/>
      <c r="O542" s="3"/>
    </row>
    <row r="543" spans="4:15" x14ac:dyDescent="0.25">
      <c r="D543" s="8"/>
      <c r="E543" s="8"/>
      <c r="F543" s="3"/>
      <c r="G543" s="9"/>
      <c r="O543" s="3"/>
    </row>
    <row r="544" spans="4:15" x14ac:dyDescent="0.25">
      <c r="D544" s="8"/>
      <c r="E544" s="8"/>
      <c r="F544" s="3"/>
      <c r="G544" s="9"/>
      <c r="O544" s="3"/>
    </row>
    <row r="545" spans="4:15" x14ac:dyDescent="0.25">
      <c r="D545" s="8"/>
      <c r="E545" s="8"/>
      <c r="F545" s="3"/>
      <c r="G545" s="9"/>
      <c r="O545" s="3"/>
    </row>
    <row r="546" spans="4:15" x14ac:dyDescent="0.25">
      <c r="D546" s="8"/>
      <c r="E546" s="8"/>
      <c r="F546" s="3"/>
      <c r="G546" s="9"/>
      <c r="O546" s="3"/>
    </row>
    <row r="547" spans="4:15" x14ac:dyDescent="0.25">
      <c r="D547" s="8"/>
      <c r="E547" s="8"/>
      <c r="F547" s="3"/>
      <c r="G547" s="9"/>
      <c r="O547" s="3"/>
    </row>
    <row r="548" spans="4:15" x14ac:dyDescent="0.25">
      <c r="D548" s="8"/>
      <c r="E548" s="8"/>
      <c r="F548" s="3"/>
      <c r="G548" s="9"/>
      <c r="O548" s="3"/>
    </row>
    <row r="549" spans="4:15" x14ac:dyDescent="0.25">
      <c r="D549" s="8"/>
      <c r="E549" s="8"/>
      <c r="F549" s="3"/>
      <c r="G549" s="9"/>
      <c r="O549" s="3"/>
    </row>
    <row r="550" spans="4:15" x14ac:dyDescent="0.25">
      <c r="D550" s="8"/>
      <c r="E550" s="8"/>
      <c r="F550" s="3"/>
      <c r="G550" s="9"/>
      <c r="O550" s="3"/>
    </row>
    <row r="551" spans="4:15" x14ac:dyDescent="0.25">
      <c r="D551" s="8"/>
      <c r="E551" s="8"/>
      <c r="F551" s="3"/>
      <c r="G551" s="9"/>
      <c r="O551" s="3"/>
    </row>
    <row r="552" spans="4:15" x14ac:dyDescent="0.25">
      <c r="D552" s="8"/>
      <c r="E552" s="8"/>
      <c r="F552" s="3"/>
      <c r="O552" s="3"/>
    </row>
    <row r="553" spans="4:15" x14ac:dyDescent="0.25">
      <c r="D553" s="8"/>
      <c r="E553" s="8"/>
      <c r="F553" s="3"/>
      <c r="G553" s="9"/>
      <c r="O553" s="3"/>
    </row>
    <row r="554" spans="4:15" x14ac:dyDescent="0.25">
      <c r="D554" s="8"/>
      <c r="E554" s="8"/>
      <c r="F554" s="3"/>
      <c r="G554" s="9"/>
      <c r="O554" s="3"/>
    </row>
    <row r="555" spans="4:15" x14ac:dyDescent="0.25">
      <c r="D555" s="8"/>
      <c r="E555" s="8"/>
      <c r="F555" s="3"/>
      <c r="G555" s="9"/>
      <c r="O555" s="3"/>
    </row>
    <row r="556" spans="4:15" x14ac:dyDescent="0.25">
      <c r="D556" s="8"/>
      <c r="E556" s="8"/>
      <c r="F556" s="3"/>
      <c r="G556" s="9"/>
      <c r="O556" s="3"/>
    </row>
    <row r="557" spans="4:15" x14ac:dyDescent="0.25">
      <c r="D557" s="8"/>
      <c r="E557" s="8"/>
      <c r="F557" s="3"/>
      <c r="G557" s="9"/>
      <c r="O557" s="3"/>
    </row>
    <row r="558" spans="4:15" x14ac:dyDescent="0.25">
      <c r="D558" s="8"/>
      <c r="E558" s="8"/>
      <c r="F558" s="3"/>
      <c r="G558" s="9"/>
      <c r="O558" s="3"/>
    </row>
    <row r="559" spans="4:15" x14ac:dyDescent="0.25">
      <c r="D559" s="8"/>
      <c r="E559" s="8"/>
      <c r="F559" s="3"/>
      <c r="G559" s="9"/>
      <c r="O559" s="3"/>
    </row>
    <row r="560" spans="4:15" x14ac:dyDescent="0.25">
      <c r="D560" s="8"/>
      <c r="E560" s="8"/>
      <c r="F560" s="3"/>
      <c r="G560" s="9"/>
      <c r="O560" s="3"/>
    </row>
    <row r="561" spans="4:15" x14ac:dyDescent="0.25">
      <c r="D561" s="8"/>
      <c r="E561" s="8"/>
      <c r="F561" s="3"/>
      <c r="G561" s="9"/>
      <c r="O561" s="3"/>
    </row>
    <row r="562" spans="4:15" x14ac:dyDescent="0.25">
      <c r="D562" s="8"/>
      <c r="E562" s="8"/>
      <c r="F562" s="3"/>
      <c r="G562" s="9"/>
      <c r="O562" s="3"/>
    </row>
    <row r="563" spans="4:15" x14ac:dyDescent="0.25">
      <c r="D563" s="8"/>
      <c r="E563" s="8"/>
      <c r="F563" s="3"/>
      <c r="G563" s="9"/>
      <c r="O563" s="3"/>
    </row>
    <row r="564" spans="4:15" x14ac:dyDescent="0.25">
      <c r="D564" s="8"/>
      <c r="E564" s="8"/>
      <c r="F564" s="3"/>
      <c r="G564" s="9"/>
      <c r="O564" s="3"/>
    </row>
    <row r="565" spans="4:15" x14ac:dyDescent="0.25">
      <c r="D565" s="8"/>
      <c r="E565" s="8"/>
      <c r="F565" s="3"/>
      <c r="G565" s="9"/>
      <c r="O565" s="3"/>
    </row>
    <row r="566" spans="4:15" x14ac:dyDescent="0.25">
      <c r="D566" s="8"/>
      <c r="E566" s="8"/>
      <c r="F566" s="3"/>
      <c r="G566" s="9"/>
      <c r="O566" s="3"/>
    </row>
    <row r="567" spans="4:15" x14ac:dyDescent="0.25">
      <c r="D567" s="8"/>
      <c r="E567" s="8"/>
      <c r="F567" s="3"/>
      <c r="G567" s="9"/>
      <c r="O567" s="3"/>
    </row>
    <row r="568" spans="4:15" x14ac:dyDescent="0.25">
      <c r="D568" s="8"/>
      <c r="E568" s="8"/>
      <c r="F568" s="3"/>
      <c r="G568" s="9"/>
      <c r="O568" s="3"/>
    </row>
    <row r="569" spans="4:15" x14ac:dyDescent="0.25">
      <c r="D569" s="8"/>
      <c r="E569" s="8"/>
      <c r="F569" s="3"/>
      <c r="G569" s="9"/>
      <c r="O569" s="3"/>
    </row>
    <row r="570" spans="4:15" x14ac:dyDescent="0.25">
      <c r="D570" s="8"/>
      <c r="E570" s="8"/>
      <c r="F570" s="3"/>
      <c r="G570" s="9"/>
      <c r="O570" s="3"/>
    </row>
    <row r="571" spans="4:15" x14ac:dyDescent="0.25">
      <c r="D571" s="8"/>
      <c r="E571" s="8"/>
      <c r="F571" s="3"/>
      <c r="G571" s="9"/>
      <c r="O571" s="3"/>
    </row>
    <row r="572" spans="4:15" x14ac:dyDescent="0.25">
      <c r="D572" s="8"/>
      <c r="E572" s="8"/>
      <c r="F572" s="3"/>
      <c r="G572" s="9"/>
      <c r="O572" s="3"/>
    </row>
    <row r="573" spans="4:15" x14ac:dyDescent="0.25">
      <c r="D573" s="8"/>
      <c r="E573" s="8"/>
      <c r="F573" s="3"/>
      <c r="G573" s="9"/>
      <c r="O573" s="3"/>
    </row>
    <row r="574" spans="4:15" x14ac:dyDescent="0.25">
      <c r="D574" s="8"/>
      <c r="E574" s="8"/>
      <c r="F574" s="3"/>
      <c r="G574" s="9"/>
      <c r="O574" s="3"/>
    </row>
    <row r="575" spans="4:15" x14ac:dyDescent="0.25">
      <c r="D575" s="8"/>
      <c r="E575" s="8"/>
      <c r="F575" s="3"/>
      <c r="G575" s="9"/>
      <c r="O575" s="3"/>
    </row>
    <row r="576" spans="4:15" x14ac:dyDescent="0.25">
      <c r="D576" s="8"/>
      <c r="E576" s="8"/>
      <c r="F576" s="3"/>
      <c r="G576" s="9"/>
      <c r="O576" s="3"/>
    </row>
    <row r="577" spans="4:15" x14ac:dyDescent="0.25">
      <c r="D577" s="8"/>
      <c r="E577" s="8"/>
      <c r="F577" s="3"/>
      <c r="O577" s="3"/>
    </row>
    <row r="578" spans="4:15" x14ac:dyDescent="0.25">
      <c r="D578" s="8"/>
      <c r="E578" s="8"/>
      <c r="F578" s="3"/>
      <c r="G578" s="9"/>
      <c r="O578" s="3"/>
    </row>
    <row r="579" spans="4:15" x14ac:dyDescent="0.25">
      <c r="D579" s="8"/>
      <c r="E579" s="8"/>
      <c r="F579" s="3"/>
      <c r="G579" s="9"/>
      <c r="O579" s="3"/>
    </row>
    <row r="580" spans="4:15" x14ac:dyDescent="0.25">
      <c r="D580" s="8"/>
      <c r="E580" s="8"/>
      <c r="F580" s="3"/>
      <c r="G580" s="9"/>
      <c r="O580" s="3"/>
    </row>
    <row r="581" spans="4:15" x14ac:dyDescent="0.25">
      <c r="D581" s="8"/>
      <c r="E581" s="8"/>
      <c r="F581" s="3"/>
      <c r="G581" s="9"/>
      <c r="O581" s="3"/>
    </row>
    <row r="582" spans="4:15" x14ac:dyDescent="0.25">
      <c r="D582" s="8"/>
      <c r="E582" s="8"/>
      <c r="F582" s="3"/>
      <c r="G582" s="9"/>
      <c r="O582" s="3"/>
    </row>
    <row r="583" spans="4:15" x14ac:dyDescent="0.25">
      <c r="D583" s="8"/>
      <c r="E583" s="8"/>
      <c r="F583" s="3"/>
      <c r="G583" s="9"/>
      <c r="O583" s="3"/>
    </row>
    <row r="584" spans="4:15" x14ac:dyDescent="0.25">
      <c r="D584" s="8"/>
      <c r="E584" s="8"/>
      <c r="F584" s="3"/>
      <c r="G584" s="9"/>
      <c r="O584" s="3"/>
    </row>
    <row r="585" spans="4:15" x14ac:dyDescent="0.25">
      <c r="D585" s="8"/>
      <c r="E585" s="8"/>
      <c r="F585" s="3"/>
      <c r="G585" s="9"/>
      <c r="O585" s="3"/>
    </row>
    <row r="586" spans="4:15" x14ac:dyDescent="0.25">
      <c r="D586" s="8"/>
      <c r="E586" s="8"/>
      <c r="F586" s="3"/>
      <c r="G586" s="9"/>
      <c r="O586" s="3"/>
    </row>
    <row r="587" spans="4:15" x14ac:dyDescent="0.25">
      <c r="D587" s="8"/>
      <c r="E587" s="8"/>
      <c r="F587" s="3"/>
      <c r="G587" s="9"/>
      <c r="O587" s="3"/>
    </row>
    <row r="588" spans="4:15" x14ac:dyDescent="0.25">
      <c r="D588" s="8"/>
      <c r="E588" s="8"/>
      <c r="F588" s="3"/>
      <c r="G588" s="9"/>
      <c r="O588" s="3"/>
    </row>
    <row r="589" spans="4:15" x14ac:dyDescent="0.25">
      <c r="D589" s="8"/>
      <c r="E589" s="8"/>
      <c r="F589" s="3"/>
      <c r="G589" s="9"/>
      <c r="O589" s="3"/>
    </row>
    <row r="590" spans="4:15" x14ac:dyDescent="0.25">
      <c r="D590" s="8"/>
      <c r="E590" s="8"/>
      <c r="F590" s="3"/>
      <c r="G590" s="9"/>
      <c r="O590" s="3"/>
    </row>
    <row r="591" spans="4:15" x14ac:dyDescent="0.25">
      <c r="D591" s="8"/>
      <c r="E591" s="8"/>
      <c r="F591" s="3"/>
      <c r="G591" s="9"/>
      <c r="O591" s="3"/>
    </row>
    <row r="592" spans="4:15" x14ac:dyDescent="0.25">
      <c r="D592" s="8"/>
      <c r="E592" s="8"/>
      <c r="F592" s="3"/>
      <c r="G592" s="9"/>
      <c r="O592" s="3"/>
    </row>
    <row r="593" spans="4:15" x14ac:dyDescent="0.25">
      <c r="D593" s="8"/>
      <c r="E593" s="8"/>
      <c r="F593" s="3"/>
      <c r="G593" s="9"/>
      <c r="O593" s="3"/>
    </row>
    <row r="594" spans="4:15" x14ac:dyDescent="0.25">
      <c r="D594" s="8"/>
      <c r="E594" s="8"/>
      <c r="F594" s="3"/>
      <c r="G594" s="9"/>
      <c r="O594" s="3"/>
    </row>
    <row r="595" spans="4:15" x14ac:dyDescent="0.25">
      <c r="D595" s="8"/>
      <c r="E595" s="8"/>
      <c r="F595" s="3"/>
      <c r="G595" s="9"/>
      <c r="O595" s="3"/>
    </row>
    <row r="596" spans="4:15" x14ac:dyDescent="0.25">
      <c r="D596" s="8"/>
      <c r="E596" s="8"/>
      <c r="F596" s="3"/>
      <c r="G596" s="9"/>
      <c r="O596" s="3"/>
    </row>
    <row r="597" spans="4:15" x14ac:dyDescent="0.25">
      <c r="D597" s="8"/>
      <c r="E597" s="8"/>
      <c r="F597" s="3"/>
      <c r="G597" s="9"/>
      <c r="O597" s="3"/>
    </row>
    <row r="598" spans="4:15" x14ac:dyDescent="0.25">
      <c r="D598" s="8"/>
      <c r="E598" s="8"/>
      <c r="F598" s="3"/>
      <c r="G598" s="9"/>
      <c r="O598" s="3"/>
    </row>
    <row r="599" spans="4:15" x14ac:dyDescent="0.25">
      <c r="D599" s="8"/>
      <c r="E599" s="8"/>
      <c r="F599" s="3"/>
      <c r="G599" s="9"/>
      <c r="O599" s="3"/>
    </row>
    <row r="600" spans="4:15" x14ac:dyDescent="0.25">
      <c r="D600" s="8"/>
      <c r="E600" s="8"/>
      <c r="F600" s="3"/>
      <c r="G600" s="9"/>
      <c r="O600" s="3"/>
    </row>
    <row r="601" spans="4:15" x14ac:dyDescent="0.25">
      <c r="D601" s="8"/>
      <c r="E601" s="8"/>
      <c r="F601" s="3"/>
      <c r="G601" s="9"/>
      <c r="O601" s="3"/>
    </row>
    <row r="602" spans="4:15" x14ac:dyDescent="0.25">
      <c r="D602" s="8"/>
      <c r="E602" s="8"/>
      <c r="F602" s="3"/>
      <c r="O602" s="3"/>
    </row>
    <row r="603" spans="4:15" x14ac:dyDescent="0.25">
      <c r="D603" s="8"/>
      <c r="E603" s="8"/>
      <c r="F603" s="3"/>
      <c r="G603" s="9"/>
      <c r="O603" s="3"/>
    </row>
    <row r="604" spans="4:15" x14ac:dyDescent="0.25">
      <c r="D604" s="8"/>
      <c r="E604" s="8"/>
      <c r="F604" s="3"/>
      <c r="G604" s="9"/>
      <c r="O604" s="3"/>
    </row>
    <row r="605" spans="4:15" x14ac:dyDescent="0.25">
      <c r="D605" s="8"/>
      <c r="E605" s="8"/>
      <c r="F605" s="3"/>
      <c r="G605" s="9"/>
      <c r="O605" s="3"/>
    </row>
    <row r="606" spans="4:15" x14ac:dyDescent="0.25">
      <c r="D606" s="8"/>
      <c r="E606" s="8"/>
      <c r="F606" s="3"/>
      <c r="G606" s="9"/>
      <c r="O606" s="3"/>
    </row>
    <row r="607" spans="4:15" x14ac:dyDescent="0.25">
      <c r="D607" s="8"/>
      <c r="E607" s="8"/>
      <c r="F607" s="3"/>
      <c r="G607" s="9"/>
      <c r="O607" s="3"/>
    </row>
    <row r="608" spans="4:15" x14ac:dyDescent="0.25">
      <c r="D608" s="8"/>
      <c r="E608" s="8"/>
      <c r="F608" s="3"/>
      <c r="G608" s="9"/>
      <c r="O608" s="3"/>
    </row>
    <row r="609" spans="4:15" x14ac:dyDescent="0.25">
      <c r="D609" s="8"/>
      <c r="E609" s="8"/>
      <c r="F609" s="3"/>
      <c r="G609" s="9"/>
      <c r="O609" s="3"/>
    </row>
    <row r="610" spans="4:15" x14ac:dyDescent="0.25">
      <c r="D610" s="8"/>
      <c r="E610" s="8"/>
      <c r="F610" s="3"/>
      <c r="G610" s="9"/>
      <c r="O610" s="3"/>
    </row>
    <row r="611" spans="4:15" x14ac:dyDescent="0.25">
      <c r="D611" s="8"/>
      <c r="E611" s="8"/>
      <c r="F611" s="3"/>
      <c r="G611" s="9"/>
      <c r="O611" s="3"/>
    </row>
    <row r="612" spans="4:15" x14ac:dyDescent="0.25">
      <c r="D612" s="8"/>
      <c r="E612" s="8"/>
      <c r="F612" s="3"/>
      <c r="G612" s="9"/>
      <c r="O612" s="3"/>
    </row>
    <row r="613" spans="4:15" x14ac:dyDescent="0.25">
      <c r="D613" s="8"/>
      <c r="E613" s="8"/>
      <c r="F613" s="3"/>
      <c r="G613" s="9"/>
      <c r="O613" s="3"/>
    </row>
    <row r="614" spans="4:15" x14ac:dyDescent="0.25">
      <c r="D614" s="8"/>
      <c r="E614" s="8"/>
      <c r="F614" s="3"/>
      <c r="G614" s="9"/>
      <c r="O614" s="3"/>
    </row>
    <row r="615" spans="4:15" x14ac:dyDescent="0.25">
      <c r="D615" s="8"/>
      <c r="E615" s="8"/>
      <c r="F615" s="3"/>
      <c r="G615" s="9"/>
      <c r="O615" s="3"/>
    </row>
    <row r="616" spans="4:15" x14ac:dyDescent="0.25">
      <c r="D616" s="8"/>
      <c r="E616" s="8"/>
      <c r="F616" s="3"/>
      <c r="G616" s="9"/>
      <c r="O616" s="3"/>
    </row>
    <row r="617" spans="4:15" x14ac:dyDescent="0.25">
      <c r="D617" s="8"/>
      <c r="E617" s="8"/>
      <c r="F617" s="3"/>
      <c r="G617" s="9"/>
      <c r="O617" s="3"/>
    </row>
    <row r="618" spans="4:15" x14ac:dyDescent="0.25">
      <c r="D618" s="8"/>
      <c r="E618" s="8"/>
      <c r="F618" s="3"/>
      <c r="G618" s="9"/>
      <c r="O618" s="3"/>
    </row>
    <row r="619" spans="4:15" x14ac:dyDescent="0.25">
      <c r="D619" s="8"/>
      <c r="E619" s="8"/>
      <c r="F619" s="3"/>
      <c r="G619" s="9"/>
      <c r="O619" s="3"/>
    </row>
    <row r="620" spans="4:15" x14ac:dyDescent="0.25">
      <c r="D620" s="8"/>
      <c r="E620" s="8"/>
      <c r="F620" s="3"/>
      <c r="G620" s="9"/>
      <c r="O620" s="3"/>
    </row>
    <row r="621" spans="4:15" x14ac:dyDescent="0.25">
      <c r="D621" s="8"/>
      <c r="E621" s="8"/>
      <c r="F621" s="3"/>
      <c r="G621" s="9"/>
      <c r="O621" s="3"/>
    </row>
    <row r="622" spans="4:15" x14ac:dyDescent="0.25">
      <c r="D622" s="8"/>
      <c r="E622" s="8"/>
      <c r="F622" s="3"/>
      <c r="G622" s="9"/>
      <c r="O622" s="3"/>
    </row>
    <row r="623" spans="4:15" x14ac:dyDescent="0.25">
      <c r="D623" s="8"/>
      <c r="E623" s="8"/>
      <c r="F623" s="3"/>
      <c r="G623" s="9"/>
      <c r="O623" s="3"/>
    </row>
    <row r="624" spans="4:15" x14ac:dyDescent="0.25">
      <c r="D624" s="8"/>
      <c r="E624" s="8"/>
      <c r="F624" s="3"/>
      <c r="G624" s="9"/>
      <c r="O624" s="3"/>
    </row>
    <row r="625" spans="4:15" x14ac:dyDescent="0.25">
      <c r="D625" s="8"/>
      <c r="E625" s="8"/>
      <c r="F625" s="3"/>
      <c r="G625" s="9"/>
      <c r="O625" s="3"/>
    </row>
    <row r="626" spans="4:15" x14ac:dyDescent="0.25">
      <c r="D626" s="8"/>
      <c r="E626" s="8"/>
      <c r="F626" s="3"/>
      <c r="G626" s="9"/>
      <c r="O626" s="3"/>
    </row>
    <row r="627" spans="4:15" x14ac:dyDescent="0.25">
      <c r="D627" s="8"/>
      <c r="E627" s="8"/>
      <c r="F627" s="3"/>
      <c r="O627" s="3"/>
    </row>
    <row r="628" spans="4:15" x14ac:dyDescent="0.25">
      <c r="D628" s="8"/>
      <c r="E628" s="8"/>
      <c r="F628" s="3"/>
      <c r="G628" s="9"/>
      <c r="O628" s="3"/>
    </row>
    <row r="629" spans="4:15" x14ac:dyDescent="0.25">
      <c r="D629" s="8"/>
      <c r="E629" s="8"/>
      <c r="F629" s="3"/>
      <c r="G629" s="9"/>
      <c r="O629" s="3"/>
    </row>
    <row r="630" spans="4:15" x14ac:dyDescent="0.25">
      <c r="D630" s="8"/>
      <c r="E630" s="8"/>
      <c r="F630" s="3"/>
      <c r="G630" s="9"/>
      <c r="O630" s="3"/>
    </row>
    <row r="631" spans="4:15" x14ac:dyDescent="0.25">
      <c r="D631" s="8"/>
      <c r="E631" s="8"/>
      <c r="F631" s="3"/>
      <c r="G631" s="9"/>
      <c r="O631" s="3"/>
    </row>
    <row r="632" spans="4:15" x14ac:dyDescent="0.25">
      <c r="D632" s="8"/>
      <c r="E632" s="8"/>
      <c r="F632" s="3"/>
      <c r="G632" s="9"/>
      <c r="O632" s="3"/>
    </row>
    <row r="633" spans="4:15" x14ac:dyDescent="0.25">
      <c r="D633" s="8"/>
      <c r="E633" s="8"/>
      <c r="F633" s="3"/>
      <c r="G633" s="9"/>
      <c r="O633" s="3"/>
    </row>
    <row r="634" spans="4:15" x14ac:dyDescent="0.25">
      <c r="D634" s="8"/>
      <c r="E634" s="8"/>
      <c r="F634" s="3"/>
      <c r="G634" s="9"/>
      <c r="O634" s="3"/>
    </row>
    <row r="635" spans="4:15" x14ac:dyDescent="0.25">
      <c r="D635" s="8"/>
      <c r="E635" s="8"/>
      <c r="F635" s="3"/>
      <c r="G635" s="9"/>
      <c r="O635" s="3"/>
    </row>
    <row r="636" spans="4:15" x14ac:dyDescent="0.25">
      <c r="D636" s="8"/>
      <c r="E636" s="8"/>
      <c r="F636" s="3"/>
      <c r="G636" s="9"/>
      <c r="O636" s="3"/>
    </row>
    <row r="637" spans="4:15" x14ac:dyDescent="0.25">
      <c r="D637" s="8"/>
      <c r="E637" s="8"/>
      <c r="F637" s="3"/>
      <c r="G637" s="9"/>
      <c r="O637" s="3"/>
    </row>
    <row r="638" spans="4:15" x14ac:dyDescent="0.25">
      <c r="D638" s="8"/>
      <c r="E638" s="8"/>
      <c r="F638" s="3"/>
      <c r="G638" s="9"/>
      <c r="O638" s="3"/>
    </row>
    <row r="639" spans="4:15" x14ac:dyDescent="0.25">
      <c r="D639" s="8"/>
      <c r="E639" s="8"/>
      <c r="F639" s="3"/>
      <c r="G639" s="9"/>
      <c r="O639" s="3"/>
    </row>
    <row r="640" spans="4:15" x14ac:dyDescent="0.25">
      <c r="D640" s="8"/>
      <c r="E640" s="8"/>
      <c r="F640" s="3"/>
      <c r="G640" s="9"/>
      <c r="O640" s="3"/>
    </row>
    <row r="641" spans="4:15" x14ac:dyDescent="0.25">
      <c r="D641" s="8"/>
      <c r="E641" s="8"/>
      <c r="F641" s="3"/>
      <c r="G641" s="9"/>
      <c r="O641" s="3"/>
    </row>
    <row r="642" spans="4:15" x14ac:dyDescent="0.25">
      <c r="D642" s="8"/>
      <c r="E642" s="8"/>
      <c r="F642" s="3"/>
      <c r="G642" s="9"/>
      <c r="O642" s="3"/>
    </row>
    <row r="643" spans="4:15" x14ac:dyDescent="0.25">
      <c r="D643" s="8"/>
      <c r="E643" s="8"/>
      <c r="F643" s="3"/>
      <c r="G643" s="9"/>
      <c r="O643" s="3"/>
    </row>
    <row r="644" spans="4:15" x14ac:dyDescent="0.25">
      <c r="D644" s="8"/>
      <c r="E644" s="8"/>
      <c r="F644" s="3"/>
      <c r="G644" s="9"/>
      <c r="O644" s="3"/>
    </row>
    <row r="645" spans="4:15" x14ac:dyDescent="0.25">
      <c r="D645" s="8"/>
      <c r="E645" s="8"/>
      <c r="F645" s="3"/>
      <c r="G645" s="9"/>
      <c r="O645" s="3"/>
    </row>
    <row r="646" spans="4:15" x14ac:dyDescent="0.25">
      <c r="D646" s="8"/>
      <c r="E646" s="8"/>
      <c r="F646" s="3"/>
      <c r="G646" s="9"/>
      <c r="O646" s="3"/>
    </row>
    <row r="647" spans="4:15" x14ac:dyDescent="0.25">
      <c r="D647" s="8"/>
      <c r="E647" s="8"/>
      <c r="F647" s="3"/>
      <c r="G647" s="9"/>
      <c r="O647" s="3"/>
    </row>
    <row r="648" spans="4:15" x14ac:dyDescent="0.25">
      <c r="D648" s="8"/>
      <c r="E648" s="8"/>
      <c r="F648" s="3"/>
      <c r="G648" s="9"/>
      <c r="O648" s="3"/>
    </row>
    <row r="649" spans="4:15" x14ac:dyDescent="0.25">
      <c r="D649" s="8"/>
      <c r="E649" s="8"/>
      <c r="F649" s="3"/>
      <c r="G649" s="9"/>
      <c r="O649" s="3"/>
    </row>
    <row r="650" spans="4:15" x14ac:dyDescent="0.25">
      <c r="D650" s="8"/>
      <c r="E650" s="8"/>
      <c r="F650" s="3"/>
      <c r="G650" s="9"/>
      <c r="O650" s="3"/>
    </row>
    <row r="651" spans="4:15" x14ac:dyDescent="0.25">
      <c r="D651" s="8"/>
      <c r="E651" s="8"/>
      <c r="F651" s="3"/>
      <c r="G651" s="9"/>
      <c r="O651" s="3"/>
    </row>
    <row r="652" spans="4:15" x14ac:dyDescent="0.25">
      <c r="D652" s="8"/>
      <c r="E652" s="8"/>
      <c r="F652" s="3"/>
      <c r="O652" s="3"/>
    </row>
    <row r="653" spans="4:15" x14ac:dyDescent="0.25">
      <c r="D653" s="8"/>
      <c r="E653" s="8"/>
      <c r="F653" s="3"/>
      <c r="G653" s="9"/>
      <c r="O653" s="3"/>
    </row>
    <row r="654" spans="4:15" x14ac:dyDescent="0.25">
      <c r="D654" s="8"/>
      <c r="E654" s="8"/>
      <c r="F654" s="3"/>
      <c r="G654" s="9"/>
      <c r="O654" s="3"/>
    </row>
    <row r="655" spans="4:15" x14ac:dyDescent="0.25">
      <c r="D655" s="8"/>
      <c r="E655" s="8"/>
      <c r="F655" s="3"/>
      <c r="G655" s="9"/>
      <c r="O655" s="3"/>
    </row>
    <row r="656" spans="4:15" x14ac:dyDescent="0.25">
      <c r="D656" s="8"/>
      <c r="E656" s="8"/>
      <c r="F656" s="3"/>
      <c r="G656" s="9"/>
      <c r="O656" s="3"/>
    </row>
    <row r="657" spans="4:15" x14ac:dyDescent="0.25">
      <c r="D657" s="8"/>
      <c r="E657" s="8"/>
      <c r="F657" s="3"/>
      <c r="G657" s="9"/>
      <c r="O657" s="3"/>
    </row>
    <row r="658" spans="4:15" x14ac:dyDescent="0.25">
      <c r="D658" s="8"/>
      <c r="E658" s="8"/>
      <c r="F658" s="3"/>
      <c r="G658" s="9"/>
      <c r="O658" s="3"/>
    </row>
    <row r="659" spans="4:15" x14ac:dyDescent="0.25">
      <c r="D659" s="8"/>
      <c r="E659" s="8"/>
      <c r="F659" s="3"/>
      <c r="G659" s="9"/>
      <c r="O659" s="3"/>
    </row>
    <row r="660" spans="4:15" x14ac:dyDescent="0.25">
      <c r="D660" s="8"/>
      <c r="E660" s="8"/>
      <c r="F660" s="3"/>
      <c r="G660" s="9"/>
      <c r="O660" s="3"/>
    </row>
    <row r="661" spans="4:15" x14ac:dyDescent="0.25">
      <c r="D661" s="8"/>
      <c r="E661" s="8"/>
      <c r="F661" s="3"/>
      <c r="G661" s="9"/>
      <c r="O661" s="3"/>
    </row>
    <row r="662" spans="4:15" x14ac:dyDescent="0.25">
      <c r="D662" s="8"/>
      <c r="E662" s="8"/>
      <c r="F662" s="3"/>
      <c r="G662" s="9"/>
      <c r="O662" s="3"/>
    </row>
    <row r="663" spans="4:15" x14ac:dyDescent="0.25">
      <c r="D663" s="8"/>
      <c r="E663" s="8"/>
      <c r="F663" s="3"/>
      <c r="G663" s="9"/>
      <c r="O663" s="3"/>
    </row>
    <row r="664" spans="4:15" x14ac:dyDescent="0.25">
      <c r="D664" s="8"/>
      <c r="E664" s="8"/>
      <c r="F664" s="3"/>
      <c r="G664" s="9"/>
      <c r="O664" s="3"/>
    </row>
    <row r="665" spans="4:15" x14ac:dyDescent="0.25">
      <c r="D665" s="8"/>
      <c r="E665" s="8"/>
      <c r="F665" s="3"/>
      <c r="G665" s="9"/>
      <c r="O665" s="3"/>
    </row>
    <row r="666" spans="4:15" x14ac:dyDescent="0.25">
      <c r="D666" s="8"/>
      <c r="E666" s="8"/>
      <c r="F666" s="3"/>
      <c r="G666" s="9"/>
      <c r="O666" s="3"/>
    </row>
    <row r="667" spans="4:15" x14ac:dyDescent="0.25">
      <c r="D667" s="8"/>
      <c r="E667" s="8"/>
      <c r="F667" s="3"/>
      <c r="G667" s="9"/>
      <c r="O667" s="3"/>
    </row>
    <row r="668" spans="4:15" x14ac:dyDescent="0.25">
      <c r="D668" s="8"/>
      <c r="E668" s="8"/>
      <c r="F668" s="3"/>
      <c r="G668" s="9"/>
      <c r="O668" s="3"/>
    </row>
    <row r="669" spans="4:15" x14ac:dyDescent="0.25">
      <c r="D669" s="8"/>
      <c r="E669" s="8"/>
      <c r="F669" s="3"/>
      <c r="G669" s="9"/>
      <c r="O669" s="3"/>
    </row>
    <row r="670" spans="4:15" x14ac:dyDescent="0.25">
      <c r="D670" s="8"/>
      <c r="E670" s="8"/>
      <c r="F670" s="3"/>
      <c r="G670" s="9"/>
      <c r="O670" s="3"/>
    </row>
    <row r="671" spans="4:15" x14ac:dyDescent="0.25">
      <c r="D671" s="8"/>
      <c r="E671" s="8"/>
      <c r="F671" s="3"/>
      <c r="G671" s="9"/>
      <c r="O671" s="3"/>
    </row>
    <row r="672" spans="4:15" x14ac:dyDescent="0.25">
      <c r="D672" s="8"/>
      <c r="E672" s="8"/>
      <c r="F672" s="3"/>
      <c r="G672" s="9"/>
      <c r="O672" s="3"/>
    </row>
    <row r="673" spans="4:15" x14ac:dyDescent="0.25">
      <c r="D673" s="8"/>
      <c r="E673" s="8"/>
      <c r="F673" s="3"/>
      <c r="G673" s="9"/>
      <c r="O673" s="3"/>
    </row>
    <row r="674" spans="4:15" x14ac:dyDescent="0.25">
      <c r="D674" s="8"/>
      <c r="E674" s="8"/>
      <c r="F674" s="3"/>
      <c r="G674" s="9"/>
      <c r="O674" s="3"/>
    </row>
    <row r="675" spans="4:15" x14ac:dyDescent="0.25">
      <c r="D675" s="8"/>
      <c r="E675" s="8"/>
      <c r="F675" s="3"/>
      <c r="G675" s="9"/>
      <c r="O675" s="3"/>
    </row>
    <row r="676" spans="4:15" x14ac:dyDescent="0.25">
      <c r="D676" s="8"/>
      <c r="E676" s="8"/>
      <c r="F676" s="3"/>
      <c r="G676" s="9"/>
      <c r="O676" s="3"/>
    </row>
    <row r="677" spans="4:15" x14ac:dyDescent="0.25">
      <c r="D677" s="8"/>
      <c r="E677" s="8"/>
      <c r="F677" s="3"/>
      <c r="O677" s="3"/>
    </row>
    <row r="678" spans="4:15" x14ac:dyDescent="0.25">
      <c r="D678" s="8"/>
      <c r="E678" s="8"/>
      <c r="F678" s="3"/>
      <c r="G678" s="9"/>
      <c r="O678" s="3"/>
    </row>
    <row r="679" spans="4:15" x14ac:dyDescent="0.25">
      <c r="D679" s="8"/>
      <c r="E679" s="8"/>
      <c r="F679" s="3"/>
      <c r="G679" s="9"/>
      <c r="O679" s="3"/>
    </row>
    <row r="680" spans="4:15" x14ac:dyDescent="0.25">
      <c r="D680" s="8"/>
      <c r="E680" s="8"/>
      <c r="F680" s="3"/>
      <c r="G680" s="9"/>
      <c r="O680" s="3"/>
    </row>
    <row r="681" spans="4:15" x14ac:dyDescent="0.25">
      <c r="D681" s="8"/>
      <c r="E681" s="8"/>
      <c r="F681" s="3"/>
      <c r="G681" s="9"/>
      <c r="O681" s="3"/>
    </row>
    <row r="682" spans="4:15" x14ac:dyDescent="0.25">
      <c r="D682" s="8"/>
      <c r="E682" s="8"/>
      <c r="F682" s="3"/>
      <c r="G682" s="9"/>
      <c r="O682" s="3"/>
    </row>
    <row r="683" spans="4:15" x14ac:dyDescent="0.25">
      <c r="D683" s="8"/>
      <c r="E683" s="8"/>
      <c r="F683" s="3"/>
      <c r="G683" s="9"/>
      <c r="O683" s="3"/>
    </row>
    <row r="684" spans="4:15" x14ac:dyDescent="0.25">
      <c r="D684" s="8"/>
      <c r="E684" s="8"/>
      <c r="F684" s="3"/>
      <c r="G684" s="9"/>
      <c r="O684" s="3"/>
    </row>
    <row r="685" spans="4:15" x14ac:dyDescent="0.25">
      <c r="D685" s="8"/>
      <c r="E685" s="8"/>
      <c r="F685" s="3"/>
      <c r="G685" s="9"/>
      <c r="O685" s="3"/>
    </row>
    <row r="686" spans="4:15" x14ac:dyDescent="0.25">
      <c r="D686" s="8"/>
      <c r="E686" s="8"/>
      <c r="F686" s="3"/>
      <c r="G686" s="9"/>
      <c r="O686" s="3"/>
    </row>
    <row r="687" spans="4:15" x14ac:dyDescent="0.25">
      <c r="D687" s="8"/>
      <c r="E687" s="8"/>
      <c r="F687" s="3"/>
      <c r="G687" s="9"/>
      <c r="O687" s="3"/>
    </row>
    <row r="688" spans="4:15" x14ac:dyDescent="0.25">
      <c r="D688" s="8"/>
      <c r="E688" s="8"/>
      <c r="F688" s="3"/>
      <c r="G688" s="9"/>
      <c r="O688" s="3"/>
    </row>
    <row r="689" spans="4:15" x14ac:dyDescent="0.25">
      <c r="D689" s="8"/>
      <c r="E689" s="8"/>
      <c r="F689" s="3"/>
      <c r="G689" s="9"/>
      <c r="O689" s="3"/>
    </row>
    <row r="690" spans="4:15" x14ac:dyDescent="0.25">
      <c r="D690" s="8"/>
      <c r="E690" s="8"/>
      <c r="F690" s="3"/>
      <c r="G690" s="9"/>
      <c r="O690" s="3"/>
    </row>
    <row r="691" spans="4:15" x14ac:dyDescent="0.25">
      <c r="D691" s="8"/>
      <c r="E691" s="8"/>
      <c r="F691" s="3"/>
      <c r="G691" s="9"/>
      <c r="O691" s="3"/>
    </row>
    <row r="692" spans="4:15" x14ac:dyDescent="0.25">
      <c r="D692" s="8"/>
      <c r="E692" s="8"/>
      <c r="F692" s="3"/>
      <c r="G692" s="9"/>
      <c r="O692" s="3"/>
    </row>
    <row r="693" spans="4:15" x14ac:dyDescent="0.25">
      <c r="D693" s="8"/>
      <c r="E693" s="8"/>
      <c r="F693" s="3"/>
      <c r="G693" s="9"/>
      <c r="O693" s="3"/>
    </row>
    <row r="694" spans="4:15" x14ac:dyDescent="0.25">
      <c r="D694" s="8"/>
      <c r="E694" s="8"/>
      <c r="F694" s="3"/>
      <c r="G694" s="9"/>
      <c r="O694" s="3"/>
    </row>
    <row r="695" spans="4:15" x14ac:dyDescent="0.25">
      <c r="D695" s="8"/>
      <c r="E695" s="8"/>
      <c r="F695" s="3"/>
      <c r="G695" s="9"/>
      <c r="O695" s="3"/>
    </row>
    <row r="696" spans="4:15" x14ac:dyDescent="0.25">
      <c r="D696" s="8"/>
      <c r="E696" s="8"/>
      <c r="F696" s="3"/>
      <c r="G696" s="9"/>
      <c r="O696" s="3"/>
    </row>
    <row r="697" spans="4:15" x14ac:dyDescent="0.25">
      <c r="D697" s="8"/>
      <c r="E697" s="8"/>
      <c r="F697" s="3"/>
      <c r="G697" s="9"/>
      <c r="O697" s="3"/>
    </row>
    <row r="698" spans="4:15" x14ac:dyDescent="0.25">
      <c r="D698" s="8"/>
      <c r="E698" s="8"/>
      <c r="F698" s="3"/>
      <c r="G698" s="9"/>
      <c r="O698" s="3"/>
    </row>
    <row r="699" spans="4:15" x14ac:dyDescent="0.25">
      <c r="D699" s="8"/>
      <c r="E699" s="8"/>
      <c r="F699" s="3"/>
      <c r="G699" s="9"/>
      <c r="O699" s="3"/>
    </row>
    <row r="700" spans="4:15" x14ac:dyDescent="0.25">
      <c r="D700" s="8"/>
      <c r="E700" s="8"/>
      <c r="F700" s="3"/>
      <c r="G700" s="9"/>
      <c r="O700" s="3"/>
    </row>
    <row r="701" spans="4:15" x14ac:dyDescent="0.25">
      <c r="D701" s="8"/>
      <c r="E701" s="8"/>
      <c r="F701" s="3"/>
      <c r="G701" s="9"/>
      <c r="O701" s="3"/>
    </row>
    <row r="702" spans="4:15" x14ac:dyDescent="0.25">
      <c r="D702" s="8"/>
      <c r="E702" s="8"/>
      <c r="F702" s="3"/>
      <c r="O702" s="3"/>
    </row>
    <row r="703" spans="4:15" x14ac:dyDescent="0.25">
      <c r="D703" s="8"/>
      <c r="E703" s="8"/>
      <c r="F703" s="3"/>
      <c r="G703" s="9"/>
      <c r="O703" s="3"/>
    </row>
    <row r="704" spans="4:15" x14ac:dyDescent="0.25">
      <c r="D704" s="8"/>
      <c r="E704" s="8"/>
      <c r="F704" s="3"/>
      <c r="G704" s="9"/>
      <c r="O704" s="3"/>
    </row>
    <row r="705" spans="4:15" x14ac:dyDescent="0.25">
      <c r="D705" s="8"/>
      <c r="E705" s="8"/>
      <c r="F705" s="3"/>
      <c r="G705" s="9"/>
      <c r="O705" s="3"/>
    </row>
    <row r="706" spans="4:15" x14ac:dyDescent="0.25">
      <c r="D706" s="8"/>
      <c r="E706" s="8"/>
      <c r="F706" s="3"/>
      <c r="G706" s="9"/>
      <c r="O706" s="3"/>
    </row>
    <row r="707" spans="4:15" x14ac:dyDescent="0.25">
      <c r="D707" s="8"/>
      <c r="E707" s="8"/>
      <c r="F707" s="3"/>
      <c r="G707" s="9"/>
      <c r="O707" s="3"/>
    </row>
    <row r="708" spans="4:15" x14ac:dyDescent="0.25">
      <c r="D708" s="8"/>
      <c r="E708" s="8"/>
      <c r="F708" s="3"/>
      <c r="G708" s="9"/>
      <c r="O708" s="3"/>
    </row>
    <row r="709" spans="4:15" x14ac:dyDescent="0.25">
      <c r="D709" s="8"/>
      <c r="E709" s="8"/>
      <c r="F709" s="3"/>
      <c r="G709" s="9"/>
      <c r="O709" s="3"/>
    </row>
    <row r="710" spans="4:15" x14ac:dyDescent="0.25">
      <c r="D710" s="8"/>
      <c r="E710" s="8"/>
      <c r="F710" s="3"/>
      <c r="G710" s="9"/>
      <c r="O710" s="3"/>
    </row>
    <row r="711" spans="4:15" x14ac:dyDescent="0.25">
      <c r="D711" s="8"/>
      <c r="E711" s="8"/>
      <c r="F711" s="3"/>
      <c r="G711" s="9"/>
      <c r="O711" s="3"/>
    </row>
    <row r="712" spans="4:15" x14ac:dyDescent="0.25">
      <c r="D712" s="8"/>
      <c r="E712" s="8"/>
      <c r="F712" s="3"/>
      <c r="G712" s="9"/>
      <c r="O712" s="3"/>
    </row>
    <row r="713" spans="4:15" x14ac:dyDescent="0.25">
      <c r="D713" s="8"/>
      <c r="E713" s="8"/>
      <c r="F713" s="3"/>
      <c r="G713" s="9"/>
      <c r="O713" s="3"/>
    </row>
    <row r="714" spans="4:15" x14ac:dyDescent="0.25">
      <c r="D714" s="8"/>
      <c r="E714" s="8"/>
      <c r="F714" s="3"/>
      <c r="G714" s="9"/>
      <c r="O714" s="3"/>
    </row>
    <row r="715" spans="4:15" x14ac:dyDescent="0.25">
      <c r="D715" s="8"/>
      <c r="E715" s="8"/>
      <c r="F715" s="3"/>
      <c r="G715" s="9"/>
      <c r="O715" s="3"/>
    </row>
    <row r="716" spans="4:15" x14ac:dyDescent="0.25">
      <c r="D716" s="8"/>
      <c r="E716" s="8"/>
      <c r="F716" s="3"/>
      <c r="G716" s="9"/>
      <c r="O716" s="3"/>
    </row>
    <row r="717" spans="4:15" x14ac:dyDescent="0.25">
      <c r="D717" s="8"/>
      <c r="E717" s="8"/>
      <c r="F717" s="3"/>
      <c r="G717" s="9"/>
      <c r="O717" s="3"/>
    </row>
    <row r="718" spans="4:15" x14ac:dyDescent="0.25">
      <c r="D718" s="3"/>
      <c r="F718" s="3"/>
      <c r="G718" s="9"/>
      <c r="O718" s="3"/>
    </row>
    <row r="719" spans="4:15" x14ac:dyDescent="0.25">
      <c r="F719" s="3"/>
      <c r="G719" s="9"/>
      <c r="O719" s="3"/>
    </row>
    <row r="720" spans="4:15" x14ac:dyDescent="0.25">
      <c r="F720" s="3"/>
      <c r="G720" s="9"/>
      <c r="O720" s="3"/>
    </row>
    <row r="721" spans="6:15" x14ac:dyDescent="0.25">
      <c r="F721" s="3"/>
      <c r="G721" s="9"/>
      <c r="O721" s="3"/>
    </row>
    <row r="722" spans="6:15" x14ac:dyDescent="0.25">
      <c r="F722" s="3"/>
      <c r="G722" s="9"/>
      <c r="O722" s="3"/>
    </row>
    <row r="723" spans="6:15" x14ac:dyDescent="0.25">
      <c r="F723" s="3"/>
      <c r="G723" s="9"/>
      <c r="O723" s="3"/>
    </row>
    <row r="724" spans="6:15" x14ac:dyDescent="0.25">
      <c r="F724" s="3"/>
      <c r="G724" s="9"/>
      <c r="O724" s="3"/>
    </row>
    <row r="725" spans="6:15" x14ac:dyDescent="0.25">
      <c r="F725" s="3"/>
      <c r="G725" s="9"/>
      <c r="O725" s="3"/>
    </row>
    <row r="726" spans="6:15" x14ac:dyDescent="0.25">
      <c r="F726" s="3"/>
      <c r="G726" s="9"/>
      <c r="O726" s="3"/>
    </row>
    <row r="727" spans="6:15" x14ac:dyDescent="0.25">
      <c r="F727" s="3"/>
      <c r="O727" s="3"/>
    </row>
    <row r="728" spans="6:15" x14ac:dyDescent="0.25">
      <c r="F728" s="3"/>
      <c r="G728" s="9"/>
      <c r="O728" s="3"/>
    </row>
    <row r="729" spans="6:15" x14ac:dyDescent="0.25">
      <c r="F729" s="3"/>
      <c r="G729" s="9"/>
      <c r="O729" s="3"/>
    </row>
    <row r="730" spans="6:15" x14ac:dyDescent="0.25">
      <c r="F730" s="3"/>
      <c r="G730" s="9"/>
      <c r="O730" s="3"/>
    </row>
    <row r="731" spans="6:15" x14ac:dyDescent="0.25">
      <c r="F731" s="3"/>
      <c r="G731" s="9"/>
      <c r="O731" s="3"/>
    </row>
    <row r="732" spans="6:15" x14ac:dyDescent="0.25">
      <c r="F732" s="3"/>
      <c r="G732" s="9"/>
      <c r="O732" s="3"/>
    </row>
    <row r="733" spans="6:15" x14ac:dyDescent="0.25">
      <c r="F733" s="3"/>
      <c r="G733" s="9"/>
      <c r="O733" s="3"/>
    </row>
    <row r="734" spans="6:15" x14ac:dyDescent="0.25">
      <c r="F734" s="3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4"/>
  <sheetViews>
    <sheetView zoomScale="80" zoomScaleNormal="80" workbookViewId="0">
      <selection activeCell="B1" sqref="B1:C1048576"/>
    </sheetView>
  </sheetViews>
  <sheetFormatPr defaultRowHeight="15" x14ac:dyDescent="0.25"/>
  <cols>
    <col min="1" max="1" width="6.85546875" customWidth="1"/>
    <col min="11" max="11" width="11.85546875" bestFit="1" customWidth="1"/>
    <col min="12" max="12" width="12.42578125" bestFit="1" customWidth="1"/>
    <col min="14" max="14" width="12.28515625" bestFit="1" customWidth="1"/>
    <col min="15" max="15" width="9.5703125" customWidth="1"/>
  </cols>
  <sheetData>
    <row r="1" spans="1:15" x14ac:dyDescent="0.25">
      <c r="B1" s="2">
        <v>45134.142857142855</v>
      </c>
      <c r="C1" s="2">
        <v>45186.807692307695</v>
      </c>
      <c r="I1" s="5"/>
      <c r="K1" t="s">
        <v>17</v>
      </c>
      <c r="L1" s="9">
        <f>C1-B1</f>
        <v>52.664835164840042</v>
      </c>
      <c r="M1" s="9"/>
    </row>
    <row r="2" spans="1:15" x14ac:dyDescent="0.25">
      <c r="A2" t="s">
        <v>0</v>
      </c>
      <c r="B2" t="s">
        <v>1</v>
      </c>
      <c r="C2" t="s">
        <v>1</v>
      </c>
      <c r="D2" s="6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6" t="s">
        <v>10</v>
      </c>
      <c r="J2" s="6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15</v>
      </c>
    </row>
    <row r="3" spans="1:15" x14ac:dyDescent="0.25">
      <c r="A3">
        <v>0</v>
      </c>
      <c r="B3" s="3">
        <v>13.665314285714285</v>
      </c>
      <c r="C3" s="3">
        <v>11.689503571428569</v>
      </c>
      <c r="D3">
        <f>C3-B3</f>
        <v>-1.975810714285716</v>
      </c>
      <c r="E3">
        <f>(D3+D4)/2</f>
        <v>1.2044499999999991</v>
      </c>
      <c r="F3">
        <v>70</v>
      </c>
      <c r="G3">
        <v>7381</v>
      </c>
      <c r="H3">
        <f>E3*F3</f>
        <v>84.311499999999938</v>
      </c>
      <c r="I3">
        <f t="shared" ref="I3:I22" si="0">I4+H3</f>
        <v>622.68743749999919</v>
      </c>
      <c r="J3">
        <f t="shared" ref="J3:J23" si="1">(I3/G3)*1000</f>
        <v>84.363560154450511</v>
      </c>
    </row>
    <row r="4" spans="1:15" x14ac:dyDescent="0.25">
      <c r="A4">
        <v>10</v>
      </c>
      <c r="B4" s="3">
        <v>5.3649571428571425</v>
      </c>
      <c r="C4" s="3">
        <v>9.7496678571428568</v>
      </c>
      <c r="D4">
        <f t="shared" ref="D4:D36" si="2">C4-B4</f>
        <v>4.3847107142857142</v>
      </c>
      <c r="E4">
        <f t="shared" ref="E4:E36" si="3">(D4+D5)/2</f>
        <v>3.7176767857142856</v>
      </c>
      <c r="F4">
        <v>70</v>
      </c>
      <c r="G4">
        <v>7338</v>
      </c>
      <c r="H4">
        <f t="shared" ref="H4:H36" si="4">E4*F4</f>
        <v>260.23737499999999</v>
      </c>
      <c r="I4">
        <f t="shared" si="0"/>
        <v>538.37593749999928</v>
      </c>
      <c r="J4">
        <f t="shared" si="1"/>
        <v>73.368211706186869</v>
      </c>
      <c r="K4">
        <f>(B5-B3)/(A5-A3)</f>
        <v>-0.47478285714285706</v>
      </c>
      <c r="L4">
        <f>(C5-C3)/(A5-A3)</f>
        <v>-0.22346017857142844</v>
      </c>
      <c r="M4">
        <f>(K4+L4)/2</f>
        <v>-0.34912151785714274</v>
      </c>
      <c r="N4">
        <f>-J4/(M4*86400*$L$1)</f>
        <v>4.6184563655251112E-5</v>
      </c>
      <c r="O4" s="3">
        <f>N4*10000</f>
        <v>0.4618456365525111</v>
      </c>
    </row>
    <row r="5" spans="1:15" x14ac:dyDescent="0.25">
      <c r="A5">
        <v>20</v>
      </c>
      <c r="B5" s="3">
        <v>4.169657142857143</v>
      </c>
      <c r="C5" s="3">
        <v>7.2202999999999999</v>
      </c>
      <c r="D5">
        <f t="shared" si="2"/>
        <v>3.050642857142857</v>
      </c>
      <c r="E5">
        <f t="shared" si="3"/>
        <v>2.0909071428571431</v>
      </c>
      <c r="F5">
        <v>70</v>
      </c>
      <c r="G5">
        <v>7252</v>
      </c>
      <c r="H5">
        <f t="shared" si="4"/>
        <v>146.36350000000002</v>
      </c>
      <c r="I5">
        <f t="shared" si="0"/>
        <v>278.13856249999935</v>
      </c>
      <c r="J5">
        <f t="shared" si="1"/>
        <v>38.353359418091472</v>
      </c>
      <c r="K5">
        <f t="shared" ref="K5:K36" si="5">(B6-B4)/(A6-A4)</f>
        <v>-6.72992857142857E-2</v>
      </c>
      <c r="L5">
        <f t="shared" ref="L5:L36" si="6">(C6-C4)/(A6-A4)</f>
        <v>-0.22997624999999994</v>
      </c>
      <c r="M5">
        <f t="shared" ref="M5:M36" si="7">(K5+L5)/2</f>
        <v>-0.14863776785714283</v>
      </c>
      <c r="N5">
        <f t="shared" ref="N5:N36" si="8">-J5/(M5*86400*$L$1)</f>
        <v>5.6707403692115934E-5</v>
      </c>
      <c r="O5" s="3">
        <f t="shared" ref="O5:O36" si="9">N5*10000</f>
        <v>0.56707403692115932</v>
      </c>
    </row>
    <row r="6" spans="1:15" x14ac:dyDescent="0.25">
      <c r="A6">
        <v>30</v>
      </c>
      <c r="B6" s="3">
        <v>4.0189714285714286</v>
      </c>
      <c r="C6" s="3">
        <v>5.1501428571428578</v>
      </c>
      <c r="D6">
        <f t="shared" si="2"/>
        <v>1.1311714285714292</v>
      </c>
      <c r="E6">
        <f t="shared" si="3"/>
        <v>0.79713214285714407</v>
      </c>
      <c r="F6">
        <v>70</v>
      </c>
      <c r="G6">
        <v>7218</v>
      </c>
      <c r="H6">
        <f t="shared" si="4"/>
        <v>55.799250000000086</v>
      </c>
      <c r="I6">
        <f t="shared" si="0"/>
        <v>131.77506249999931</v>
      </c>
      <c r="J6">
        <f t="shared" si="1"/>
        <v>18.256450886672113</v>
      </c>
      <c r="K6">
        <f t="shared" si="5"/>
        <v>-1.0141428571428589E-2</v>
      </c>
      <c r="L6">
        <f t="shared" si="6"/>
        <v>-0.1395189285714285</v>
      </c>
      <c r="M6">
        <f t="shared" si="7"/>
        <v>-7.4830178571428541E-2</v>
      </c>
      <c r="N6">
        <f t="shared" si="8"/>
        <v>5.3617319673241747E-5</v>
      </c>
      <c r="O6" s="3">
        <f t="shared" si="9"/>
        <v>0.53617319673241748</v>
      </c>
    </row>
    <row r="7" spans="1:15" x14ac:dyDescent="0.25">
      <c r="A7">
        <v>40</v>
      </c>
      <c r="B7" s="3">
        <v>3.9668285714285711</v>
      </c>
      <c r="C7" s="3">
        <v>4.4299214285714301</v>
      </c>
      <c r="D7">
        <f t="shared" si="2"/>
        <v>0.46309285714285897</v>
      </c>
      <c r="E7">
        <f t="shared" si="3"/>
        <v>0.33756607142857242</v>
      </c>
      <c r="F7">
        <v>70</v>
      </c>
      <c r="G7">
        <v>7128.25</v>
      </c>
      <c r="H7">
        <f t="shared" si="4"/>
        <v>23.629625000000068</v>
      </c>
      <c r="I7">
        <f t="shared" si="0"/>
        <v>75.975812499999222</v>
      </c>
      <c r="J7">
        <f t="shared" si="1"/>
        <v>10.658410198856552</v>
      </c>
      <c r="K7">
        <f t="shared" si="5"/>
        <v>-4.2435714285714351E-3</v>
      </c>
      <c r="L7">
        <f t="shared" si="6"/>
        <v>-5.0200178571428597E-2</v>
      </c>
      <c r="M7">
        <f t="shared" si="7"/>
        <v>-2.7221875000000017E-2</v>
      </c>
      <c r="N7">
        <f t="shared" si="8"/>
        <v>8.6047830157544633E-5</v>
      </c>
      <c r="O7" s="3">
        <f t="shared" si="9"/>
        <v>0.86047830157544636</v>
      </c>
    </row>
    <row r="8" spans="1:15" x14ac:dyDescent="0.25">
      <c r="A8">
        <v>50</v>
      </c>
      <c r="B8" s="3">
        <v>3.9340999999999999</v>
      </c>
      <c r="C8" s="3">
        <v>4.1461392857142858</v>
      </c>
      <c r="D8">
        <f t="shared" si="2"/>
        <v>0.21203928571428587</v>
      </c>
      <c r="E8">
        <f t="shared" si="3"/>
        <v>0.15857678571428546</v>
      </c>
      <c r="F8">
        <v>65</v>
      </c>
      <c r="G8">
        <v>6875.5</v>
      </c>
      <c r="H8">
        <f t="shared" si="4"/>
        <v>10.307491071428554</v>
      </c>
      <c r="I8">
        <f t="shared" si="0"/>
        <v>52.346187499999147</v>
      </c>
      <c r="J8">
        <f t="shared" si="1"/>
        <v>7.6134372045668162</v>
      </c>
      <c r="K8">
        <f t="shared" si="5"/>
        <v>-2.7442857142856878E-3</v>
      </c>
      <c r="L8">
        <f t="shared" si="6"/>
        <v>-2.0643214285714383E-2</v>
      </c>
      <c r="M8">
        <f t="shared" si="7"/>
        <v>-1.1693750000000036E-2</v>
      </c>
      <c r="N8">
        <f t="shared" si="8"/>
        <v>1.4308446812602736E-4</v>
      </c>
      <c r="O8" s="3">
        <f t="shared" si="9"/>
        <v>1.4308446812602735</v>
      </c>
    </row>
    <row r="9" spans="1:15" x14ac:dyDescent="0.25">
      <c r="A9">
        <v>60</v>
      </c>
      <c r="B9" s="3">
        <v>3.9119428571428574</v>
      </c>
      <c r="C9" s="3">
        <v>4.0170571428571424</v>
      </c>
      <c r="D9">
        <f t="shared" si="2"/>
        <v>0.10511428571428505</v>
      </c>
      <c r="E9">
        <f t="shared" si="3"/>
        <v>8.6717857142856625E-2</v>
      </c>
      <c r="F9">
        <v>65</v>
      </c>
      <c r="G9">
        <v>6622.75</v>
      </c>
      <c r="H9">
        <f t="shared" si="4"/>
        <v>5.6366607142856804</v>
      </c>
      <c r="I9">
        <f>I10+H9</f>
        <v>42.038696428570596</v>
      </c>
      <c r="J9">
        <f>(I9/G9)*1000</f>
        <v>6.3476194071300585</v>
      </c>
      <c r="K9">
        <f t="shared" si="5"/>
        <v>-2.0792857142857058E-3</v>
      </c>
      <c r="L9">
        <f t="shared" si="6"/>
        <v>-9.2651785714285891E-3</v>
      </c>
      <c r="M9">
        <f t="shared" si="7"/>
        <v>-5.6722321428571473E-3</v>
      </c>
      <c r="N9">
        <f t="shared" si="8"/>
        <v>2.4593617316569216E-4</v>
      </c>
      <c r="O9" s="3">
        <f>N9*10000</f>
        <v>2.4593617316569216</v>
      </c>
    </row>
    <row r="10" spans="1:15" x14ac:dyDescent="0.25">
      <c r="A10">
        <v>70</v>
      </c>
      <c r="B10" s="3">
        <v>3.8925142857142858</v>
      </c>
      <c r="C10" s="3">
        <v>3.960835714285714</v>
      </c>
      <c r="D10">
        <f t="shared" si="2"/>
        <v>6.83214285714282E-2</v>
      </c>
      <c r="E10">
        <f t="shared" si="3"/>
        <v>6.2610714285713742E-2</v>
      </c>
      <c r="F10">
        <v>65</v>
      </c>
      <c r="G10">
        <v>6370</v>
      </c>
      <c r="H10">
        <f>E10*F10</f>
        <v>4.069696428571393</v>
      </c>
      <c r="I10">
        <f t="shared" si="0"/>
        <v>36.402035714284914</v>
      </c>
      <c r="J10">
        <f t="shared" si="1"/>
        <v>5.7146052926663913</v>
      </c>
      <c r="K10">
        <f t="shared" si="5"/>
        <v>-1.8692857142857289E-3</v>
      </c>
      <c r="L10">
        <f t="shared" si="6"/>
        <v>-4.2800000000000173E-3</v>
      </c>
      <c r="M10">
        <f t="shared" si="7"/>
        <v>-3.074642857142873E-3</v>
      </c>
      <c r="N10">
        <f t="shared" si="8"/>
        <v>4.0846710836010608E-4</v>
      </c>
      <c r="O10" s="3">
        <f t="shared" si="9"/>
        <v>4.0846710836010605</v>
      </c>
    </row>
    <row r="11" spans="1:15" x14ac:dyDescent="0.25">
      <c r="A11">
        <v>80</v>
      </c>
      <c r="B11" s="3">
        <v>3.8745571428571428</v>
      </c>
      <c r="C11" s="3">
        <v>3.9314571428571421</v>
      </c>
      <c r="D11">
        <f t="shared" si="2"/>
        <v>5.6899999999999284E-2</v>
      </c>
      <c r="E11">
        <f>(D11+D12)/2</f>
        <v>5.3546428571427329E-2</v>
      </c>
      <c r="F11">
        <v>65</v>
      </c>
      <c r="G11">
        <v>6223</v>
      </c>
      <c r="H11">
        <f t="shared" si="4"/>
        <v>3.4805178571427762</v>
      </c>
      <c r="I11">
        <f t="shared" si="0"/>
        <v>32.332339285713523</v>
      </c>
      <c r="J11">
        <f t="shared" si="1"/>
        <v>5.1956193613552184</v>
      </c>
      <c r="K11">
        <f t="shared" si="5"/>
        <v>-1.7942857142856817E-3</v>
      </c>
      <c r="L11">
        <f t="shared" si="6"/>
        <v>-2.7007142857143228E-3</v>
      </c>
      <c r="M11">
        <f t="shared" si="7"/>
        <v>-2.2475000000000021E-3</v>
      </c>
      <c r="N11">
        <f t="shared" si="8"/>
        <v>5.080461380677603E-4</v>
      </c>
      <c r="O11" s="3">
        <f t="shared" si="9"/>
        <v>5.0804613806776029</v>
      </c>
    </row>
    <row r="12" spans="1:15" x14ac:dyDescent="0.25">
      <c r="A12">
        <v>90</v>
      </c>
      <c r="B12" s="3">
        <v>3.8566285714285722</v>
      </c>
      <c r="C12" s="3">
        <v>3.9068214285714276</v>
      </c>
      <c r="D12">
        <f t="shared" si="2"/>
        <v>5.0192857142855374E-2</v>
      </c>
      <c r="E12">
        <f t="shared" si="3"/>
        <v>4.8732142857142557E-2</v>
      </c>
      <c r="F12">
        <v>65</v>
      </c>
      <c r="G12">
        <v>6076</v>
      </c>
      <c r="H12">
        <f t="shared" si="4"/>
        <v>3.167589285714266</v>
      </c>
      <c r="I12">
        <f t="shared" si="0"/>
        <v>28.851821428570744</v>
      </c>
      <c r="J12">
        <f t="shared" si="1"/>
        <v>4.7484893727074962</v>
      </c>
      <c r="K12">
        <f t="shared" si="5"/>
        <v>-1.8421428571428588E-3</v>
      </c>
      <c r="L12">
        <f t="shared" si="6"/>
        <v>-2.3235714285713359E-3</v>
      </c>
      <c r="M12">
        <f t="shared" si="7"/>
        <v>-2.0828571428570973E-3</v>
      </c>
      <c r="N12">
        <f t="shared" si="8"/>
        <v>5.0102744343145011E-4</v>
      </c>
      <c r="O12" s="3">
        <f t="shared" si="9"/>
        <v>5.0102744343145007</v>
      </c>
    </row>
    <row r="13" spans="1:15" x14ac:dyDescent="0.25">
      <c r="A13">
        <v>100</v>
      </c>
      <c r="B13" s="3">
        <v>3.8377142857142856</v>
      </c>
      <c r="C13" s="3">
        <v>3.8849857142857154</v>
      </c>
      <c r="D13">
        <f t="shared" si="2"/>
        <v>4.7271428571429741E-2</v>
      </c>
      <c r="E13">
        <f t="shared" si="3"/>
        <v>3.8826785714286771E-2</v>
      </c>
      <c r="F13">
        <v>315</v>
      </c>
      <c r="G13">
        <v>5919</v>
      </c>
      <c r="H13">
        <f t="shared" si="4"/>
        <v>12.230437500000333</v>
      </c>
      <c r="I13">
        <f t="shared" si="0"/>
        <v>25.68423214285648</v>
      </c>
      <c r="J13">
        <f t="shared" si="1"/>
        <v>4.3392857142856016</v>
      </c>
      <c r="K13">
        <f t="shared" si="5"/>
        <v>-1.6764285714285935E-3</v>
      </c>
      <c r="L13">
        <f t="shared" si="6"/>
        <v>-2.0066071428571199E-3</v>
      </c>
      <c r="M13">
        <f t="shared" si="7"/>
        <v>-1.8415178571428567E-3</v>
      </c>
      <c r="N13">
        <f t="shared" si="8"/>
        <v>5.1785460236158335E-4</v>
      </c>
      <c r="O13" s="3">
        <f t="shared" si="9"/>
        <v>5.1785460236158336</v>
      </c>
    </row>
    <row r="14" spans="1:15" x14ac:dyDescent="0.25">
      <c r="A14">
        <v>150</v>
      </c>
      <c r="B14" s="3">
        <v>3.7560428571428566</v>
      </c>
      <c r="C14" s="3">
        <v>3.7864250000000004</v>
      </c>
      <c r="D14">
        <f t="shared" si="2"/>
        <v>3.0382142857143801E-2</v>
      </c>
      <c r="E14">
        <f t="shared" si="3"/>
        <v>2.3700000000000054E-2</v>
      </c>
      <c r="F14">
        <v>311</v>
      </c>
      <c r="G14">
        <v>5762</v>
      </c>
      <c r="H14">
        <f t="shared" si="4"/>
        <v>7.3707000000000171</v>
      </c>
      <c r="I14">
        <f t="shared" si="0"/>
        <v>13.453794642856147</v>
      </c>
      <c r="J14">
        <f t="shared" si="1"/>
        <v>2.3349175013634409</v>
      </c>
      <c r="K14">
        <f t="shared" si="5"/>
        <v>-1.6092857142857176E-3</v>
      </c>
      <c r="L14">
        <f t="shared" si="6"/>
        <v>-1.9118214285714519E-3</v>
      </c>
      <c r="M14">
        <f t="shared" si="7"/>
        <v>-1.7605535714285848E-3</v>
      </c>
      <c r="N14">
        <f t="shared" si="8"/>
        <v>2.9146594846888961E-4</v>
      </c>
      <c r="O14" s="3">
        <f t="shared" si="9"/>
        <v>2.914659484688896</v>
      </c>
    </row>
    <row r="15" spans="1:15" x14ac:dyDescent="0.25">
      <c r="A15">
        <v>200</v>
      </c>
      <c r="B15" s="3">
        <v>3.6767857142857139</v>
      </c>
      <c r="C15" s="3">
        <v>3.6938035714285702</v>
      </c>
      <c r="D15">
        <f t="shared" si="2"/>
        <v>1.7017857142856307E-2</v>
      </c>
      <c r="E15">
        <f t="shared" si="3"/>
        <v>1.6541071428570975E-2</v>
      </c>
      <c r="F15">
        <v>305</v>
      </c>
      <c r="G15">
        <v>5461</v>
      </c>
      <c r="H15">
        <f t="shared" si="4"/>
        <v>5.0450267857141471</v>
      </c>
      <c r="I15">
        <f t="shared" si="0"/>
        <v>6.0830946428561301</v>
      </c>
      <c r="J15">
        <f t="shared" si="1"/>
        <v>1.1139158840608185</v>
      </c>
      <c r="K15">
        <f t="shared" si="5"/>
        <v>-1.4634285714285643E-3</v>
      </c>
      <c r="L15">
        <f t="shared" si="6"/>
        <v>-1.6066071428571459E-3</v>
      </c>
      <c r="M15">
        <f t="shared" si="7"/>
        <v>-1.535017857142855E-3</v>
      </c>
      <c r="N15">
        <f t="shared" si="8"/>
        <v>1.5947936328990149E-4</v>
      </c>
      <c r="O15" s="3">
        <f t="shared" si="9"/>
        <v>1.5947936328990149</v>
      </c>
    </row>
    <row r="16" spans="1:15" x14ac:dyDescent="0.25">
      <c r="A16">
        <v>250</v>
      </c>
      <c r="B16" s="3">
        <v>3.6097000000000001</v>
      </c>
      <c r="C16" s="3">
        <v>3.6257642857142858</v>
      </c>
      <c r="D16">
        <f t="shared" si="2"/>
        <v>1.6064285714285642E-2</v>
      </c>
      <c r="E16">
        <f t="shared" si="3"/>
        <v>1.1860714285713447E-2</v>
      </c>
      <c r="F16">
        <v>298</v>
      </c>
      <c r="G16">
        <v>5186</v>
      </c>
      <c r="H16">
        <f t="shared" si="4"/>
        <v>3.5344928571426073</v>
      </c>
      <c r="I16">
        <f t="shared" si="0"/>
        <v>1.0380678571419826</v>
      </c>
      <c r="J16">
        <f t="shared" si="1"/>
        <v>0.20016734615155854</v>
      </c>
      <c r="K16">
        <f t="shared" si="5"/>
        <v>-1.0854285714285573E-3</v>
      </c>
      <c r="L16">
        <f t="shared" si="6"/>
        <v>-1.1790357142857078E-3</v>
      </c>
      <c r="M16">
        <f t="shared" si="7"/>
        <v>-1.1322321428571325E-3</v>
      </c>
      <c r="N16">
        <f t="shared" si="8"/>
        <v>3.8852885630520011E-5</v>
      </c>
      <c r="O16" s="3">
        <f t="shared" si="9"/>
        <v>0.38852885630520012</v>
      </c>
    </row>
    <row r="17" spans="1:15" x14ac:dyDescent="0.25">
      <c r="A17">
        <v>300</v>
      </c>
      <c r="B17" s="3">
        <v>3.5682428571428582</v>
      </c>
      <c r="C17" s="3">
        <v>3.5758999999999994</v>
      </c>
      <c r="D17">
        <f t="shared" si="2"/>
        <v>7.6571428571412525E-3</v>
      </c>
      <c r="E17">
        <f t="shared" si="3"/>
        <v>3.701785714284922E-3</v>
      </c>
      <c r="F17">
        <v>289</v>
      </c>
      <c r="G17">
        <v>4893</v>
      </c>
      <c r="H17">
        <f t="shared" si="4"/>
        <v>1.0698160714283425</v>
      </c>
      <c r="I17">
        <f t="shared" si="0"/>
        <v>-2.4964250000006247</v>
      </c>
      <c r="J17">
        <f t="shared" si="1"/>
        <v>-0.51020335172708453</v>
      </c>
      <c r="K17">
        <f t="shared" si="5"/>
        <v>-7.138571428571439E-4</v>
      </c>
      <c r="L17">
        <f t="shared" si="6"/>
        <v>-8.7703571428571431E-4</v>
      </c>
      <c r="M17">
        <f t="shared" si="7"/>
        <v>-7.9544642857142911E-4</v>
      </c>
      <c r="N17">
        <f t="shared" si="8"/>
        <v>-1.4096065183825823E-4</v>
      </c>
      <c r="O17" s="3">
        <f t="shared" si="9"/>
        <v>-1.4096065183825823</v>
      </c>
    </row>
    <row r="18" spans="1:15" x14ac:dyDescent="0.25">
      <c r="A18">
        <v>350</v>
      </c>
      <c r="B18" s="3">
        <v>3.5383142857142857</v>
      </c>
      <c r="C18" s="3">
        <v>3.5380607142857143</v>
      </c>
      <c r="D18">
        <f t="shared" si="2"/>
        <v>-2.5357142857140857E-4</v>
      </c>
      <c r="E18">
        <f t="shared" si="3"/>
        <v>-3.6071428571449182E-4</v>
      </c>
      <c r="F18">
        <v>284</v>
      </c>
      <c r="G18">
        <v>4615</v>
      </c>
      <c r="H18">
        <f t="shared" si="4"/>
        <v>-0.10244285714291568</v>
      </c>
      <c r="I18">
        <f t="shared" si="0"/>
        <v>-3.5662410714289674</v>
      </c>
      <c r="J18">
        <f t="shared" si="1"/>
        <v>-0.77274996130638518</v>
      </c>
      <c r="K18">
        <f t="shared" si="5"/>
        <v>-5.7514285714286737E-4</v>
      </c>
      <c r="L18">
        <f t="shared" si="6"/>
        <v>-6.5639285714285572E-4</v>
      </c>
      <c r="M18">
        <f t="shared" si="7"/>
        <v>-6.157678571428616E-4</v>
      </c>
      <c r="N18">
        <f t="shared" si="8"/>
        <v>-2.7579570916827316E-4</v>
      </c>
      <c r="O18" s="3">
        <f t="shared" si="9"/>
        <v>-2.7579570916827314</v>
      </c>
    </row>
    <row r="19" spans="1:15" x14ac:dyDescent="0.25">
      <c r="A19">
        <v>400</v>
      </c>
      <c r="B19" s="3">
        <v>3.5107285714285714</v>
      </c>
      <c r="C19" s="3">
        <v>3.5102607142857138</v>
      </c>
      <c r="D19">
        <f t="shared" si="2"/>
        <v>-4.6785714285757507E-4</v>
      </c>
      <c r="E19">
        <f t="shared" si="3"/>
        <v>-1.651785714286147E-3</v>
      </c>
      <c r="F19">
        <v>279</v>
      </c>
      <c r="G19">
        <v>4306</v>
      </c>
      <c r="H19">
        <f t="shared" si="4"/>
        <v>-0.460848214285835</v>
      </c>
      <c r="I19">
        <f t="shared" si="0"/>
        <v>-3.4637982142860517</v>
      </c>
      <c r="J19">
        <f t="shared" si="1"/>
        <v>-0.80441203304367193</v>
      </c>
      <c r="K19">
        <f t="shared" si="5"/>
        <v>-5.0671428571428037E-4</v>
      </c>
      <c r="L19">
        <f t="shared" si="6"/>
        <v>-5.3253571428571347E-4</v>
      </c>
      <c r="M19">
        <f t="shared" si="7"/>
        <v>-5.1962499999999687E-4</v>
      </c>
      <c r="N19">
        <f t="shared" si="8"/>
        <v>-3.4021546347332362E-4</v>
      </c>
      <c r="O19" s="3">
        <f t="shared" si="9"/>
        <v>-3.4021546347332361</v>
      </c>
    </row>
    <row r="20" spans="1:15" x14ac:dyDescent="0.25">
      <c r="A20">
        <v>450</v>
      </c>
      <c r="B20" s="3">
        <v>3.4876428571428577</v>
      </c>
      <c r="C20" s="3">
        <v>3.484807142857143</v>
      </c>
      <c r="D20">
        <f t="shared" si="2"/>
        <v>-2.8357142857147188E-3</v>
      </c>
      <c r="E20">
        <f t="shared" si="3"/>
        <v>-2.7785714285717411E-3</v>
      </c>
      <c r="F20">
        <v>271</v>
      </c>
      <c r="G20">
        <v>3966</v>
      </c>
      <c r="H20">
        <f t="shared" si="4"/>
        <v>-0.75299285714294184</v>
      </c>
      <c r="I20">
        <f t="shared" si="0"/>
        <v>-3.0029500000002165</v>
      </c>
      <c r="J20">
        <f t="shared" si="1"/>
        <v>-0.75717347453358963</v>
      </c>
      <c r="K20">
        <f t="shared" si="5"/>
        <v>-4.3685714285714107E-4</v>
      </c>
      <c r="L20">
        <f t="shared" si="6"/>
        <v>-4.5939285714285293E-4</v>
      </c>
      <c r="M20">
        <f t="shared" si="7"/>
        <v>-4.4812499999999703E-4</v>
      </c>
      <c r="N20">
        <f t="shared" si="8"/>
        <v>-3.7133146119003871E-4</v>
      </c>
      <c r="O20" s="3">
        <f t="shared" si="9"/>
        <v>-3.7133146119003873</v>
      </c>
    </row>
    <row r="21" spans="1:15" x14ac:dyDescent="0.25">
      <c r="A21">
        <v>500</v>
      </c>
      <c r="B21" s="3">
        <v>3.4670428571428573</v>
      </c>
      <c r="C21" s="3">
        <v>3.4643214285714286</v>
      </c>
      <c r="D21">
        <f t="shared" si="2"/>
        <v>-2.7214285714287634E-3</v>
      </c>
      <c r="E21">
        <f t="shared" si="3"/>
        <v>-2.1428571428572241E-3</v>
      </c>
      <c r="F21">
        <v>262</v>
      </c>
      <c r="G21">
        <v>3571</v>
      </c>
      <c r="H21">
        <f t="shared" si="4"/>
        <v>-0.5614285714285927</v>
      </c>
      <c r="I21">
        <f t="shared" si="0"/>
        <v>-2.2499571428572747</v>
      </c>
      <c r="J21">
        <f t="shared" si="1"/>
        <v>-0.63006360763295288</v>
      </c>
      <c r="K21">
        <f t="shared" si="5"/>
        <v>-3.8128571428571958E-4</v>
      </c>
      <c r="L21">
        <f t="shared" si="6"/>
        <v>-3.6857142857142921E-4</v>
      </c>
      <c r="M21">
        <f t="shared" si="7"/>
        <v>-3.7492857142857439E-4</v>
      </c>
      <c r="N21">
        <f t="shared" si="8"/>
        <v>-3.6931877533524971E-4</v>
      </c>
      <c r="O21" s="3">
        <f t="shared" si="9"/>
        <v>-3.6931877533524973</v>
      </c>
    </row>
    <row r="22" spans="1:15" x14ac:dyDescent="0.25">
      <c r="A22">
        <v>550</v>
      </c>
      <c r="B22" s="3">
        <v>3.4495142857142858</v>
      </c>
      <c r="C22" s="3">
        <v>3.4479500000000001</v>
      </c>
      <c r="D22">
        <f t="shared" si="2"/>
        <v>-1.5642857142856847E-3</v>
      </c>
      <c r="E22">
        <f t="shared" si="3"/>
        <v>-2.0500000000001073E-3</v>
      </c>
      <c r="F22">
        <v>251</v>
      </c>
      <c r="G22">
        <v>3239</v>
      </c>
      <c r="H22">
        <f t="shared" si="4"/>
        <v>-0.51455000000002693</v>
      </c>
      <c r="I22">
        <f t="shared" si="0"/>
        <v>-1.6885285714286817</v>
      </c>
      <c r="J22">
        <f t="shared" si="1"/>
        <v>-0.52131169232129715</v>
      </c>
      <c r="K22">
        <f t="shared" si="5"/>
        <v>-3.1371428571428604E-4</v>
      </c>
      <c r="L22">
        <f t="shared" si="6"/>
        <v>-3.1185714285714372E-4</v>
      </c>
      <c r="M22">
        <f t="shared" si="7"/>
        <v>-3.1278571428571488E-4</v>
      </c>
      <c r="N22">
        <f t="shared" si="8"/>
        <v>-3.6628242808126006E-4</v>
      </c>
      <c r="O22" s="3">
        <f t="shared" si="9"/>
        <v>-3.6628242808126004</v>
      </c>
    </row>
    <row r="23" spans="1:15" x14ac:dyDescent="0.25">
      <c r="A23">
        <v>600</v>
      </c>
      <c r="B23" s="3">
        <v>3.4356714285714287</v>
      </c>
      <c r="C23" s="3">
        <v>3.4331357142857142</v>
      </c>
      <c r="D23">
        <f t="shared" si="2"/>
        <v>-2.5357142857145298E-3</v>
      </c>
      <c r="E23">
        <f t="shared" si="3"/>
        <v>-2.894642857142804E-3</v>
      </c>
      <c r="F23">
        <v>240</v>
      </c>
      <c r="G23">
        <v>2767</v>
      </c>
      <c r="H23">
        <f t="shared" si="4"/>
        <v>-0.69471428571427296</v>
      </c>
      <c r="I23">
        <f>I24+H23</f>
        <v>-1.1739785714286548</v>
      </c>
      <c r="J23">
        <f t="shared" si="1"/>
        <v>-0.42427848624093056</v>
      </c>
      <c r="K23">
        <f t="shared" si="5"/>
        <v>-2.5514285714285824E-4</v>
      </c>
      <c r="L23">
        <f t="shared" si="6"/>
        <v>-2.7203571428571218E-4</v>
      </c>
      <c r="M23">
        <f t="shared" si="7"/>
        <v>-2.6358928571428518E-4</v>
      </c>
      <c r="N23">
        <f t="shared" si="8"/>
        <v>-3.5374375841664812E-4</v>
      </c>
      <c r="O23" s="3">
        <f t="shared" si="9"/>
        <v>-3.5374375841664811</v>
      </c>
    </row>
    <row r="24" spans="1:15" x14ac:dyDescent="0.25">
      <c r="A24">
        <v>650</v>
      </c>
      <c r="B24" s="3">
        <v>3.4239999999999999</v>
      </c>
      <c r="C24" s="3">
        <v>3.4207464285714289</v>
      </c>
      <c r="D24">
        <f t="shared" si="2"/>
        <v>-3.2535714285710782E-3</v>
      </c>
      <c r="E24">
        <f t="shared" si="3"/>
        <v>-2.0928571428575626E-3</v>
      </c>
      <c r="F24">
        <v>229</v>
      </c>
      <c r="G24">
        <v>2129</v>
      </c>
      <c r="H24">
        <f t="shared" si="4"/>
        <v>-0.47926428571438184</v>
      </c>
      <c r="I24">
        <f>H24</f>
        <v>-0.47926428571438184</v>
      </c>
      <c r="J24">
        <f>(I24/G24)*1000</f>
        <v>-0.22511239347786843</v>
      </c>
      <c r="K24">
        <f t="shared" si="5"/>
        <v>-2.3599999999999622E-4</v>
      </c>
      <c r="L24">
        <f t="shared" si="6"/>
        <v>-2.1996428571429137E-4</v>
      </c>
      <c r="M24">
        <f t="shared" si="7"/>
        <v>-2.2798214285714381E-4</v>
      </c>
      <c r="N24">
        <f t="shared" si="8"/>
        <v>-2.1700218285226148E-4</v>
      </c>
      <c r="O24" s="3">
        <f t="shared" si="9"/>
        <v>-2.1700218285226147</v>
      </c>
    </row>
    <row r="25" spans="1:15" x14ac:dyDescent="0.25">
      <c r="A25">
        <v>700</v>
      </c>
      <c r="B25" s="3">
        <v>3.4120714285714291</v>
      </c>
      <c r="C25" s="3">
        <v>3.411139285714285</v>
      </c>
      <c r="D25">
        <f t="shared" si="2"/>
        <v>-9.321428571440471E-4</v>
      </c>
      <c r="E25">
        <f t="shared" si="3"/>
        <v>-1.8964285714291318E-3</v>
      </c>
      <c r="F25" s="3">
        <v>216</v>
      </c>
      <c r="G25">
        <v>2130</v>
      </c>
      <c r="H25">
        <f t="shared" si="4"/>
        <v>-0.40962857142869247</v>
      </c>
      <c r="I25">
        <f t="shared" ref="I25:I36" si="10">H25</f>
        <v>-0.40962857142869247</v>
      </c>
      <c r="J25">
        <f t="shared" ref="J25:J36" si="11">(I25/G25)*1000</f>
        <v>-0.19231388329985563</v>
      </c>
      <c r="K25">
        <f t="shared" si="5"/>
        <v>-1.9228571428571152E-4</v>
      </c>
      <c r="L25">
        <f t="shared" si="6"/>
        <v>-1.8835714285714289E-4</v>
      </c>
      <c r="M25">
        <f t="shared" si="7"/>
        <v>-1.903214285714272E-4</v>
      </c>
      <c r="N25">
        <f t="shared" si="8"/>
        <v>-2.2206927609279677E-4</v>
      </c>
      <c r="O25" s="3">
        <f t="shared" si="9"/>
        <v>-2.2206927609279679</v>
      </c>
    </row>
    <row r="26" spans="1:15" x14ac:dyDescent="0.25">
      <c r="A26">
        <v>750</v>
      </c>
      <c r="B26" s="3">
        <v>3.4047714285714288</v>
      </c>
      <c r="C26" s="3">
        <v>3.4019107142857146</v>
      </c>
      <c r="D26">
        <f t="shared" si="2"/>
        <v>-2.8607142857142165E-3</v>
      </c>
      <c r="E26">
        <f t="shared" si="3"/>
        <v>-2.1500000000005404E-3</v>
      </c>
      <c r="F26" s="3">
        <v>205</v>
      </c>
      <c r="G26">
        <v>2131</v>
      </c>
      <c r="H26">
        <f t="shared" si="4"/>
        <v>-0.44075000000011078</v>
      </c>
      <c r="I26">
        <f t="shared" si="10"/>
        <v>-0.44075000000011078</v>
      </c>
      <c r="J26">
        <f t="shared" si="11"/>
        <v>-0.20682778038484786</v>
      </c>
      <c r="K26">
        <f t="shared" si="5"/>
        <v>-1.5414285714285825E-4</v>
      </c>
      <c r="L26">
        <f t="shared" si="6"/>
        <v>-1.5921428571428643E-4</v>
      </c>
      <c r="M26">
        <f t="shared" si="7"/>
        <v>-1.5667857142857234E-4</v>
      </c>
      <c r="N26">
        <f t="shared" si="8"/>
        <v>-2.9011140109444196E-4</v>
      </c>
      <c r="O26" s="3">
        <f t="shared" si="9"/>
        <v>-2.9011140109444198</v>
      </c>
    </row>
    <row r="27" spans="1:15" x14ac:dyDescent="0.25">
      <c r="A27">
        <v>800</v>
      </c>
      <c r="B27" s="3">
        <v>3.3966571428571433</v>
      </c>
      <c r="C27" s="3">
        <v>3.3952178571428564</v>
      </c>
      <c r="D27">
        <f t="shared" si="2"/>
        <v>-1.4392857142868642E-3</v>
      </c>
      <c r="E27">
        <f t="shared" si="3"/>
        <v>-1.9240384615388795E-3</v>
      </c>
      <c r="F27" s="3">
        <v>192</v>
      </c>
      <c r="G27">
        <v>2132</v>
      </c>
      <c r="H27">
        <f t="shared" si="4"/>
        <v>-0.36941538461546486</v>
      </c>
      <c r="I27">
        <f t="shared" si="10"/>
        <v>-0.36941538461546486</v>
      </c>
      <c r="J27">
        <f t="shared" si="11"/>
        <v>-0.17327175638624054</v>
      </c>
      <c r="K27">
        <f t="shared" si="5"/>
        <v>-1.4485714285714658E-4</v>
      </c>
      <c r="L27">
        <f t="shared" si="6"/>
        <v>-1.4033791208791334E-4</v>
      </c>
      <c r="M27">
        <f t="shared" si="7"/>
        <v>-1.4259752747252996E-4</v>
      </c>
      <c r="N27">
        <f t="shared" si="8"/>
        <v>-2.6704306913048168E-4</v>
      </c>
      <c r="O27" s="3">
        <f t="shared" si="9"/>
        <v>-2.6704306913048166</v>
      </c>
    </row>
    <row r="28" spans="1:15" x14ac:dyDescent="0.25">
      <c r="A28">
        <v>850</v>
      </c>
      <c r="B28" s="3">
        <v>3.3902857142857141</v>
      </c>
      <c r="C28" s="3">
        <v>3.3878769230769232</v>
      </c>
      <c r="D28">
        <f t="shared" si="2"/>
        <v>-2.4087912087908947E-3</v>
      </c>
      <c r="E28">
        <f t="shared" si="3"/>
        <v>-2.1165750915752568E-3</v>
      </c>
      <c r="F28" s="3">
        <v>181</v>
      </c>
      <c r="G28">
        <v>2133</v>
      </c>
      <c r="H28">
        <f t="shared" si="4"/>
        <v>-0.38310009157512148</v>
      </c>
      <c r="I28">
        <f t="shared" si="10"/>
        <v>-0.38310009157512148</v>
      </c>
      <c r="J28">
        <f t="shared" si="11"/>
        <v>-0.17960623139949436</v>
      </c>
      <c r="K28">
        <f t="shared" si="5"/>
        <v>-1.2940476190476336E-4</v>
      </c>
      <c r="L28">
        <f t="shared" si="6"/>
        <v>-1.332554945054909E-4</v>
      </c>
      <c r="M28">
        <f t="shared" si="7"/>
        <v>-1.3133012820512713E-4</v>
      </c>
      <c r="N28">
        <f t="shared" si="8"/>
        <v>-3.0055403332330616E-4</v>
      </c>
      <c r="O28" s="3">
        <f t="shared" si="9"/>
        <v>-3.0055403332330615</v>
      </c>
    </row>
    <row r="29" spans="1:15" x14ac:dyDescent="0.25">
      <c r="A29">
        <v>900</v>
      </c>
      <c r="B29" s="3">
        <v>3.3837166666666669</v>
      </c>
      <c r="C29" s="3">
        <v>3.3818923076923073</v>
      </c>
      <c r="D29">
        <f t="shared" si="2"/>
        <v>-1.8243589743596189E-3</v>
      </c>
      <c r="E29">
        <f t="shared" si="3"/>
        <v>-1.775641025641761E-3</v>
      </c>
      <c r="F29" s="3">
        <v>177</v>
      </c>
      <c r="G29">
        <v>2134</v>
      </c>
      <c r="H29">
        <f t="shared" si="4"/>
        <v>-0.31428846153859169</v>
      </c>
      <c r="I29">
        <f t="shared" si="10"/>
        <v>-0.31428846153859169</v>
      </c>
      <c r="J29">
        <f t="shared" si="11"/>
        <v>-0.14727669237984614</v>
      </c>
      <c r="K29">
        <f t="shared" si="5"/>
        <v>-1.2185714285713801E-4</v>
      </c>
      <c r="L29">
        <f t="shared" si="6"/>
        <v>-1.1503846153846808E-4</v>
      </c>
      <c r="M29">
        <f t="shared" si="7"/>
        <v>-1.1844780219780304E-4</v>
      </c>
      <c r="N29">
        <f t="shared" si="8"/>
        <v>-2.7325778488790874E-4</v>
      </c>
      <c r="O29" s="3">
        <f t="shared" si="9"/>
        <v>-2.7325778488790875</v>
      </c>
    </row>
    <row r="30" spans="1:15" x14ac:dyDescent="0.25">
      <c r="A30">
        <v>950</v>
      </c>
      <c r="B30" s="3">
        <v>3.3781000000000003</v>
      </c>
      <c r="C30" s="3">
        <v>3.3763730769230764</v>
      </c>
      <c r="D30">
        <f t="shared" si="2"/>
        <v>-1.726923076923903E-3</v>
      </c>
      <c r="E30">
        <f t="shared" si="3"/>
        <v>-1.5688782051288541E-3</v>
      </c>
      <c r="F30" s="3">
        <v>172</v>
      </c>
      <c r="G30">
        <v>2135</v>
      </c>
      <c r="H30">
        <f t="shared" si="4"/>
        <v>-0.26984705128216291</v>
      </c>
      <c r="I30">
        <f t="shared" si="10"/>
        <v>-0.26984705128216291</v>
      </c>
      <c r="J30">
        <f t="shared" si="11"/>
        <v>-0.12639206149047444</v>
      </c>
      <c r="K30">
        <f t="shared" si="5"/>
        <v>-1.0076666666666511E-4</v>
      </c>
      <c r="L30">
        <f t="shared" si="6"/>
        <v>-9.6631410256406975E-5</v>
      </c>
      <c r="M30">
        <f t="shared" si="7"/>
        <v>-9.8699038461536037E-5</v>
      </c>
      <c r="N30">
        <f t="shared" si="8"/>
        <v>-2.8143130461704498E-4</v>
      </c>
      <c r="O30" s="3">
        <f t="shared" si="9"/>
        <v>-2.81431304617045</v>
      </c>
    </row>
    <row r="31" spans="1:15" x14ac:dyDescent="0.25">
      <c r="A31">
        <v>1000</v>
      </c>
      <c r="B31" s="3">
        <v>3.3736400000000004</v>
      </c>
      <c r="C31" s="3">
        <v>3.3722291666666666</v>
      </c>
      <c r="D31">
        <f t="shared" si="2"/>
        <v>-1.4108333333338052E-3</v>
      </c>
      <c r="E31">
        <f t="shared" si="3"/>
        <v>-8.736775362321314E-4</v>
      </c>
      <c r="F31" s="3">
        <v>167</v>
      </c>
      <c r="G31">
        <v>2136</v>
      </c>
      <c r="H31">
        <f t="shared" si="4"/>
        <v>-0.14590414855076594</v>
      </c>
      <c r="I31">
        <f t="shared" si="10"/>
        <v>-0.14590414855076594</v>
      </c>
      <c r="J31">
        <f t="shared" si="11"/>
        <v>-6.830718565110766E-2</v>
      </c>
      <c r="K31">
        <f t="shared" si="5"/>
        <v>-9.5200000000001948E-5</v>
      </c>
      <c r="L31">
        <f t="shared" si="6"/>
        <v>-8.1295986622067492E-5</v>
      </c>
      <c r="M31">
        <f t="shared" si="7"/>
        <v>-8.8247993311034727E-5</v>
      </c>
      <c r="N31">
        <f t="shared" si="8"/>
        <v>-1.7010891784754008E-4</v>
      </c>
      <c r="O31" s="3">
        <f t="shared" si="9"/>
        <v>-1.7010891784754008</v>
      </c>
    </row>
    <row r="32" spans="1:15" x14ac:dyDescent="0.25">
      <c r="A32">
        <v>1050</v>
      </c>
      <c r="B32" s="3">
        <v>3.3685800000000001</v>
      </c>
      <c r="C32" s="3">
        <v>3.3682434782608697</v>
      </c>
      <c r="D32">
        <f t="shared" si="2"/>
        <v>-3.3652173913045758E-4</v>
      </c>
      <c r="E32">
        <f t="shared" si="3"/>
        <v>-1.4695652173912777E-4</v>
      </c>
      <c r="F32" s="3">
        <v>160</v>
      </c>
      <c r="G32">
        <v>2137</v>
      </c>
      <c r="H32">
        <f t="shared" si="4"/>
        <v>-2.3513043478260442E-2</v>
      </c>
      <c r="I32">
        <f t="shared" si="10"/>
        <v>-2.3513043478260442E-2</v>
      </c>
      <c r="J32">
        <f t="shared" si="11"/>
        <v>-1.1002828019775592E-2</v>
      </c>
      <c r="K32">
        <f t="shared" si="5"/>
        <v>-8.4000000000004075E-5</v>
      </c>
      <c r="L32">
        <f t="shared" si="6"/>
        <v>-6.9465579710143997E-5</v>
      </c>
      <c r="M32">
        <f t="shared" si="7"/>
        <v>-7.6732789855074043E-5</v>
      </c>
      <c r="N32">
        <f t="shared" si="8"/>
        <v>-3.151293578285796E-5</v>
      </c>
      <c r="O32" s="3">
        <f t="shared" si="9"/>
        <v>-0.31512935782857959</v>
      </c>
    </row>
    <row r="33" spans="1:15" x14ac:dyDescent="0.25">
      <c r="A33">
        <v>1100</v>
      </c>
      <c r="B33" s="3">
        <v>3.36524</v>
      </c>
      <c r="C33" s="3">
        <v>3.3652826086956522</v>
      </c>
      <c r="D33">
        <f t="shared" si="2"/>
        <v>4.2608695652202044E-5</v>
      </c>
      <c r="E33">
        <f t="shared" si="3"/>
        <v>1.0903162055297955E-4</v>
      </c>
      <c r="F33" s="3">
        <v>151</v>
      </c>
      <c r="G33">
        <v>2138</v>
      </c>
      <c r="H33">
        <f t="shared" si="4"/>
        <v>1.6463774703499912E-2</v>
      </c>
      <c r="I33">
        <f t="shared" si="10"/>
        <v>1.6463774703499912E-2</v>
      </c>
      <c r="J33">
        <f t="shared" si="11"/>
        <v>7.7005494403647847E-3</v>
      </c>
      <c r="K33">
        <f t="shared" si="5"/>
        <v>-6.8599999999996436E-5</v>
      </c>
      <c r="L33">
        <f t="shared" si="6"/>
        <v>-6.3480237154154301E-5</v>
      </c>
      <c r="M33">
        <f t="shared" si="7"/>
        <v>-6.6040118577075362E-5</v>
      </c>
      <c r="N33">
        <f t="shared" si="8"/>
        <v>2.5625915954156854E-5</v>
      </c>
      <c r="O33" s="3">
        <f t="shared" si="9"/>
        <v>0.25625915954156853</v>
      </c>
    </row>
    <row r="34" spans="1:15" x14ac:dyDescent="0.25">
      <c r="A34">
        <v>1150</v>
      </c>
      <c r="B34" s="3">
        <v>3.3617200000000005</v>
      </c>
      <c r="C34" s="3">
        <v>3.3618954545454542</v>
      </c>
      <c r="D34">
        <f t="shared" si="2"/>
        <v>1.7545454545375705E-4</v>
      </c>
      <c r="E34">
        <f t="shared" si="3"/>
        <v>2.801082251082665E-4</v>
      </c>
      <c r="F34" s="3">
        <v>145</v>
      </c>
      <c r="G34">
        <v>2139</v>
      </c>
      <c r="H34">
        <f t="shared" si="4"/>
        <v>4.0615692640698642E-2</v>
      </c>
      <c r="I34">
        <f t="shared" si="10"/>
        <v>4.0615692640698642E-2</v>
      </c>
      <c r="J34">
        <f t="shared" si="11"/>
        <v>1.8988168602477158E-2</v>
      </c>
      <c r="K34">
        <f t="shared" si="5"/>
        <v>-6.1200000000001257E-5</v>
      </c>
      <c r="L34">
        <f t="shared" si="6"/>
        <v>-5.7778467908895516E-5</v>
      </c>
      <c r="M34">
        <f t="shared" si="7"/>
        <v>-5.9489233954448383E-5</v>
      </c>
      <c r="N34">
        <f t="shared" si="8"/>
        <v>7.0147182344167493E-5</v>
      </c>
      <c r="O34" s="3">
        <f t="shared" si="9"/>
        <v>0.70147182344167491</v>
      </c>
    </row>
    <row r="35" spans="1:15" x14ac:dyDescent="0.25">
      <c r="A35">
        <v>1200</v>
      </c>
      <c r="B35" s="3">
        <v>3.3591199999999999</v>
      </c>
      <c r="C35" s="3">
        <v>3.3595047619047627</v>
      </c>
      <c r="D35">
        <f t="shared" si="2"/>
        <v>3.8476190476277594E-4</v>
      </c>
      <c r="E35">
        <f t="shared" si="3"/>
        <v>4.483020050127795E-4</v>
      </c>
      <c r="F35" s="3">
        <v>137</v>
      </c>
      <c r="G35">
        <v>2140</v>
      </c>
      <c r="H35">
        <f t="shared" si="4"/>
        <v>6.1417374686750792E-2</v>
      </c>
      <c r="I35">
        <f t="shared" si="10"/>
        <v>6.1417374686750792E-2</v>
      </c>
      <c r="J35">
        <f t="shared" si="11"/>
        <v>2.8699707797547099E-2</v>
      </c>
      <c r="K35">
        <f t="shared" si="5"/>
        <v>-5.1950000000005051E-5</v>
      </c>
      <c r="L35">
        <f t="shared" si="6"/>
        <v>-4.8586124401914787E-5</v>
      </c>
      <c r="M35">
        <f t="shared" si="7"/>
        <v>-5.0268062200959919E-5</v>
      </c>
      <c r="N35">
        <f t="shared" si="8"/>
        <v>1.2547316688824714E-4</v>
      </c>
      <c r="O35" s="3">
        <f t="shared" si="9"/>
        <v>1.2547316688824715</v>
      </c>
    </row>
    <row r="36" spans="1:15" x14ac:dyDescent="0.25">
      <c r="A36">
        <v>1250</v>
      </c>
      <c r="B36" s="3">
        <v>3.356525</v>
      </c>
      <c r="C36" s="3">
        <v>3.3570368421052628</v>
      </c>
      <c r="D36">
        <f t="shared" si="2"/>
        <v>5.1184210526278306E-4</v>
      </c>
      <c r="E36">
        <f t="shared" si="3"/>
        <v>2.5592105263139153E-4</v>
      </c>
      <c r="F36" s="3">
        <v>124</v>
      </c>
      <c r="G36">
        <v>2141</v>
      </c>
      <c r="H36">
        <f t="shared" si="4"/>
        <v>3.173421052629255E-2</v>
      </c>
      <c r="I36">
        <f t="shared" si="10"/>
        <v>3.173421052629255E-2</v>
      </c>
      <c r="J36">
        <f t="shared" si="11"/>
        <v>1.4822144103826507E-2</v>
      </c>
      <c r="K36">
        <f t="shared" si="5"/>
        <v>-2.0699999999997942E-5</v>
      </c>
      <c r="L36">
        <f t="shared" si="6"/>
        <v>-4.9735119047626951E-5</v>
      </c>
      <c r="M36">
        <f t="shared" si="7"/>
        <v>-3.5217559523812446E-5</v>
      </c>
      <c r="N36">
        <f t="shared" si="8"/>
        <v>9.2494796714226235E-5</v>
      </c>
      <c r="O36" s="3">
        <f t="shared" si="9"/>
        <v>0.92494796714226235</v>
      </c>
    </row>
    <row r="37" spans="1:15" x14ac:dyDescent="0.25">
      <c r="A37">
        <v>1300</v>
      </c>
      <c r="B37" s="3">
        <v>3.3570500000000001</v>
      </c>
      <c r="C37" s="3">
        <v>3.35453125</v>
      </c>
      <c r="F37" s="3">
        <v>101</v>
      </c>
      <c r="O37" s="3"/>
    </row>
    <row r="38" spans="1:15" x14ac:dyDescent="0.25">
      <c r="B38" s="3"/>
      <c r="C38" s="3"/>
      <c r="F38" s="3">
        <v>67</v>
      </c>
      <c r="O38" s="3"/>
    </row>
    <row r="39" spans="1:15" x14ac:dyDescent="0.25">
      <c r="B39" s="3"/>
      <c r="C39" s="3"/>
      <c r="F39" s="3">
        <v>25.9</v>
      </c>
      <c r="O39" s="3"/>
    </row>
    <row r="40" spans="1:15" x14ac:dyDescent="0.25">
      <c r="B40" s="3"/>
      <c r="C40" s="3"/>
      <c r="D40" s="8"/>
      <c r="E40" s="8"/>
      <c r="F40" s="3"/>
      <c r="G40" s="9"/>
      <c r="O40" s="3"/>
    </row>
    <row r="41" spans="1:15" x14ac:dyDescent="0.25">
      <c r="B41" s="3"/>
      <c r="C41" s="3"/>
      <c r="D41" s="8"/>
      <c r="E41" s="8"/>
      <c r="F41" s="3"/>
      <c r="G41" s="9"/>
      <c r="O41" s="3"/>
    </row>
    <row r="42" spans="1:15" x14ac:dyDescent="0.25">
      <c r="B42" s="3"/>
      <c r="C42" s="3"/>
      <c r="D42" s="8"/>
      <c r="E42" s="8"/>
      <c r="F42" s="3"/>
      <c r="G42" s="9"/>
      <c r="O42" s="3"/>
    </row>
    <row r="43" spans="1:15" x14ac:dyDescent="0.25">
      <c r="B43" s="3"/>
      <c r="C43" s="3"/>
      <c r="D43" s="8"/>
      <c r="E43" s="8"/>
      <c r="F43" s="3"/>
      <c r="G43" s="9"/>
      <c r="O43" s="3"/>
    </row>
    <row r="44" spans="1:15" x14ac:dyDescent="0.25">
      <c r="B44" s="3"/>
      <c r="C44" s="3"/>
      <c r="D44" s="8"/>
      <c r="E44" s="8"/>
      <c r="F44" s="3"/>
      <c r="G44" s="9"/>
      <c r="O44" s="3"/>
    </row>
    <row r="45" spans="1:15" x14ac:dyDescent="0.25">
      <c r="B45" s="3"/>
      <c r="C45" s="3"/>
      <c r="D45" s="8"/>
      <c r="E45" s="8"/>
      <c r="F45" s="3"/>
      <c r="G45" s="9"/>
      <c r="O45" s="3"/>
    </row>
    <row r="46" spans="1:15" x14ac:dyDescent="0.25">
      <c r="B46" s="3"/>
      <c r="C46" s="3"/>
      <c r="D46" s="8"/>
      <c r="E46" s="8"/>
      <c r="F46" s="3"/>
      <c r="G46" s="9"/>
      <c r="O46" s="3"/>
    </row>
    <row r="47" spans="1:15" x14ac:dyDescent="0.25">
      <c r="B47" s="3"/>
      <c r="C47" s="3"/>
      <c r="D47" s="8"/>
      <c r="E47" s="8"/>
      <c r="F47" s="3"/>
      <c r="G47" s="9"/>
      <c r="O47" s="3"/>
    </row>
    <row r="48" spans="1:15" x14ac:dyDescent="0.25">
      <c r="B48" s="3"/>
      <c r="C48" s="3"/>
      <c r="D48" s="8"/>
      <c r="E48" s="8"/>
      <c r="F48" s="3"/>
      <c r="G48" s="9"/>
      <c r="O48" s="3"/>
    </row>
    <row r="49" spans="2:15" x14ac:dyDescent="0.25">
      <c r="B49" s="3"/>
      <c r="C49" s="3"/>
      <c r="D49" s="8"/>
      <c r="E49" s="8"/>
      <c r="F49" s="3"/>
      <c r="G49" s="9"/>
      <c r="O49" s="3"/>
    </row>
    <row r="50" spans="2:15" x14ac:dyDescent="0.25">
      <c r="B50" s="3"/>
      <c r="C50" s="3"/>
      <c r="D50" s="8"/>
      <c r="E50" s="8"/>
      <c r="F50" s="3"/>
      <c r="G50" s="9"/>
      <c r="O50" s="3"/>
    </row>
    <row r="51" spans="2:15" x14ac:dyDescent="0.25">
      <c r="B51" s="3"/>
      <c r="C51" s="3"/>
      <c r="D51" s="8"/>
      <c r="E51" s="8"/>
      <c r="F51" s="3"/>
      <c r="G51" s="9"/>
      <c r="O51" s="3"/>
    </row>
    <row r="52" spans="2:15" x14ac:dyDescent="0.25">
      <c r="B52" s="3"/>
      <c r="C52" s="3"/>
      <c r="D52" s="8"/>
      <c r="E52" s="8"/>
      <c r="F52" s="3"/>
      <c r="O52" s="3"/>
    </row>
    <row r="53" spans="2:15" x14ac:dyDescent="0.25">
      <c r="B53" s="3"/>
      <c r="C53" s="3"/>
      <c r="D53" s="8"/>
      <c r="E53" s="8"/>
      <c r="F53" s="3"/>
      <c r="G53" s="9"/>
      <c r="O53" s="3"/>
    </row>
    <row r="54" spans="2:15" x14ac:dyDescent="0.25">
      <c r="B54" s="3"/>
      <c r="C54" s="3"/>
      <c r="D54" s="8"/>
      <c r="E54" s="8"/>
      <c r="F54" s="3"/>
      <c r="G54" s="9"/>
      <c r="O54" s="3"/>
    </row>
    <row r="55" spans="2:15" x14ac:dyDescent="0.25">
      <c r="B55" s="3"/>
      <c r="C55" s="3"/>
      <c r="D55" s="8"/>
      <c r="E55" s="8"/>
      <c r="F55" s="3"/>
      <c r="G55" s="9"/>
      <c r="O55" s="3"/>
    </row>
    <row r="56" spans="2:15" x14ac:dyDescent="0.25">
      <c r="B56" s="3"/>
      <c r="C56" s="3"/>
      <c r="D56" s="8"/>
      <c r="E56" s="8"/>
      <c r="F56" s="3"/>
      <c r="G56" s="9"/>
      <c r="O56" s="3"/>
    </row>
    <row r="57" spans="2:15" x14ac:dyDescent="0.25">
      <c r="B57" s="3"/>
      <c r="C57" s="3"/>
      <c r="D57" s="8"/>
      <c r="E57" s="8"/>
      <c r="F57" s="3"/>
      <c r="G57" s="9"/>
      <c r="O57" s="3"/>
    </row>
    <row r="58" spans="2:15" x14ac:dyDescent="0.25">
      <c r="B58" s="3"/>
      <c r="C58" s="3"/>
      <c r="D58" s="8"/>
      <c r="E58" s="8"/>
      <c r="F58" s="3"/>
      <c r="G58" s="9"/>
      <c r="O58" s="3"/>
    </row>
    <row r="59" spans="2:15" x14ac:dyDescent="0.25">
      <c r="B59" s="3"/>
      <c r="C59" s="3"/>
      <c r="D59" s="8"/>
      <c r="E59" s="8"/>
      <c r="F59" s="3"/>
      <c r="G59" s="9"/>
      <c r="O59" s="3"/>
    </row>
    <row r="60" spans="2:15" x14ac:dyDescent="0.25">
      <c r="B60" s="3"/>
      <c r="C60" s="3"/>
      <c r="D60" s="8"/>
      <c r="E60" s="8"/>
      <c r="F60" s="3"/>
      <c r="G60" s="9"/>
      <c r="O60" s="3"/>
    </row>
    <row r="61" spans="2:15" x14ac:dyDescent="0.25">
      <c r="B61" s="3"/>
      <c r="C61" s="3"/>
      <c r="D61" s="8"/>
      <c r="E61" s="8"/>
      <c r="F61" s="3"/>
      <c r="G61" s="9"/>
      <c r="O61" s="3"/>
    </row>
    <row r="62" spans="2:15" x14ac:dyDescent="0.25">
      <c r="B62" s="3"/>
      <c r="C62" s="3"/>
      <c r="D62" s="8"/>
      <c r="E62" s="8"/>
      <c r="F62" s="3"/>
      <c r="G62" s="9"/>
      <c r="O62" s="3"/>
    </row>
    <row r="63" spans="2:15" x14ac:dyDescent="0.25">
      <c r="B63" s="3"/>
      <c r="C63" s="3"/>
      <c r="D63" s="8"/>
      <c r="E63" s="8"/>
      <c r="F63" s="3"/>
      <c r="G63" s="9"/>
      <c r="O63" s="3"/>
    </row>
    <row r="64" spans="2:15" x14ac:dyDescent="0.25">
      <c r="B64" s="3"/>
      <c r="C64" s="3"/>
      <c r="D64" s="8"/>
      <c r="E64" s="8"/>
      <c r="F64" s="3"/>
      <c r="G64" s="9"/>
      <c r="O64" s="3"/>
    </row>
    <row r="65" spans="2:15" x14ac:dyDescent="0.25">
      <c r="B65" s="3"/>
      <c r="C65" s="3"/>
      <c r="D65" s="8"/>
      <c r="E65" s="8"/>
      <c r="F65" s="3"/>
      <c r="G65" s="9"/>
      <c r="O65" s="3"/>
    </row>
    <row r="66" spans="2:15" x14ac:dyDescent="0.25">
      <c r="B66" s="3"/>
      <c r="C66" s="3"/>
      <c r="D66" s="8"/>
      <c r="E66" s="8"/>
      <c r="F66" s="3"/>
      <c r="G66" s="9"/>
      <c r="O66" s="3"/>
    </row>
    <row r="67" spans="2:15" x14ac:dyDescent="0.25">
      <c r="B67" s="3"/>
      <c r="C67" s="3"/>
      <c r="D67" s="8"/>
      <c r="E67" s="8"/>
      <c r="F67" s="3"/>
      <c r="G67" s="9"/>
      <c r="O67" s="3"/>
    </row>
    <row r="68" spans="2:15" x14ac:dyDescent="0.25">
      <c r="B68" s="3"/>
      <c r="C68" s="3"/>
      <c r="D68" s="8"/>
      <c r="E68" s="8"/>
      <c r="F68" s="3"/>
      <c r="G68" s="9"/>
      <c r="O68" s="3"/>
    </row>
    <row r="69" spans="2:15" x14ac:dyDescent="0.25">
      <c r="B69" s="3"/>
      <c r="C69" s="3"/>
      <c r="D69" s="8"/>
      <c r="E69" s="8"/>
      <c r="F69" s="3"/>
      <c r="G69" s="9"/>
      <c r="O69" s="3"/>
    </row>
    <row r="70" spans="2:15" x14ac:dyDescent="0.25">
      <c r="B70" s="3"/>
      <c r="C70" s="3"/>
      <c r="D70" s="8"/>
      <c r="E70" s="8"/>
      <c r="F70" s="3"/>
      <c r="G70" s="9"/>
      <c r="O70" s="3"/>
    </row>
    <row r="71" spans="2:15" x14ac:dyDescent="0.25">
      <c r="B71" s="3"/>
      <c r="C71" s="3"/>
      <c r="D71" s="8"/>
      <c r="E71" s="8"/>
      <c r="F71" s="3"/>
      <c r="G71" s="9"/>
      <c r="O71" s="3"/>
    </row>
    <row r="72" spans="2:15" x14ac:dyDescent="0.25">
      <c r="B72" s="3"/>
      <c r="C72" s="3"/>
      <c r="D72" s="8"/>
      <c r="E72" s="8"/>
      <c r="F72" s="3"/>
      <c r="G72" s="9"/>
      <c r="O72" s="3"/>
    </row>
    <row r="73" spans="2:15" x14ac:dyDescent="0.25">
      <c r="B73" s="3"/>
      <c r="C73" s="3"/>
      <c r="D73" s="8"/>
      <c r="E73" s="8"/>
      <c r="F73" s="3"/>
      <c r="G73" s="9"/>
      <c r="O73" s="3"/>
    </row>
    <row r="74" spans="2:15" x14ac:dyDescent="0.25">
      <c r="B74" s="3"/>
      <c r="C74" s="3"/>
      <c r="D74" s="8"/>
      <c r="E74" s="8"/>
      <c r="F74" s="3"/>
      <c r="G74" s="9"/>
      <c r="O74" s="3"/>
    </row>
    <row r="75" spans="2:15" x14ac:dyDescent="0.25">
      <c r="B75" s="3"/>
      <c r="C75" s="3"/>
      <c r="D75" s="8"/>
      <c r="E75" s="8"/>
      <c r="F75" s="3"/>
      <c r="G75" s="9"/>
      <c r="O75" s="3"/>
    </row>
    <row r="76" spans="2:15" x14ac:dyDescent="0.25">
      <c r="B76" s="3"/>
      <c r="C76" s="3"/>
      <c r="D76" s="8"/>
      <c r="E76" s="8"/>
      <c r="F76" s="3"/>
      <c r="G76" s="9"/>
      <c r="O76" s="3"/>
    </row>
    <row r="77" spans="2:15" x14ac:dyDescent="0.25">
      <c r="B77" s="3"/>
      <c r="C77" s="3"/>
      <c r="D77" s="8"/>
      <c r="E77" s="8"/>
      <c r="F77" s="3"/>
      <c r="O77" s="3"/>
    </row>
    <row r="78" spans="2:15" x14ac:dyDescent="0.25">
      <c r="B78" s="3"/>
      <c r="C78" s="3"/>
      <c r="D78" s="8"/>
      <c r="E78" s="8"/>
      <c r="F78" s="3"/>
      <c r="G78" s="9"/>
      <c r="O78" s="3"/>
    </row>
    <row r="79" spans="2:15" x14ac:dyDescent="0.25">
      <c r="B79" s="3"/>
      <c r="C79" s="3"/>
      <c r="D79" s="8"/>
      <c r="E79" s="8"/>
      <c r="F79" s="3"/>
      <c r="G79" s="9"/>
      <c r="O79" s="3"/>
    </row>
    <row r="80" spans="2:15" x14ac:dyDescent="0.25">
      <c r="B80" s="3"/>
      <c r="C80" s="3"/>
      <c r="D80" s="8"/>
      <c r="E80" s="8"/>
      <c r="F80" s="3"/>
      <c r="G80" s="9"/>
      <c r="O80" s="3"/>
    </row>
    <row r="81" spans="2:15" x14ac:dyDescent="0.25">
      <c r="B81" s="3"/>
      <c r="C81" s="3"/>
      <c r="D81" s="8"/>
      <c r="E81" s="8"/>
      <c r="F81" s="3"/>
      <c r="G81" s="9"/>
      <c r="O81" s="3"/>
    </row>
    <row r="82" spans="2:15" x14ac:dyDescent="0.25">
      <c r="B82" s="3"/>
      <c r="C82" s="3"/>
      <c r="D82" s="8"/>
      <c r="E82" s="8"/>
      <c r="F82" s="3"/>
      <c r="G82" s="9"/>
      <c r="O82" s="3"/>
    </row>
    <row r="83" spans="2:15" x14ac:dyDescent="0.25">
      <c r="B83" s="3"/>
      <c r="C83" s="3"/>
      <c r="D83" s="8"/>
      <c r="E83" s="8"/>
      <c r="F83" s="3"/>
      <c r="G83" s="9"/>
      <c r="O83" s="3"/>
    </row>
    <row r="84" spans="2:15" x14ac:dyDescent="0.25">
      <c r="B84" s="3"/>
      <c r="C84" s="3"/>
      <c r="D84" s="8"/>
      <c r="E84" s="8"/>
      <c r="F84" s="3"/>
      <c r="G84" s="9"/>
      <c r="O84" s="3"/>
    </row>
    <row r="85" spans="2:15" x14ac:dyDescent="0.25">
      <c r="B85" s="3"/>
      <c r="C85" s="3"/>
      <c r="D85" s="8"/>
      <c r="E85" s="8"/>
      <c r="F85" s="3"/>
      <c r="G85" s="9"/>
      <c r="O85" s="3"/>
    </row>
    <row r="86" spans="2:15" x14ac:dyDescent="0.25">
      <c r="B86" s="3"/>
      <c r="C86" s="3"/>
      <c r="D86" s="8"/>
      <c r="E86" s="8"/>
      <c r="F86" s="3"/>
      <c r="G86" s="9"/>
      <c r="O86" s="3"/>
    </row>
    <row r="87" spans="2:15" x14ac:dyDescent="0.25">
      <c r="B87" s="3"/>
      <c r="C87" s="3"/>
      <c r="D87" s="8"/>
      <c r="E87" s="8"/>
      <c r="F87" s="3"/>
      <c r="G87" s="9"/>
      <c r="O87" s="3"/>
    </row>
    <row r="88" spans="2:15" x14ac:dyDescent="0.25">
      <c r="B88" s="3"/>
      <c r="C88" s="3"/>
      <c r="D88" s="8"/>
      <c r="E88" s="8"/>
      <c r="F88" s="3"/>
      <c r="G88" s="9"/>
      <c r="O88" s="3"/>
    </row>
    <row r="89" spans="2:15" x14ac:dyDescent="0.25">
      <c r="B89" s="3"/>
      <c r="C89" s="3"/>
      <c r="D89" s="8"/>
      <c r="E89" s="8"/>
      <c r="F89" s="3"/>
      <c r="G89" s="9"/>
      <c r="O89" s="3"/>
    </row>
    <row r="90" spans="2:15" x14ac:dyDescent="0.25">
      <c r="B90" s="3"/>
      <c r="C90" s="3"/>
      <c r="D90" s="8"/>
      <c r="E90" s="8"/>
      <c r="F90" s="3"/>
      <c r="G90" s="9"/>
      <c r="O90" s="3"/>
    </row>
    <row r="91" spans="2:15" x14ac:dyDescent="0.25">
      <c r="B91" s="3"/>
      <c r="C91" s="3"/>
      <c r="D91" s="8"/>
      <c r="E91" s="8"/>
      <c r="F91" s="3"/>
      <c r="G91" s="9"/>
      <c r="O91" s="3"/>
    </row>
    <row r="92" spans="2:15" x14ac:dyDescent="0.25">
      <c r="B92" s="3"/>
      <c r="C92" s="3"/>
      <c r="D92" s="8"/>
      <c r="E92" s="8"/>
      <c r="F92" s="3"/>
      <c r="G92" s="9"/>
      <c r="O92" s="3"/>
    </row>
    <row r="93" spans="2:15" x14ac:dyDescent="0.25">
      <c r="B93" s="3"/>
      <c r="C93" s="3"/>
      <c r="D93" s="8"/>
      <c r="E93" s="8"/>
      <c r="F93" s="3"/>
      <c r="G93" s="9"/>
      <c r="O93" s="3"/>
    </row>
    <row r="94" spans="2:15" x14ac:dyDescent="0.25">
      <c r="B94" s="3"/>
      <c r="C94" s="3"/>
      <c r="D94" s="8"/>
      <c r="E94" s="8"/>
      <c r="F94" s="3"/>
      <c r="G94" s="9"/>
      <c r="O94" s="3"/>
    </row>
    <row r="95" spans="2:15" x14ac:dyDescent="0.25">
      <c r="B95" s="3"/>
      <c r="C95" s="3"/>
      <c r="D95" s="8"/>
      <c r="E95" s="8"/>
      <c r="F95" s="3"/>
      <c r="G95" s="9"/>
      <c r="O95" s="3"/>
    </row>
    <row r="96" spans="2:15" x14ac:dyDescent="0.25">
      <c r="B96" s="3"/>
      <c r="C96" s="3"/>
      <c r="D96" s="8"/>
      <c r="E96" s="8"/>
      <c r="F96" s="3"/>
      <c r="G96" s="9"/>
      <c r="O96" s="3"/>
    </row>
    <row r="97" spans="2:15" x14ac:dyDescent="0.25">
      <c r="B97" s="3"/>
      <c r="C97" s="3"/>
      <c r="D97" s="8"/>
      <c r="E97" s="8"/>
      <c r="F97" s="3"/>
      <c r="G97" s="9"/>
      <c r="O97" s="3"/>
    </row>
    <row r="98" spans="2:15" x14ac:dyDescent="0.25">
      <c r="B98" s="3"/>
      <c r="C98" s="3"/>
      <c r="D98" s="8"/>
      <c r="E98" s="8"/>
      <c r="F98" s="3"/>
      <c r="G98" s="9"/>
      <c r="O98" s="3"/>
    </row>
    <row r="99" spans="2:15" x14ac:dyDescent="0.25">
      <c r="B99" s="3"/>
      <c r="C99" s="3"/>
      <c r="D99" s="8"/>
      <c r="E99" s="8"/>
      <c r="F99" s="3"/>
      <c r="G99" s="9"/>
      <c r="O99" s="3"/>
    </row>
    <row r="100" spans="2:15" x14ac:dyDescent="0.25">
      <c r="B100" s="3"/>
      <c r="C100" s="3"/>
      <c r="D100" s="8"/>
      <c r="E100" s="8"/>
      <c r="F100" s="3"/>
      <c r="G100" s="9"/>
      <c r="O100" s="3"/>
    </row>
    <row r="101" spans="2:15" x14ac:dyDescent="0.25">
      <c r="B101" s="3"/>
      <c r="C101" s="3"/>
      <c r="D101" s="8"/>
      <c r="E101" s="8"/>
      <c r="F101" s="3"/>
      <c r="G101" s="9"/>
      <c r="O101" s="3"/>
    </row>
    <row r="102" spans="2:15" x14ac:dyDescent="0.25">
      <c r="B102" s="3"/>
      <c r="C102" s="3"/>
      <c r="D102" s="8"/>
      <c r="E102" s="8"/>
      <c r="F102" s="3"/>
      <c r="O102" s="3"/>
    </row>
    <row r="103" spans="2:15" x14ac:dyDescent="0.25">
      <c r="B103" s="3"/>
      <c r="C103" s="3"/>
      <c r="D103" s="8"/>
      <c r="E103" s="8"/>
      <c r="F103" s="3"/>
      <c r="G103" s="9"/>
      <c r="O103" s="3"/>
    </row>
    <row r="104" spans="2:15" x14ac:dyDescent="0.25">
      <c r="B104" s="3"/>
      <c r="C104" s="3"/>
      <c r="D104" s="8"/>
      <c r="E104" s="8"/>
      <c r="F104" s="3"/>
      <c r="G104" s="9"/>
      <c r="O104" s="3"/>
    </row>
    <row r="105" spans="2:15" x14ac:dyDescent="0.25">
      <c r="B105" s="3"/>
      <c r="D105" s="8"/>
      <c r="E105" s="8"/>
      <c r="F105" s="3"/>
      <c r="G105" s="9"/>
      <c r="O105" s="3"/>
    </row>
    <row r="106" spans="2:15" x14ac:dyDescent="0.25">
      <c r="B106" s="3"/>
      <c r="D106" s="8"/>
      <c r="E106" s="8"/>
      <c r="F106" s="3"/>
      <c r="G106" s="9"/>
      <c r="O106" s="3"/>
    </row>
    <row r="107" spans="2:15" x14ac:dyDescent="0.25">
      <c r="B107" s="3"/>
      <c r="D107" s="8"/>
      <c r="E107" s="8"/>
      <c r="F107" s="3"/>
      <c r="G107" s="9"/>
      <c r="O107" s="3"/>
    </row>
    <row r="108" spans="2:15" x14ac:dyDescent="0.25">
      <c r="B108" s="3"/>
      <c r="D108" s="8"/>
      <c r="E108" s="8"/>
      <c r="F108" s="3"/>
      <c r="G108" s="9"/>
      <c r="O108" s="3"/>
    </row>
    <row r="109" spans="2:15" x14ac:dyDescent="0.25">
      <c r="B109" s="3"/>
      <c r="D109" s="8"/>
      <c r="E109" s="8"/>
      <c r="F109" s="3"/>
      <c r="G109" s="9"/>
      <c r="O109" s="3"/>
    </row>
    <row r="110" spans="2:15" x14ac:dyDescent="0.25">
      <c r="B110" s="3"/>
      <c r="D110" s="8"/>
      <c r="E110" s="8"/>
      <c r="F110" s="3"/>
      <c r="G110" s="9"/>
      <c r="O110" s="3"/>
    </row>
    <row r="111" spans="2:15" x14ac:dyDescent="0.25">
      <c r="B111" s="3"/>
      <c r="D111" s="8"/>
      <c r="E111" s="8"/>
      <c r="F111" s="3"/>
      <c r="G111" s="9"/>
      <c r="O111" s="3"/>
    </row>
    <row r="112" spans="2:15" x14ac:dyDescent="0.25">
      <c r="B112" s="3"/>
      <c r="D112" s="8"/>
      <c r="E112" s="8"/>
      <c r="F112" s="3"/>
      <c r="G112" s="9"/>
      <c r="O112" s="3"/>
    </row>
    <row r="113" spans="2:15" x14ac:dyDescent="0.25">
      <c r="B113" s="3"/>
      <c r="D113" s="8"/>
      <c r="E113" s="8"/>
      <c r="F113" s="3"/>
      <c r="G113" s="9"/>
      <c r="O113" s="3"/>
    </row>
    <row r="114" spans="2:15" x14ac:dyDescent="0.25">
      <c r="B114" s="3"/>
      <c r="D114" s="8"/>
      <c r="E114" s="8"/>
      <c r="F114" s="3"/>
      <c r="G114" s="9"/>
      <c r="O114" s="3"/>
    </row>
    <row r="115" spans="2:15" x14ac:dyDescent="0.25">
      <c r="B115" s="3"/>
      <c r="D115" s="8"/>
      <c r="E115" s="8"/>
      <c r="F115" s="3"/>
      <c r="G115" s="9"/>
      <c r="O115" s="3"/>
    </row>
    <row r="116" spans="2:15" x14ac:dyDescent="0.25">
      <c r="B116" s="3"/>
      <c r="D116" s="8"/>
      <c r="E116" s="8"/>
      <c r="F116" s="3"/>
      <c r="G116" s="9"/>
      <c r="O116" s="3"/>
    </row>
    <row r="117" spans="2:15" x14ac:dyDescent="0.25">
      <c r="B117" s="3"/>
      <c r="D117" s="8"/>
      <c r="E117" s="8"/>
      <c r="F117" s="3"/>
      <c r="G117" s="9"/>
      <c r="O117" s="3"/>
    </row>
    <row r="118" spans="2:15" x14ac:dyDescent="0.25">
      <c r="B118" s="3"/>
      <c r="D118" s="8"/>
      <c r="E118" s="8"/>
      <c r="F118" s="3"/>
      <c r="G118" s="9"/>
      <c r="O118" s="3"/>
    </row>
    <row r="119" spans="2:15" x14ac:dyDescent="0.25">
      <c r="B119" s="3"/>
      <c r="D119" s="8"/>
      <c r="E119" s="8"/>
      <c r="F119" s="3"/>
      <c r="G119" s="9"/>
      <c r="O119" s="3"/>
    </row>
    <row r="120" spans="2:15" x14ac:dyDescent="0.25">
      <c r="B120" s="3"/>
      <c r="D120" s="8"/>
      <c r="E120" s="8"/>
      <c r="F120" s="3"/>
      <c r="G120" s="9"/>
      <c r="O120" s="3"/>
    </row>
    <row r="121" spans="2:15" x14ac:dyDescent="0.25">
      <c r="B121" s="3"/>
      <c r="D121" s="8"/>
      <c r="E121" s="8"/>
      <c r="F121" s="3"/>
      <c r="G121" s="9"/>
      <c r="O121" s="3"/>
    </row>
    <row r="122" spans="2:15" x14ac:dyDescent="0.25">
      <c r="B122" s="3"/>
      <c r="D122" s="8"/>
      <c r="E122" s="8"/>
      <c r="F122" s="3"/>
      <c r="G122" s="9"/>
      <c r="O122" s="3"/>
    </row>
    <row r="123" spans="2:15" x14ac:dyDescent="0.25">
      <c r="B123" s="3"/>
      <c r="D123" s="8"/>
      <c r="E123" s="8"/>
      <c r="F123" s="3"/>
      <c r="G123" s="9"/>
      <c r="O123" s="3"/>
    </row>
    <row r="124" spans="2:15" x14ac:dyDescent="0.25">
      <c r="B124" s="3"/>
      <c r="D124" s="8"/>
      <c r="E124" s="8"/>
      <c r="F124" s="3"/>
      <c r="G124" s="9"/>
      <c r="O124" s="3"/>
    </row>
    <row r="125" spans="2:15" x14ac:dyDescent="0.25">
      <c r="B125" s="3"/>
      <c r="D125" s="8"/>
      <c r="E125" s="8"/>
      <c r="F125" s="3"/>
      <c r="G125" s="9"/>
      <c r="O125" s="3"/>
    </row>
    <row r="126" spans="2:15" x14ac:dyDescent="0.25">
      <c r="B126" s="3"/>
      <c r="D126" s="8"/>
      <c r="E126" s="8"/>
      <c r="F126" s="3"/>
      <c r="G126" s="9"/>
      <c r="O126" s="3"/>
    </row>
    <row r="127" spans="2:15" x14ac:dyDescent="0.25">
      <c r="B127" s="3"/>
      <c r="D127" s="8"/>
      <c r="E127" s="8"/>
      <c r="F127" s="3"/>
      <c r="O127" s="3"/>
    </row>
    <row r="128" spans="2:15" x14ac:dyDescent="0.25">
      <c r="D128" s="8"/>
      <c r="E128" s="8"/>
      <c r="F128" s="3"/>
      <c r="G128" s="9"/>
      <c r="O128" s="3"/>
    </row>
    <row r="129" spans="4:15" x14ac:dyDescent="0.25">
      <c r="D129" s="8"/>
      <c r="E129" s="8"/>
      <c r="F129" s="3"/>
      <c r="G129" s="9"/>
      <c r="O129" s="3"/>
    </row>
    <row r="130" spans="4:15" x14ac:dyDescent="0.25">
      <c r="D130" s="8"/>
      <c r="E130" s="8"/>
      <c r="F130" s="3"/>
      <c r="G130" s="9"/>
      <c r="O130" s="3"/>
    </row>
    <row r="131" spans="4:15" x14ac:dyDescent="0.25">
      <c r="D131" s="8"/>
      <c r="E131" s="8"/>
      <c r="F131" s="3"/>
      <c r="G131" s="9"/>
      <c r="O131" s="3"/>
    </row>
    <row r="132" spans="4:15" x14ac:dyDescent="0.25">
      <c r="D132" s="8"/>
      <c r="E132" s="8"/>
      <c r="F132" s="3"/>
      <c r="G132" s="9"/>
      <c r="O132" s="3"/>
    </row>
    <row r="133" spans="4:15" x14ac:dyDescent="0.25">
      <c r="D133" s="8"/>
      <c r="E133" s="8"/>
      <c r="F133" s="3"/>
      <c r="G133" s="9"/>
      <c r="O133" s="3"/>
    </row>
    <row r="134" spans="4:15" x14ac:dyDescent="0.25">
      <c r="D134" s="8"/>
      <c r="E134" s="8"/>
      <c r="F134" s="3"/>
      <c r="G134" s="9"/>
      <c r="O134" s="3"/>
    </row>
    <row r="135" spans="4:15" x14ac:dyDescent="0.25">
      <c r="D135" s="8"/>
      <c r="E135" s="8"/>
      <c r="F135" s="3"/>
      <c r="G135" s="9"/>
      <c r="O135" s="3"/>
    </row>
    <row r="136" spans="4:15" x14ac:dyDescent="0.25">
      <c r="D136" s="8"/>
      <c r="E136" s="8"/>
      <c r="F136" s="3"/>
      <c r="G136" s="9"/>
      <c r="O136" s="3"/>
    </row>
    <row r="137" spans="4:15" x14ac:dyDescent="0.25">
      <c r="D137" s="8"/>
      <c r="E137" s="8"/>
      <c r="F137" s="3"/>
      <c r="G137" s="9"/>
      <c r="O137" s="3"/>
    </row>
    <row r="138" spans="4:15" x14ac:dyDescent="0.25">
      <c r="D138" s="8"/>
      <c r="E138" s="8"/>
      <c r="F138" s="3"/>
      <c r="G138" s="9"/>
      <c r="O138" s="3"/>
    </row>
    <row r="139" spans="4:15" x14ac:dyDescent="0.25">
      <c r="D139" s="8"/>
      <c r="E139" s="8"/>
      <c r="F139" s="3"/>
      <c r="G139" s="9"/>
      <c r="O139" s="3"/>
    </row>
    <row r="140" spans="4:15" x14ac:dyDescent="0.25">
      <c r="D140" s="8"/>
      <c r="E140" s="8"/>
      <c r="F140" s="3"/>
      <c r="G140" s="9"/>
      <c r="O140" s="3"/>
    </row>
    <row r="141" spans="4:15" x14ac:dyDescent="0.25">
      <c r="D141" s="8"/>
      <c r="E141" s="8"/>
      <c r="F141" s="3"/>
      <c r="G141" s="9"/>
      <c r="O141" s="3"/>
    </row>
    <row r="142" spans="4:15" x14ac:dyDescent="0.25">
      <c r="D142" s="8"/>
      <c r="E142" s="8"/>
      <c r="F142" s="3"/>
      <c r="G142" s="9"/>
      <c r="O142" s="3"/>
    </row>
    <row r="143" spans="4:15" x14ac:dyDescent="0.25">
      <c r="D143" s="8"/>
      <c r="E143" s="8"/>
      <c r="F143" s="3"/>
      <c r="G143" s="9"/>
      <c r="O143" s="3"/>
    </row>
    <row r="144" spans="4:15" x14ac:dyDescent="0.25">
      <c r="D144" s="8"/>
      <c r="E144" s="8"/>
      <c r="F144" s="3"/>
      <c r="G144" s="9"/>
      <c r="O144" s="3"/>
    </row>
    <row r="145" spans="4:15" x14ac:dyDescent="0.25">
      <c r="D145" s="8"/>
      <c r="E145" s="8"/>
      <c r="F145" s="3"/>
      <c r="G145" s="9"/>
      <c r="O145" s="3"/>
    </row>
    <row r="146" spans="4:15" x14ac:dyDescent="0.25">
      <c r="D146" s="8"/>
      <c r="E146" s="8"/>
      <c r="F146" s="3"/>
      <c r="G146" s="9"/>
      <c r="O146" s="3"/>
    </row>
    <row r="147" spans="4:15" x14ac:dyDescent="0.25">
      <c r="D147" s="8"/>
      <c r="E147" s="8"/>
      <c r="F147" s="3"/>
      <c r="G147" s="9"/>
      <c r="O147" s="3"/>
    </row>
    <row r="148" spans="4:15" x14ac:dyDescent="0.25">
      <c r="D148" s="8"/>
      <c r="E148" s="8"/>
      <c r="F148" s="3"/>
      <c r="G148" s="9"/>
      <c r="O148" s="3"/>
    </row>
    <row r="149" spans="4:15" x14ac:dyDescent="0.25">
      <c r="D149" s="8"/>
      <c r="E149" s="8"/>
      <c r="F149" s="3"/>
      <c r="G149" s="9"/>
      <c r="O149" s="3"/>
    </row>
    <row r="150" spans="4:15" x14ac:dyDescent="0.25">
      <c r="D150" s="8"/>
      <c r="E150" s="8"/>
      <c r="F150" s="3"/>
      <c r="G150" s="9"/>
      <c r="O150" s="3"/>
    </row>
    <row r="151" spans="4:15" x14ac:dyDescent="0.25">
      <c r="D151" s="8"/>
      <c r="E151" s="8"/>
      <c r="F151" s="3"/>
      <c r="G151" s="9"/>
      <c r="O151" s="3"/>
    </row>
    <row r="152" spans="4:15" x14ac:dyDescent="0.25">
      <c r="D152" s="8"/>
      <c r="E152" s="8"/>
      <c r="F152" s="3"/>
      <c r="O152" s="3"/>
    </row>
    <row r="153" spans="4:15" x14ac:dyDescent="0.25">
      <c r="D153" s="8"/>
      <c r="E153" s="8"/>
      <c r="F153" s="3"/>
      <c r="G153" s="9"/>
      <c r="O153" s="3"/>
    </row>
    <row r="154" spans="4:15" x14ac:dyDescent="0.25">
      <c r="D154" s="8"/>
      <c r="E154" s="8"/>
      <c r="F154" s="3"/>
      <c r="G154" s="9"/>
      <c r="O154" s="3"/>
    </row>
    <row r="155" spans="4:15" x14ac:dyDescent="0.25">
      <c r="D155" s="8"/>
      <c r="E155" s="8"/>
      <c r="F155" s="3"/>
      <c r="G155" s="9"/>
      <c r="O155" s="3"/>
    </row>
    <row r="156" spans="4:15" x14ac:dyDescent="0.25">
      <c r="D156" s="8"/>
      <c r="E156" s="8"/>
      <c r="F156" s="3"/>
      <c r="G156" s="9"/>
      <c r="O156" s="3"/>
    </row>
    <row r="157" spans="4:15" x14ac:dyDescent="0.25">
      <c r="D157" s="8"/>
      <c r="E157" s="8"/>
      <c r="F157" s="3"/>
      <c r="G157" s="9"/>
      <c r="O157" s="3"/>
    </row>
    <row r="158" spans="4:15" x14ac:dyDescent="0.25">
      <c r="D158" s="8"/>
      <c r="E158" s="8"/>
      <c r="F158" s="3"/>
      <c r="G158" s="9"/>
      <c r="O158" s="3"/>
    </row>
    <row r="159" spans="4:15" x14ac:dyDescent="0.25">
      <c r="D159" s="8"/>
      <c r="E159" s="8"/>
      <c r="F159" s="3"/>
      <c r="G159" s="9"/>
      <c r="O159" s="3"/>
    </row>
    <row r="160" spans="4:15" x14ac:dyDescent="0.25">
      <c r="D160" s="8"/>
      <c r="E160" s="8"/>
      <c r="F160" s="3"/>
      <c r="G160" s="9"/>
      <c r="O160" s="3"/>
    </row>
    <row r="161" spans="4:15" x14ac:dyDescent="0.25">
      <c r="D161" s="8"/>
      <c r="E161" s="8"/>
      <c r="F161" s="3"/>
      <c r="G161" s="9"/>
      <c r="O161" s="3"/>
    </row>
    <row r="162" spans="4:15" x14ac:dyDescent="0.25">
      <c r="D162" s="8"/>
      <c r="E162" s="8"/>
      <c r="F162" s="3"/>
      <c r="G162" s="9"/>
      <c r="O162" s="3"/>
    </row>
    <row r="163" spans="4:15" x14ac:dyDescent="0.25">
      <c r="D163" s="8"/>
      <c r="E163" s="8"/>
      <c r="F163" s="3"/>
      <c r="G163" s="9"/>
      <c r="O163" s="3"/>
    </row>
    <row r="164" spans="4:15" x14ac:dyDescent="0.25">
      <c r="D164" s="8"/>
      <c r="E164" s="8"/>
      <c r="F164" s="3"/>
      <c r="G164" s="9"/>
      <c r="O164" s="3"/>
    </row>
    <row r="165" spans="4:15" x14ac:dyDescent="0.25">
      <c r="D165" s="8"/>
      <c r="E165" s="8"/>
      <c r="F165" s="3"/>
      <c r="G165" s="9"/>
      <c r="O165" s="3"/>
    </row>
    <row r="166" spans="4:15" x14ac:dyDescent="0.25">
      <c r="D166" s="8"/>
      <c r="E166" s="8"/>
      <c r="F166" s="3"/>
      <c r="G166" s="9"/>
      <c r="O166" s="3"/>
    </row>
    <row r="167" spans="4:15" x14ac:dyDescent="0.25">
      <c r="D167" s="8"/>
      <c r="E167" s="8"/>
      <c r="F167" s="3"/>
      <c r="G167" s="9"/>
      <c r="O167" s="3"/>
    </row>
    <row r="168" spans="4:15" x14ac:dyDescent="0.25">
      <c r="D168" s="8"/>
      <c r="E168" s="8"/>
      <c r="F168" s="3"/>
      <c r="G168" s="9"/>
      <c r="O168" s="3"/>
    </row>
    <row r="169" spans="4:15" x14ac:dyDescent="0.25">
      <c r="D169" s="8"/>
      <c r="E169" s="8"/>
      <c r="F169" s="3"/>
      <c r="G169" s="9"/>
      <c r="O169" s="3"/>
    </row>
    <row r="170" spans="4:15" x14ac:dyDescent="0.25">
      <c r="D170" s="8"/>
      <c r="E170" s="8"/>
      <c r="F170" s="3"/>
      <c r="G170" s="9"/>
      <c r="O170" s="3"/>
    </row>
    <row r="171" spans="4:15" x14ac:dyDescent="0.25">
      <c r="D171" s="8"/>
      <c r="E171" s="8"/>
      <c r="F171" s="3"/>
      <c r="G171" s="9"/>
      <c r="O171" s="3"/>
    </row>
    <row r="172" spans="4:15" x14ac:dyDescent="0.25">
      <c r="D172" s="8"/>
      <c r="E172" s="8"/>
      <c r="F172" s="3"/>
      <c r="G172" s="9"/>
      <c r="O172" s="3"/>
    </row>
    <row r="173" spans="4:15" x14ac:dyDescent="0.25">
      <c r="D173" s="8"/>
      <c r="E173" s="8"/>
      <c r="F173" s="3"/>
      <c r="G173" s="9"/>
      <c r="O173" s="3"/>
    </row>
    <row r="174" spans="4:15" x14ac:dyDescent="0.25">
      <c r="D174" s="8"/>
      <c r="E174" s="8"/>
      <c r="F174" s="3"/>
      <c r="G174" s="9"/>
      <c r="O174" s="3"/>
    </row>
    <row r="175" spans="4:15" x14ac:dyDescent="0.25">
      <c r="D175" s="8"/>
      <c r="E175" s="8"/>
      <c r="F175" s="3"/>
      <c r="G175" s="9"/>
      <c r="O175" s="3"/>
    </row>
    <row r="176" spans="4:15" x14ac:dyDescent="0.25">
      <c r="D176" s="8"/>
      <c r="E176" s="8"/>
      <c r="F176" s="3"/>
      <c r="G176" s="9"/>
      <c r="O176" s="3"/>
    </row>
    <row r="177" spans="4:15" x14ac:dyDescent="0.25">
      <c r="D177" s="8"/>
      <c r="E177" s="8"/>
      <c r="F177" s="3"/>
      <c r="O177" s="3"/>
    </row>
    <row r="178" spans="4:15" x14ac:dyDescent="0.25">
      <c r="D178" s="8"/>
      <c r="E178" s="8"/>
      <c r="F178" s="3"/>
      <c r="G178" s="9"/>
      <c r="O178" s="3"/>
    </row>
    <row r="179" spans="4:15" x14ac:dyDescent="0.25">
      <c r="D179" s="8"/>
      <c r="E179" s="8"/>
      <c r="F179" s="3"/>
      <c r="G179" s="9"/>
      <c r="O179" s="3"/>
    </row>
    <row r="180" spans="4:15" x14ac:dyDescent="0.25">
      <c r="D180" s="8"/>
      <c r="E180" s="8"/>
      <c r="F180" s="3"/>
      <c r="G180" s="9"/>
      <c r="O180" s="3"/>
    </row>
    <row r="181" spans="4:15" x14ac:dyDescent="0.25">
      <c r="D181" s="8"/>
      <c r="E181" s="8"/>
      <c r="F181" s="3"/>
      <c r="G181" s="9"/>
      <c r="O181" s="3"/>
    </row>
    <row r="182" spans="4:15" x14ac:dyDescent="0.25">
      <c r="D182" s="8"/>
      <c r="E182" s="8"/>
      <c r="F182" s="3"/>
      <c r="G182" s="9"/>
      <c r="O182" s="3"/>
    </row>
    <row r="183" spans="4:15" x14ac:dyDescent="0.25">
      <c r="D183" s="8"/>
      <c r="E183" s="8"/>
      <c r="F183" s="3"/>
      <c r="G183" s="9"/>
      <c r="O183" s="3"/>
    </row>
    <row r="184" spans="4:15" x14ac:dyDescent="0.25">
      <c r="D184" s="8"/>
      <c r="E184" s="8"/>
      <c r="F184" s="3"/>
      <c r="G184" s="9"/>
      <c r="O184" s="3"/>
    </row>
    <row r="185" spans="4:15" x14ac:dyDescent="0.25">
      <c r="D185" s="8"/>
      <c r="E185" s="8"/>
      <c r="F185" s="3"/>
      <c r="G185" s="9"/>
      <c r="O185" s="3"/>
    </row>
    <row r="186" spans="4:15" x14ac:dyDescent="0.25">
      <c r="D186" s="8"/>
      <c r="E186" s="8"/>
      <c r="F186" s="3"/>
      <c r="G186" s="9"/>
      <c r="O186" s="3"/>
    </row>
    <row r="187" spans="4:15" x14ac:dyDescent="0.25">
      <c r="D187" s="8"/>
      <c r="E187" s="8"/>
      <c r="F187" s="3"/>
      <c r="G187" s="9"/>
      <c r="O187" s="3"/>
    </row>
    <row r="188" spans="4:15" x14ac:dyDescent="0.25">
      <c r="D188" s="8"/>
      <c r="E188" s="8"/>
      <c r="F188" s="3"/>
      <c r="G188" s="9"/>
      <c r="O188" s="3"/>
    </row>
    <row r="189" spans="4:15" x14ac:dyDescent="0.25">
      <c r="D189" s="8"/>
      <c r="E189" s="8"/>
      <c r="F189" s="3"/>
      <c r="G189" s="9"/>
      <c r="O189" s="3"/>
    </row>
    <row r="190" spans="4:15" x14ac:dyDescent="0.25">
      <c r="D190" s="8"/>
      <c r="E190" s="8"/>
      <c r="F190" s="3"/>
      <c r="G190" s="9"/>
      <c r="O190" s="3"/>
    </row>
    <row r="191" spans="4:15" x14ac:dyDescent="0.25">
      <c r="D191" s="8"/>
      <c r="E191" s="8"/>
      <c r="F191" s="3"/>
      <c r="G191" s="9"/>
      <c r="O191" s="3"/>
    </row>
    <row r="192" spans="4:15" x14ac:dyDescent="0.25">
      <c r="D192" s="8"/>
      <c r="E192" s="8"/>
      <c r="F192" s="3"/>
      <c r="G192" s="9"/>
      <c r="O192" s="3"/>
    </row>
    <row r="193" spans="4:15" x14ac:dyDescent="0.25">
      <c r="D193" s="8"/>
      <c r="E193" s="8"/>
      <c r="F193" s="3"/>
      <c r="G193" s="9"/>
      <c r="O193" s="3"/>
    </row>
    <row r="194" spans="4:15" x14ac:dyDescent="0.25">
      <c r="D194" s="8"/>
      <c r="E194" s="8"/>
      <c r="F194" s="3"/>
      <c r="G194" s="9"/>
      <c r="O194" s="3"/>
    </row>
    <row r="195" spans="4:15" x14ac:dyDescent="0.25">
      <c r="D195" s="8"/>
      <c r="E195" s="8"/>
      <c r="F195" s="3"/>
      <c r="G195" s="9"/>
      <c r="O195" s="3"/>
    </row>
    <row r="196" spans="4:15" x14ac:dyDescent="0.25">
      <c r="D196" s="8"/>
      <c r="E196" s="8"/>
      <c r="F196" s="3"/>
      <c r="G196" s="9"/>
      <c r="O196" s="3"/>
    </row>
    <row r="197" spans="4:15" x14ac:dyDescent="0.25">
      <c r="D197" s="8"/>
      <c r="E197" s="8"/>
      <c r="F197" s="3"/>
      <c r="G197" s="9"/>
      <c r="O197" s="3"/>
    </row>
    <row r="198" spans="4:15" x14ac:dyDescent="0.25">
      <c r="D198" s="8"/>
      <c r="E198" s="8"/>
      <c r="F198" s="3"/>
      <c r="G198" s="9"/>
      <c r="O198" s="3"/>
    </row>
    <row r="199" spans="4:15" x14ac:dyDescent="0.25">
      <c r="D199" s="8"/>
      <c r="E199" s="8"/>
      <c r="F199" s="3"/>
      <c r="G199" s="9"/>
      <c r="O199" s="3"/>
    </row>
    <row r="200" spans="4:15" x14ac:dyDescent="0.25">
      <c r="D200" s="8"/>
      <c r="E200" s="8"/>
      <c r="F200" s="3"/>
      <c r="G200" s="9"/>
      <c r="O200" s="3"/>
    </row>
    <row r="201" spans="4:15" x14ac:dyDescent="0.25">
      <c r="D201" s="8"/>
      <c r="E201" s="8"/>
      <c r="F201" s="3"/>
      <c r="G201" s="9"/>
      <c r="O201" s="3"/>
    </row>
    <row r="202" spans="4:15" x14ac:dyDescent="0.25">
      <c r="D202" s="8"/>
      <c r="E202" s="8"/>
      <c r="F202" s="3"/>
      <c r="O202" s="3"/>
    </row>
    <row r="203" spans="4:15" x14ac:dyDescent="0.25">
      <c r="D203" s="8"/>
      <c r="E203" s="8"/>
      <c r="F203" s="3"/>
      <c r="G203" s="9"/>
      <c r="O203" s="3"/>
    </row>
    <row r="204" spans="4:15" x14ac:dyDescent="0.25">
      <c r="D204" s="8"/>
      <c r="E204" s="8"/>
      <c r="F204" s="3"/>
      <c r="G204" s="9"/>
      <c r="O204" s="3"/>
    </row>
    <row r="205" spans="4:15" x14ac:dyDescent="0.25">
      <c r="D205" s="8"/>
      <c r="E205" s="8"/>
      <c r="F205" s="3"/>
      <c r="G205" s="9"/>
      <c r="O205" s="3"/>
    </row>
    <row r="206" spans="4:15" x14ac:dyDescent="0.25">
      <c r="D206" s="8"/>
      <c r="E206" s="8"/>
      <c r="F206" s="3"/>
      <c r="G206" s="9"/>
      <c r="O206" s="3"/>
    </row>
    <row r="207" spans="4:15" x14ac:dyDescent="0.25">
      <c r="D207" s="8"/>
      <c r="E207" s="8"/>
      <c r="F207" s="3"/>
      <c r="G207" s="9"/>
      <c r="O207" s="3"/>
    </row>
    <row r="208" spans="4:15" x14ac:dyDescent="0.25">
      <c r="D208" s="8"/>
      <c r="E208" s="8"/>
      <c r="F208" s="3"/>
      <c r="G208" s="9"/>
      <c r="O208" s="3"/>
    </row>
    <row r="209" spans="4:15" x14ac:dyDescent="0.25">
      <c r="D209" s="8"/>
      <c r="E209" s="8"/>
      <c r="F209" s="3"/>
      <c r="G209" s="9"/>
      <c r="O209" s="3"/>
    </row>
    <row r="210" spans="4:15" x14ac:dyDescent="0.25">
      <c r="D210" s="8"/>
      <c r="E210" s="8"/>
      <c r="F210" s="3"/>
      <c r="G210" s="9"/>
      <c r="O210" s="3"/>
    </row>
    <row r="211" spans="4:15" x14ac:dyDescent="0.25">
      <c r="D211" s="8"/>
      <c r="E211" s="8"/>
      <c r="F211" s="3"/>
      <c r="G211" s="9"/>
      <c r="O211" s="3"/>
    </row>
    <row r="212" spans="4:15" x14ac:dyDescent="0.25">
      <c r="D212" s="8"/>
      <c r="E212" s="8"/>
      <c r="F212" s="3"/>
      <c r="G212" s="9"/>
      <c r="O212" s="3"/>
    </row>
    <row r="213" spans="4:15" x14ac:dyDescent="0.25">
      <c r="D213" s="8"/>
      <c r="E213" s="8"/>
      <c r="F213" s="3"/>
      <c r="G213" s="9"/>
      <c r="O213" s="3"/>
    </row>
    <row r="214" spans="4:15" x14ac:dyDescent="0.25">
      <c r="D214" s="8"/>
      <c r="E214" s="8"/>
      <c r="F214" s="3"/>
      <c r="G214" s="9"/>
      <c r="O214" s="3"/>
    </row>
    <row r="215" spans="4:15" x14ac:dyDescent="0.25">
      <c r="D215" s="8"/>
      <c r="E215" s="8"/>
      <c r="F215" s="3"/>
      <c r="G215" s="9"/>
      <c r="O215" s="3"/>
    </row>
    <row r="216" spans="4:15" x14ac:dyDescent="0.25">
      <c r="D216" s="8"/>
      <c r="E216" s="8"/>
      <c r="F216" s="3"/>
      <c r="G216" s="9"/>
      <c r="O216" s="3"/>
    </row>
    <row r="217" spans="4:15" x14ac:dyDescent="0.25">
      <c r="D217" s="8"/>
      <c r="E217" s="8"/>
      <c r="F217" s="3"/>
      <c r="G217" s="9"/>
      <c r="O217" s="3"/>
    </row>
    <row r="218" spans="4:15" x14ac:dyDescent="0.25">
      <c r="D218" s="8"/>
      <c r="E218" s="8"/>
      <c r="F218" s="3"/>
      <c r="G218" s="9"/>
      <c r="O218" s="3"/>
    </row>
    <row r="219" spans="4:15" x14ac:dyDescent="0.25">
      <c r="D219" s="8"/>
      <c r="E219" s="8"/>
      <c r="F219" s="3"/>
      <c r="G219" s="9"/>
      <c r="O219" s="3"/>
    </row>
    <row r="220" spans="4:15" x14ac:dyDescent="0.25">
      <c r="D220" s="8"/>
      <c r="E220" s="8"/>
      <c r="F220" s="3"/>
      <c r="G220" s="9"/>
      <c r="O220" s="3"/>
    </row>
    <row r="221" spans="4:15" x14ac:dyDescent="0.25">
      <c r="D221" s="8"/>
      <c r="E221" s="8"/>
      <c r="F221" s="3"/>
      <c r="G221" s="9"/>
      <c r="O221" s="3"/>
    </row>
    <row r="222" spans="4:15" x14ac:dyDescent="0.25">
      <c r="D222" s="8"/>
      <c r="E222" s="8"/>
      <c r="F222" s="3"/>
      <c r="G222" s="9"/>
      <c r="O222" s="3"/>
    </row>
    <row r="223" spans="4:15" x14ac:dyDescent="0.25">
      <c r="D223" s="8"/>
      <c r="E223" s="8"/>
      <c r="F223" s="3"/>
      <c r="G223" s="9"/>
      <c r="O223" s="3"/>
    </row>
    <row r="224" spans="4:15" x14ac:dyDescent="0.25">
      <c r="D224" s="8"/>
      <c r="E224" s="8"/>
      <c r="F224" s="3"/>
      <c r="G224" s="9"/>
      <c r="O224" s="3"/>
    </row>
    <row r="225" spans="4:15" x14ac:dyDescent="0.25">
      <c r="D225" s="8"/>
      <c r="E225" s="8"/>
      <c r="F225" s="3"/>
      <c r="G225" s="9"/>
      <c r="O225" s="3"/>
    </row>
    <row r="226" spans="4:15" x14ac:dyDescent="0.25">
      <c r="D226" s="8"/>
      <c r="E226" s="8"/>
      <c r="F226" s="3"/>
      <c r="G226" s="9"/>
      <c r="O226" s="3"/>
    </row>
    <row r="227" spans="4:15" x14ac:dyDescent="0.25">
      <c r="D227" s="8"/>
      <c r="E227" s="8"/>
      <c r="F227" s="3"/>
      <c r="O227" s="3"/>
    </row>
    <row r="228" spans="4:15" x14ac:dyDescent="0.25">
      <c r="D228" s="8"/>
      <c r="E228" s="8"/>
      <c r="F228" s="3"/>
      <c r="G228" s="9"/>
      <c r="O228" s="3"/>
    </row>
    <row r="229" spans="4:15" x14ac:dyDescent="0.25">
      <c r="D229" s="8"/>
      <c r="E229" s="8"/>
      <c r="F229" s="3"/>
      <c r="G229" s="9"/>
      <c r="O229" s="3"/>
    </row>
    <row r="230" spans="4:15" x14ac:dyDescent="0.25">
      <c r="D230" s="8"/>
      <c r="E230" s="8"/>
      <c r="F230" s="3"/>
      <c r="G230" s="9"/>
      <c r="O230" s="3"/>
    </row>
    <row r="231" spans="4:15" x14ac:dyDescent="0.25">
      <c r="D231" s="8"/>
      <c r="E231" s="8"/>
      <c r="F231" s="3"/>
      <c r="G231" s="9"/>
      <c r="O231" s="3"/>
    </row>
    <row r="232" spans="4:15" x14ac:dyDescent="0.25">
      <c r="D232" s="8"/>
      <c r="E232" s="8"/>
      <c r="F232" s="3"/>
      <c r="G232" s="9"/>
      <c r="O232" s="3"/>
    </row>
    <row r="233" spans="4:15" x14ac:dyDescent="0.25">
      <c r="D233" s="8"/>
      <c r="E233" s="8"/>
      <c r="F233" s="3"/>
      <c r="G233" s="9"/>
      <c r="O233" s="3"/>
    </row>
    <row r="234" spans="4:15" x14ac:dyDescent="0.25">
      <c r="D234" s="8"/>
      <c r="E234" s="8"/>
      <c r="F234" s="3"/>
      <c r="G234" s="9"/>
      <c r="O234" s="3"/>
    </row>
    <row r="235" spans="4:15" x14ac:dyDescent="0.25">
      <c r="D235" s="8"/>
      <c r="E235" s="8"/>
      <c r="F235" s="3"/>
      <c r="G235" s="9"/>
      <c r="O235" s="3"/>
    </row>
    <row r="236" spans="4:15" x14ac:dyDescent="0.25">
      <c r="D236" s="8"/>
      <c r="E236" s="8"/>
      <c r="F236" s="3"/>
      <c r="G236" s="9"/>
      <c r="O236" s="3"/>
    </row>
    <row r="237" spans="4:15" x14ac:dyDescent="0.25">
      <c r="D237" s="8"/>
      <c r="E237" s="8"/>
      <c r="F237" s="3"/>
      <c r="G237" s="9"/>
      <c r="O237" s="3"/>
    </row>
    <row r="238" spans="4:15" x14ac:dyDescent="0.25">
      <c r="D238" s="8"/>
      <c r="E238" s="8"/>
      <c r="F238" s="3"/>
      <c r="G238" s="9"/>
      <c r="O238" s="3"/>
    </row>
    <row r="239" spans="4:15" x14ac:dyDescent="0.25">
      <c r="D239" s="8"/>
      <c r="E239" s="8"/>
      <c r="F239" s="3"/>
      <c r="G239" s="9"/>
      <c r="O239" s="3"/>
    </row>
    <row r="240" spans="4:15" x14ac:dyDescent="0.25">
      <c r="D240" s="8"/>
      <c r="E240" s="8"/>
      <c r="F240" s="3"/>
      <c r="G240" s="9"/>
      <c r="O240" s="3"/>
    </row>
    <row r="241" spans="4:15" x14ac:dyDescent="0.25">
      <c r="D241" s="8"/>
      <c r="E241" s="8"/>
      <c r="F241" s="3"/>
      <c r="G241" s="9"/>
      <c r="O241" s="3"/>
    </row>
    <row r="242" spans="4:15" x14ac:dyDescent="0.25">
      <c r="D242" s="8"/>
      <c r="E242" s="8"/>
      <c r="F242" s="3"/>
      <c r="G242" s="9"/>
      <c r="O242" s="3"/>
    </row>
    <row r="243" spans="4:15" x14ac:dyDescent="0.25">
      <c r="D243" s="8"/>
      <c r="E243" s="8"/>
      <c r="F243" s="3"/>
      <c r="G243" s="9"/>
      <c r="O243" s="3"/>
    </row>
    <row r="244" spans="4:15" x14ac:dyDescent="0.25">
      <c r="D244" s="8"/>
      <c r="E244" s="8"/>
      <c r="F244" s="3"/>
      <c r="G244" s="9"/>
      <c r="O244" s="3"/>
    </row>
    <row r="245" spans="4:15" x14ac:dyDescent="0.25">
      <c r="D245" s="8"/>
      <c r="E245" s="8"/>
      <c r="F245" s="3"/>
      <c r="G245" s="9"/>
      <c r="O245" s="3"/>
    </row>
    <row r="246" spans="4:15" x14ac:dyDescent="0.25">
      <c r="D246" s="8"/>
      <c r="E246" s="8"/>
      <c r="F246" s="3"/>
      <c r="G246" s="9"/>
      <c r="O246" s="3"/>
    </row>
    <row r="247" spans="4:15" x14ac:dyDescent="0.25">
      <c r="D247" s="8"/>
      <c r="E247" s="8"/>
      <c r="F247" s="3"/>
      <c r="G247" s="9"/>
      <c r="O247" s="3"/>
    </row>
    <row r="248" spans="4:15" x14ac:dyDescent="0.25">
      <c r="D248" s="8"/>
      <c r="E248" s="8"/>
      <c r="F248" s="3"/>
      <c r="G248" s="9"/>
      <c r="O248" s="3"/>
    </row>
    <row r="249" spans="4:15" x14ac:dyDescent="0.25">
      <c r="D249" s="8"/>
      <c r="E249" s="8"/>
      <c r="F249" s="3"/>
      <c r="G249" s="9"/>
      <c r="O249" s="3"/>
    </row>
    <row r="250" spans="4:15" x14ac:dyDescent="0.25">
      <c r="D250" s="8"/>
      <c r="E250" s="8"/>
      <c r="F250" s="3"/>
      <c r="G250" s="9"/>
      <c r="O250" s="3"/>
    </row>
    <row r="251" spans="4:15" x14ac:dyDescent="0.25">
      <c r="D251" s="8"/>
      <c r="E251" s="8"/>
      <c r="F251" s="3"/>
      <c r="G251" s="9"/>
      <c r="O251" s="3"/>
    </row>
    <row r="252" spans="4:15" x14ac:dyDescent="0.25">
      <c r="D252" s="8"/>
      <c r="E252" s="8"/>
      <c r="F252" s="3"/>
      <c r="O252" s="3"/>
    </row>
    <row r="253" spans="4:15" x14ac:dyDescent="0.25">
      <c r="D253" s="8"/>
      <c r="E253" s="8"/>
      <c r="F253" s="3"/>
      <c r="G253" s="9"/>
      <c r="O253" s="3"/>
    </row>
    <row r="254" spans="4:15" x14ac:dyDescent="0.25">
      <c r="D254" s="8"/>
      <c r="E254" s="8"/>
      <c r="F254" s="3"/>
      <c r="G254" s="9"/>
      <c r="O254" s="3"/>
    </row>
    <row r="255" spans="4:15" x14ac:dyDescent="0.25">
      <c r="D255" s="8"/>
      <c r="E255" s="8"/>
      <c r="F255" s="3"/>
      <c r="G255" s="9"/>
      <c r="O255" s="3"/>
    </row>
    <row r="256" spans="4:15" x14ac:dyDescent="0.25">
      <c r="D256" s="8"/>
      <c r="E256" s="8"/>
      <c r="F256" s="3"/>
      <c r="G256" s="9"/>
      <c r="O256" s="3"/>
    </row>
    <row r="257" spans="4:15" x14ac:dyDescent="0.25">
      <c r="D257" s="8"/>
      <c r="E257" s="8"/>
      <c r="F257" s="3"/>
      <c r="G257" s="9"/>
      <c r="O257" s="3"/>
    </row>
    <row r="258" spans="4:15" x14ac:dyDescent="0.25">
      <c r="D258" s="8"/>
      <c r="E258" s="8"/>
      <c r="F258" s="3"/>
      <c r="G258" s="9"/>
      <c r="O258" s="3"/>
    </row>
    <row r="259" spans="4:15" x14ac:dyDescent="0.25">
      <c r="D259" s="8"/>
      <c r="E259" s="8"/>
      <c r="F259" s="3"/>
      <c r="G259" s="9"/>
      <c r="O259" s="3"/>
    </row>
    <row r="260" spans="4:15" x14ac:dyDescent="0.25">
      <c r="D260" s="8"/>
      <c r="E260" s="8"/>
      <c r="F260" s="3"/>
      <c r="G260" s="9"/>
      <c r="O260" s="3"/>
    </row>
    <row r="261" spans="4:15" x14ac:dyDescent="0.25">
      <c r="D261" s="8"/>
      <c r="E261" s="8"/>
      <c r="F261" s="3"/>
      <c r="G261" s="9"/>
      <c r="O261" s="3"/>
    </row>
    <row r="262" spans="4:15" x14ac:dyDescent="0.25">
      <c r="D262" s="8"/>
      <c r="E262" s="8"/>
      <c r="F262" s="3"/>
      <c r="G262" s="9"/>
      <c r="O262" s="3"/>
    </row>
    <row r="263" spans="4:15" x14ac:dyDescent="0.25">
      <c r="D263" s="8"/>
      <c r="E263" s="8"/>
      <c r="F263" s="3"/>
      <c r="G263" s="9"/>
      <c r="O263" s="3"/>
    </row>
    <row r="264" spans="4:15" x14ac:dyDescent="0.25">
      <c r="D264" s="8"/>
      <c r="E264" s="8"/>
      <c r="F264" s="3"/>
      <c r="G264" s="9"/>
      <c r="O264" s="3"/>
    </row>
    <row r="265" spans="4:15" x14ac:dyDescent="0.25">
      <c r="D265" s="8"/>
      <c r="E265" s="8"/>
      <c r="F265" s="3"/>
      <c r="G265" s="9"/>
      <c r="O265" s="3"/>
    </row>
    <row r="266" spans="4:15" x14ac:dyDescent="0.25">
      <c r="D266" s="8"/>
      <c r="E266" s="8"/>
      <c r="F266" s="3"/>
      <c r="G266" s="9"/>
      <c r="O266" s="3"/>
    </row>
    <row r="267" spans="4:15" x14ac:dyDescent="0.25">
      <c r="D267" s="8"/>
      <c r="E267" s="8"/>
      <c r="F267" s="3"/>
      <c r="G267" s="9"/>
      <c r="O267" s="3"/>
    </row>
    <row r="268" spans="4:15" x14ac:dyDescent="0.25">
      <c r="D268" s="8"/>
      <c r="E268" s="8"/>
      <c r="F268" s="3"/>
      <c r="G268" s="9"/>
      <c r="O268" s="3"/>
    </row>
    <row r="269" spans="4:15" x14ac:dyDescent="0.25">
      <c r="D269" s="8"/>
      <c r="E269" s="8"/>
      <c r="F269" s="3"/>
      <c r="G269" s="9"/>
      <c r="O269" s="3"/>
    </row>
    <row r="270" spans="4:15" x14ac:dyDescent="0.25">
      <c r="D270" s="8"/>
      <c r="E270" s="8"/>
      <c r="F270" s="3"/>
      <c r="G270" s="9"/>
      <c r="O270" s="3"/>
    </row>
    <row r="271" spans="4:15" x14ac:dyDescent="0.25">
      <c r="D271" s="8"/>
      <c r="E271" s="8"/>
      <c r="F271" s="3"/>
      <c r="G271" s="9"/>
      <c r="O271" s="3"/>
    </row>
    <row r="272" spans="4:15" x14ac:dyDescent="0.25">
      <c r="D272" s="8"/>
      <c r="E272" s="8"/>
      <c r="F272" s="3"/>
      <c r="G272" s="9"/>
      <c r="O272" s="3"/>
    </row>
    <row r="273" spans="4:15" x14ac:dyDescent="0.25">
      <c r="D273" s="8"/>
      <c r="E273" s="8"/>
      <c r="F273" s="3"/>
      <c r="G273" s="9"/>
      <c r="O273" s="3"/>
    </row>
    <row r="274" spans="4:15" x14ac:dyDescent="0.25">
      <c r="D274" s="8"/>
      <c r="E274" s="8"/>
      <c r="F274" s="3"/>
      <c r="G274" s="9"/>
      <c r="O274" s="3"/>
    </row>
    <row r="275" spans="4:15" x14ac:dyDescent="0.25">
      <c r="D275" s="8"/>
      <c r="E275" s="8"/>
      <c r="F275" s="3"/>
      <c r="G275" s="9"/>
      <c r="O275" s="3"/>
    </row>
    <row r="276" spans="4:15" x14ac:dyDescent="0.25">
      <c r="D276" s="8"/>
      <c r="E276" s="8"/>
      <c r="F276" s="3"/>
      <c r="G276" s="9"/>
      <c r="O276" s="3"/>
    </row>
    <row r="277" spans="4:15" x14ac:dyDescent="0.25">
      <c r="D277" s="8"/>
      <c r="E277" s="8"/>
      <c r="F277" s="3"/>
      <c r="O277" s="3"/>
    </row>
    <row r="278" spans="4:15" x14ac:dyDescent="0.25">
      <c r="D278" s="8"/>
      <c r="E278" s="8"/>
      <c r="F278" s="3"/>
      <c r="G278" s="9"/>
      <c r="O278" s="3"/>
    </row>
    <row r="279" spans="4:15" x14ac:dyDescent="0.25">
      <c r="D279" s="8"/>
      <c r="E279" s="8"/>
      <c r="F279" s="3"/>
      <c r="G279" s="9"/>
      <c r="O279" s="3"/>
    </row>
    <row r="280" spans="4:15" x14ac:dyDescent="0.25">
      <c r="D280" s="8"/>
      <c r="E280" s="8"/>
      <c r="F280" s="3"/>
      <c r="G280" s="9"/>
      <c r="O280" s="3"/>
    </row>
    <row r="281" spans="4:15" x14ac:dyDescent="0.25">
      <c r="D281" s="8"/>
      <c r="E281" s="8"/>
      <c r="F281" s="3"/>
      <c r="G281" s="9"/>
      <c r="O281" s="3"/>
    </row>
    <row r="282" spans="4:15" x14ac:dyDescent="0.25">
      <c r="D282" s="8"/>
      <c r="E282" s="8"/>
      <c r="F282" s="3"/>
      <c r="G282" s="9"/>
      <c r="O282" s="3"/>
    </row>
    <row r="283" spans="4:15" x14ac:dyDescent="0.25">
      <c r="D283" s="8"/>
      <c r="E283" s="8"/>
      <c r="F283" s="3"/>
      <c r="G283" s="9"/>
      <c r="O283" s="3"/>
    </row>
    <row r="284" spans="4:15" x14ac:dyDescent="0.25">
      <c r="D284" s="8"/>
      <c r="E284" s="8"/>
      <c r="F284" s="3"/>
      <c r="G284" s="9"/>
      <c r="O284" s="3"/>
    </row>
    <row r="285" spans="4:15" x14ac:dyDescent="0.25">
      <c r="D285" s="8"/>
      <c r="E285" s="8"/>
      <c r="F285" s="3"/>
      <c r="G285" s="9"/>
      <c r="O285" s="3"/>
    </row>
    <row r="286" spans="4:15" x14ac:dyDescent="0.25">
      <c r="D286" s="8"/>
      <c r="E286" s="8"/>
      <c r="F286" s="3"/>
      <c r="G286" s="9"/>
      <c r="O286" s="3"/>
    </row>
    <row r="287" spans="4:15" x14ac:dyDescent="0.25">
      <c r="D287" s="8"/>
      <c r="E287" s="8"/>
      <c r="F287" s="3"/>
      <c r="G287" s="9"/>
      <c r="O287" s="3"/>
    </row>
    <row r="288" spans="4:15" x14ac:dyDescent="0.25">
      <c r="D288" s="8"/>
      <c r="E288" s="8"/>
      <c r="F288" s="3"/>
      <c r="G288" s="9"/>
      <c r="O288" s="3"/>
    </row>
    <row r="289" spans="4:15" x14ac:dyDescent="0.25">
      <c r="D289" s="8"/>
      <c r="E289" s="8"/>
      <c r="F289" s="3"/>
      <c r="G289" s="9"/>
      <c r="O289" s="3"/>
    </row>
    <row r="290" spans="4:15" x14ac:dyDescent="0.25">
      <c r="D290" s="8"/>
      <c r="E290" s="8"/>
      <c r="F290" s="3"/>
      <c r="G290" s="9"/>
      <c r="O290" s="3"/>
    </row>
    <row r="291" spans="4:15" x14ac:dyDescent="0.25">
      <c r="D291" s="8"/>
      <c r="E291" s="8"/>
      <c r="F291" s="3"/>
      <c r="G291" s="9"/>
      <c r="O291" s="3"/>
    </row>
    <row r="292" spans="4:15" x14ac:dyDescent="0.25">
      <c r="D292" s="8"/>
      <c r="E292" s="8"/>
      <c r="F292" s="3"/>
      <c r="G292" s="9"/>
      <c r="O292" s="3"/>
    </row>
    <row r="293" spans="4:15" x14ac:dyDescent="0.25">
      <c r="D293" s="8"/>
      <c r="E293" s="8"/>
      <c r="F293" s="3"/>
      <c r="G293" s="9"/>
      <c r="O293" s="3"/>
    </row>
    <row r="294" spans="4:15" x14ac:dyDescent="0.25">
      <c r="D294" s="8"/>
      <c r="E294" s="8"/>
      <c r="F294" s="3"/>
      <c r="G294" s="9"/>
      <c r="O294" s="3"/>
    </row>
    <row r="295" spans="4:15" x14ac:dyDescent="0.25">
      <c r="D295" s="8"/>
      <c r="E295" s="8"/>
      <c r="F295" s="3"/>
      <c r="G295" s="9"/>
      <c r="O295" s="3"/>
    </row>
    <row r="296" spans="4:15" x14ac:dyDescent="0.25">
      <c r="D296" s="8"/>
      <c r="E296" s="8"/>
      <c r="F296" s="3"/>
      <c r="G296" s="9"/>
      <c r="O296" s="3"/>
    </row>
    <row r="297" spans="4:15" x14ac:dyDescent="0.25">
      <c r="D297" s="8"/>
      <c r="E297" s="8"/>
      <c r="F297" s="3"/>
      <c r="G297" s="9"/>
      <c r="O297" s="3"/>
    </row>
    <row r="298" spans="4:15" x14ac:dyDescent="0.25">
      <c r="D298" s="8"/>
      <c r="E298" s="8"/>
      <c r="F298" s="3"/>
      <c r="G298" s="9"/>
      <c r="O298" s="3"/>
    </row>
    <row r="299" spans="4:15" x14ac:dyDescent="0.25">
      <c r="D299" s="8"/>
      <c r="E299" s="8"/>
      <c r="F299" s="3"/>
      <c r="G299" s="9"/>
      <c r="O299" s="3"/>
    </row>
    <row r="300" spans="4:15" x14ac:dyDescent="0.25">
      <c r="D300" s="8"/>
      <c r="E300" s="8"/>
      <c r="F300" s="3"/>
      <c r="G300" s="9"/>
      <c r="O300" s="3"/>
    </row>
    <row r="301" spans="4:15" x14ac:dyDescent="0.25">
      <c r="D301" s="8"/>
      <c r="E301" s="8"/>
      <c r="F301" s="3"/>
      <c r="G301" s="9"/>
      <c r="O301" s="3"/>
    </row>
    <row r="302" spans="4:15" x14ac:dyDescent="0.25">
      <c r="D302" s="8"/>
      <c r="E302" s="8"/>
      <c r="F302" s="3"/>
      <c r="O302" s="3"/>
    </row>
    <row r="303" spans="4:15" x14ac:dyDescent="0.25">
      <c r="D303" s="8"/>
      <c r="E303" s="8"/>
      <c r="F303" s="3"/>
      <c r="G303" s="9"/>
      <c r="O303" s="3"/>
    </row>
    <row r="304" spans="4:15" x14ac:dyDescent="0.25">
      <c r="D304" s="8"/>
      <c r="E304" s="8"/>
      <c r="F304" s="3"/>
      <c r="G304" s="9"/>
      <c r="O304" s="3"/>
    </row>
    <row r="305" spans="4:15" x14ac:dyDescent="0.25">
      <c r="D305" s="8"/>
      <c r="E305" s="8"/>
      <c r="F305" s="3"/>
      <c r="G305" s="9"/>
      <c r="O305" s="3"/>
    </row>
    <row r="306" spans="4:15" x14ac:dyDescent="0.25">
      <c r="D306" s="8"/>
      <c r="E306" s="8"/>
      <c r="F306" s="3"/>
      <c r="G306" s="9"/>
      <c r="O306" s="3"/>
    </row>
    <row r="307" spans="4:15" x14ac:dyDescent="0.25">
      <c r="D307" s="8"/>
      <c r="E307" s="8"/>
      <c r="F307" s="3"/>
      <c r="G307" s="9"/>
      <c r="O307" s="3"/>
    </row>
    <row r="308" spans="4:15" x14ac:dyDescent="0.25">
      <c r="D308" s="8"/>
      <c r="E308" s="8"/>
      <c r="F308" s="3"/>
      <c r="G308" s="9"/>
      <c r="O308" s="3"/>
    </row>
    <row r="309" spans="4:15" x14ac:dyDescent="0.25">
      <c r="D309" s="8"/>
      <c r="E309" s="8"/>
      <c r="F309" s="3"/>
      <c r="G309" s="9"/>
      <c r="O309" s="3"/>
    </row>
    <row r="310" spans="4:15" x14ac:dyDescent="0.25">
      <c r="D310" s="8"/>
      <c r="E310" s="8"/>
      <c r="F310" s="3"/>
      <c r="G310" s="9"/>
      <c r="O310" s="3"/>
    </row>
    <row r="311" spans="4:15" x14ac:dyDescent="0.25">
      <c r="D311" s="8"/>
      <c r="E311" s="8"/>
      <c r="F311" s="3"/>
      <c r="G311" s="9"/>
      <c r="O311" s="3"/>
    </row>
    <row r="312" spans="4:15" x14ac:dyDescent="0.25">
      <c r="D312" s="8"/>
      <c r="E312" s="8"/>
      <c r="F312" s="3"/>
      <c r="G312" s="9"/>
      <c r="O312" s="3"/>
    </row>
    <row r="313" spans="4:15" x14ac:dyDescent="0.25">
      <c r="D313" s="8"/>
      <c r="E313" s="8"/>
      <c r="F313" s="3"/>
      <c r="G313" s="9"/>
      <c r="O313" s="3"/>
    </row>
    <row r="314" spans="4:15" x14ac:dyDescent="0.25">
      <c r="D314" s="8"/>
      <c r="E314" s="8"/>
      <c r="F314" s="3"/>
      <c r="G314" s="9"/>
      <c r="O314" s="3"/>
    </row>
    <row r="315" spans="4:15" x14ac:dyDescent="0.25">
      <c r="D315" s="8"/>
      <c r="E315" s="8"/>
      <c r="F315" s="3"/>
      <c r="G315" s="9"/>
      <c r="O315" s="3"/>
    </row>
    <row r="316" spans="4:15" x14ac:dyDescent="0.25">
      <c r="D316" s="8"/>
      <c r="E316" s="8"/>
      <c r="F316" s="3"/>
      <c r="G316" s="9"/>
      <c r="O316" s="3"/>
    </row>
    <row r="317" spans="4:15" x14ac:dyDescent="0.25">
      <c r="D317" s="8"/>
      <c r="E317" s="8"/>
      <c r="F317" s="3"/>
      <c r="G317" s="9"/>
      <c r="O317" s="3"/>
    </row>
    <row r="318" spans="4:15" x14ac:dyDescent="0.25">
      <c r="D318" s="8"/>
      <c r="E318" s="8"/>
      <c r="F318" s="3"/>
      <c r="G318" s="9"/>
      <c r="O318" s="3"/>
    </row>
    <row r="319" spans="4:15" x14ac:dyDescent="0.25">
      <c r="D319" s="8"/>
      <c r="E319" s="8"/>
      <c r="F319" s="3"/>
      <c r="G319" s="9"/>
      <c r="O319" s="3"/>
    </row>
    <row r="320" spans="4:15" x14ac:dyDescent="0.25">
      <c r="D320" s="8"/>
      <c r="E320" s="8"/>
      <c r="F320" s="3"/>
      <c r="G320" s="9"/>
      <c r="O320" s="3"/>
    </row>
    <row r="321" spans="4:15" x14ac:dyDescent="0.25">
      <c r="D321" s="8"/>
      <c r="E321" s="8"/>
      <c r="F321" s="3"/>
      <c r="G321" s="9"/>
      <c r="O321" s="3"/>
    </row>
    <row r="322" spans="4:15" x14ac:dyDescent="0.25">
      <c r="D322" s="8"/>
      <c r="E322" s="8"/>
      <c r="F322" s="3"/>
      <c r="G322" s="9"/>
      <c r="O322" s="3"/>
    </row>
    <row r="323" spans="4:15" x14ac:dyDescent="0.25">
      <c r="D323" s="8"/>
      <c r="E323" s="8"/>
      <c r="F323" s="3"/>
      <c r="G323" s="9"/>
      <c r="O323" s="3"/>
    </row>
    <row r="324" spans="4:15" x14ac:dyDescent="0.25">
      <c r="D324" s="8"/>
      <c r="E324" s="8"/>
      <c r="F324" s="3"/>
      <c r="G324" s="9"/>
      <c r="O324" s="3"/>
    </row>
    <row r="325" spans="4:15" x14ac:dyDescent="0.25">
      <c r="D325" s="8"/>
      <c r="E325" s="8"/>
      <c r="F325" s="3"/>
      <c r="G325" s="9"/>
      <c r="O325" s="3"/>
    </row>
    <row r="326" spans="4:15" x14ac:dyDescent="0.25">
      <c r="D326" s="8"/>
      <c r="E326" s="8"/>
      <c r="F326" s="3"/>
      <c r="G326" s="9"/>
      <c r="O326" s="3"/>
    </row>
    <row r="327" spans="4:15" x14ac:dyDescent="0.25">
      <c r="D327" s="8"/>
      <c r="E327" s="8"/>
      <c r="F327" s="3"/>
      <c r="O327" s="3"/>
    </row>
    <row r="328" spans="4:15" x14ac:dyDescent="0.25">
      <c r="D328" s="8"/>
      <c r="E328" s="8"/>
      <c r="F328" s="3"/>
      <c r="G328" s="9"/>
      <c r="O328" s="3"/>
    </row>
    <row r="329" spans="4:15" x14ac:dyDescent="0.25">
      <c r="D329" s="8"/>
      <c r="E329" s="8"/>
      <c r="F329" s="3"/>
      <c r="G329" s="9"/>
      <c r="O329" s="3"/>
    </row>
    <row r="330" spans="4:15" x14ac:dyDescent="0.25">
      <c r="D330" s="8"/>
      <c r="E330" s="8"/>
      <c r="F330" s="3"/>
      <c r="G330" s="9"/>
      <c r="O330" s="3"/>
    </row>
    <row r="331" spans="4:15" x14ac:dyDescent="0.25">
      <c r="D331" s="8"/>
      <c r="E331" s="8"/>
      <c r="F331" s="3"/>
      <c r="G331" s="9"/>
      <c r="O331" s="3"/>
    </row>
    <row r="332" spans="4:15" x14ac:dyDescent="0.25">
      <c r="D332" s="8"/>
      <c r="E332" s="8"/>
      <c r="F332" s="3"/>
      <c r="G332" s="9"/>
      <c r="O332" s="3"/>
    </row>
    <row r="333" spans="4:15" x14ac:dyDescent="0.25">
      <c r="D333" s="8"/>
      <c r="E333" s="8"/>
      <c r="F333" s="3"/>
      <c r="G333" s="9"/>
      <c r="O333" s="3"/>
    </row>
    <row r="334" spans="4:15" x14ac:dyDescent="0.25">
      <c r="D334" s="8"/>
      <c r="E334" s="8"/>
      <c r="F334" s="3"/>
      <c r="G334" s="9"/>
      <c r="O334" s="3"/>
    </row>
    <row r="335" spans="4:15" x14ac:dyDescent="0.25">
      <c r="D335" s="8"/>
      <c r="E335" s="8"/>
      <c r="F335" s="3"/>
      <c r="G335" s="9"/>
      <c r="O335" s="3"/>
    </row>
    <row r="336" spans="4:15" x14ac:dyDescent="0.25">
      <c r="D336" s="8"/>
      <c r="E336" s="8"/>
      <c r="F336" s="3"/>
      <c r="G336" s="9"/>
      <c r="O336" s="3"/>
    </row>
    <row r="337" spans="4:15" x14ac:dyDescent="0.25">
      <c r="D337" s="8"/>
      <c r="E337" s="8"/>
      <c r="F337" s="3"/>
      <c r="G337" s="9"/>
      <c r="O337" s="3"/>
    </row>
    <row r="338" spans="4:15" x14ac:dyDescent="0.25">
      <c r="D338" s="8"/>
      <c r="E338" s="8"/>
      <c r="F338" s="3"/>
      <c r="G338" s="9"/>
      <c r="O338" s="3"/>
    </row>
    <row r="339" spans="4:15" x14ac:dyDescent="0.25">
      <c r="D339" s="8"/>
      <c r="E339" s="8"/>
      <c r="F339" s="3"/>
      <c r="G339" s="9"/>
      <c r="O339" s="3"/>
    </row>
    <row r="340" spans="4:15" x14ac:dyDescent="0.25">
      <c r="D340" s="8"/>
      <c r="E340" s="8"/>
      <c r="F340" s="3"/>
      <c r="G340" s="9"/>
      <c r="O340" s="3"/>
    </row>
    <row r="341" spans="4:15" x14ac:dyDescent="0.25">
      <c r="D341" s="8"/>
      <c r="E341" s="8"/>
      <c r="F341" s="3"/>
      <c r="G341" s="9"/>
      <c r="O341" s="3"/>
    </row>
    <row r="342" spans="4:15" x14ac:dyDescent="0.25">
      <c r="D342" s="8"/>
      <c r="E342" s="8"/>
      <c r="F342" s="3"/>
      <c r="G342" s="9"/>
      <c r="O342" s="3"/>
    </row>
    <row r="343" spans="4:15" x14ac:dyDescent="0.25">
      <c r="D343" s="8"/>
      <c r="E343" s="8"/>
      <c r="F343" s="3"/>
      <c r="G343" s="9"/>
      <c r="O343" s="3"/>
    </row>
    <row r="344" spans="4:15" x14ac:dyDescent="0.25">
      <c r="D344" s="8"/>
      <c r="E344" s="8"/>
      <c r="F344" s="3"/>
      <c r="G344" s="9"/>
      <c r="O344" s="3"/>
    </row>
    <row r="345" spans="4:15" x14ac:dyDescent="0.25">
      <c r="D345" s="8"/>
      <c r="E345" s="8"/>
      <c r="F345" s="3"/>
      <c r="G345" s="9"/>
      <c r="O345" s="3"/>
    </row>
    <row r="346" spans="4:15" x14ac:dyDescent="0.25">
      <c r="D346" s="8"/>
      <c r="E346" s="8"/>
      <c r="F346" s="3"/>
      <c r="G346" s="9"/>
      <c r="O346" s="3"/>
    </row>
    <row r="347" spans="4:15" x14ac:dyDescent="0.25">
      <c r="D347" s="8"/>
      <c r="E347" s="8"/>
      <c r="F347" s="3"/>
      <c r="G347" s="9"/>
      <c r="O347" s="3"/>
    </row>
    <row r="348" spans="4:15" x14ac:dyDescent="0.25">
      <c r="D348" s="8"/>
      <c r="E348" s="8"/>
      <c r="F348" s="3"/>
      <c r="G348" s="9"/>
      <c r="O348" s="3"/>
    </row>
    <row r="349" spans="4:15" x14ac:dyDescent="0.25">
      <c r="D349" s="8"/>
      <c r="E349" s="8"/>
      <c r="F349" s="3"/>
      <c r="G349" s="9"/>
      <c r="O349" s="3"/>
    </row>
    <row r="350" spans="4:15" x14ac:dyDescent="0.25">
      <c r="D350" s="8"/>
      <c r="E350" s="8"/>
      <c r="F350" s="3"/>
      <c r="G350" s="9"/>
      <c r="O350" s="3"/>
    </row>
    <row r="351" spans="4:15" x14ac:dyDescent="0.25">
      <c r="D351" s="8"/>
      <c r="E351" s="8"/>
      <c r="F351" s="3"/>
      <c r="G351" s="9"/>
      <c r="O351" s="3"/>
    </row>
    <row r="352" spans="4:15" x14ac:dyDescent="0.25">
      <c r="D352" s="8"/>
      <c r="E352" s="8"/>
      <c r="F352" s="3"/>
      <c r="O352" s="3"/>
    </row>
    <row r="353" spans="4:15" x14ac:dyDescent="0.25">
      <c r="D353" s="8"/>
      <c r="E353" s="8"/>
      <c r="F353" s="3"/>
      <c r="G353" s="9"/>
      <c r="O353" s="3"/>
    </row>
    <row r="354" spans="4:15" x14ac:dyDescent="0.25">
      <c r="D354" s="8"/>
      <c r="E354" s="8"/>
      <c r="F354" s="3"/>
      <c r="G354" s="9"/>
      <c r="O354" s="3"/>
    </row>
    <row r="355" spans="4:15" x14ac:dyDescent="0.25">
      <c r="D355" s="8"/>
      <c r="E355" s="8"/>
      <c r="F355" s="3"/>
      <c r="G355" s="9"/>
      <c r="O355" s="3"/>
    </row>
    <row r="356" spans="4:15" x14ac:dyDescent="0.25">
      <c r="D356" s="8"/>
      <c r="E356" s="8"/>
      <c r="F356" s="3"/>
      <c r="G356" s="9"/>
      <c r="O356" s="3"/>
    </row>
    <row r="357" spans="4:15" x14ac:dyDescent="0.25">
      <c r="D357" s="8"/>
      <c r="E357" s="8"/>
      <c r="F357" s="3"/>
      <c r="G357" s="9"/>
      <c r="O357" s="3"/>
    </row>
    <row r="358" spans="4:15" x14ac:dyDescent="0.25">
      <c r="D358" s="8"/>
      <c r="E358" s="8"/>
      <c r="F358" s="3"/>
      <c r="G358" s="9"/>
      <c r="O358" s="3"/>
    </row>
    <row r="359" spans="4:15" x14ac:dyDescent="0.25">
      <c r="D359" s="8"/>
      <c r="E359" s="8"/>
      <c r="F359" s="3"/>
      <c r="G359" s="9"/>
      <c r="O359" s="3"/>
    </row>
    <row r="360" spans="4:15" x14ac:dyDescent="0.25">
      <c r="D360" s="8"/>
      <c r="E360" s="8"/>
      <c r="F360" s="3"/>
      <c r="G360" s="9"/>
      <c r="O360" s="3"/>
    </row>
    <row r="361" spans="4:15" x14ac:dyDescent="0.25">
      <c r="D361" s="8"/>
      <c r="E361" s="8"/>
      <c r="F361" s="3"/>
      <c r="G361" s="9"/>
      <c r="O361" s="3"/>
    </row>
    <row r="362" spans="4:15" x14ac:dyDescent="0.25">
      <c r="D362" s="8"/>
      <c r="E362" s="8"/>
      <c r="F362" s="3"/>
      <c r="G362" s="9"/>
      <c r="O362" s="3"/>
    </row>
    <row r="363" spans="4:15" x14ac:dyDescent="0.25">
      <c r="D363" s="8"/>
      <c r="E363" s="8"/>
      <c r="F363" s="3"/>
      <c r="G363" s="9"/>
      <c r="O363" s="3"/>
    </row>
    <row r="364" spans="4:15" x14ac:dyDescent="0.25">
      <c r="D364" s="8"/>
      <c r="E364" s="8"/>
      <c r="F364" s="3"/>
      <c r="G364" s="9"/>
      <c r="O364" s="3"/>
    </row>
    <row r="365" spans="4:15" x14ac:dyDescent="0.25">
      <c r="D365" s="8"/>
      <c r="E365" s="8"/>
      <c r="F365" s="3"/>
      <c r="G365" s="9"/>
      <c r="O365" s="3"/>
    </row>
    <row r="366" spans="4:15" x14ac:dyDescent="0.25">
      <c r="D366" s="8"/>
      <c r="E366" s="8"/>
      <c r="F366" s="3"/>
      <c r="G366" s="9"/>
      <c r="O366" s="3"/>
    </row>
    <row r="367" spans="4:15" x14ac:dyDescent="0.25">
      <c r="D367" s="8"/>
      <c r="E367" s="8"/>
      <c r="F367" s="3"/>
      <c r="G367" s="9"/>
      <c r="O367" s="3"/>
    </row>
    <row r="368" spans="4:15" x14ac:dyDescent="0.25">
      <c r="D368" s="8"/>
      <c r="E368" s="8"/>
      <c r="F368" s="3"/>
      <c r="G368" s="9"/>
      <c r="O368" s="3"/>
    </row>
    <row r="369" spans="4:15" x14ac:dyDescent="0.25">
      <c r="D369" s="8"/>
      <c r="E369" s="8"/>
      <c r="F369" s="3"/>
      <c r="G369" s="9"/>
      <c r="O369" s="3"/>
    </row>
    <row r="370" spans="4:15" x14ac:dyDescent="0.25">
      <c r="D370" s="8"/>
      <c r="E370" s="8"/>
      <c r="F370" s="3"/>
      <c r="G370" s="9"/>
      <c r="O370" s="3"/>
    </row>
    <row r="371" spans="4:15" x14ac:dyDescent="0.25">
      <c r="D371" s="8"/>
      <c r="E371" s="8"/>
      <c r="F371" s="3"/>
      <c r="G371" s="9"/>
      <c r="O371" s="3"/>
    </row>
    <row r="372" spans="4:15" x14ac:dyDescent="0.25">
      <c r="D372" s="8"/>
      <c r="E372" s="8"/>
      <c r="F372" s="3"/>
      <c r="G372" s="9"/>
      <c r="O372" s="3"/>
    </row>
    <row r="373" spans="4:15" x14ac:dyDescent="0.25">
      <c r="D373" s="8"/>
      <c r="E373" s="8"/>
      <c r="F373" s="3"/>
      <c r="G373" s="9"/>
      <c r="O373" s="3"/>
    </row>
    <row r="374" spans="4:15" x14ac:dyDescent="0.25">
      <c r="D374" s="8"/>
      <c r="E374" s="8"/>
      <c r="F374" s="3"/>
      <c r="G374" s="9"/>
      <c r="O374" s="3"/>
    </row>
    <row r="375" spans="4:15" x14ac:dyDescent="0.25">
      <c r="D375" s="8"/>
      <c r="E375" s="8"/>
      <c r="F375" s="3"/>
      <c r="G375" s="9"/>
      <c r="O375" s="3"/>
    </row>
    <row r="376" spans="4:15" x14ac:dyDescent="0.25">
      <c r="D376" s="8"/>
      <c r="E376" s="8"/>
      <c r="F376" s="3"/>
      <c r="G376" s="9"/>
      <c r="O376" s="3"/>
    </row>
    <row r="377" spans="4:15" x14ac:dyDescent="0.25">
      <c r="D377" s="8"/>
      <c r="E377" s="8"/>
      <c r="F377" s="3"/>
      <c r="O377" s="3"/>
    </row>
    <row r="378" spans="4:15" x14ac:dyDescent="0.25">
      <c r="D378" s="8"/>
      <c r="E378" s="8"/>
      <c r="F378" s="3"/>
      <c r="G378" s="9"/>
      <c r="O378" s="3"/>
    </row>
    <row r="379" spans="4:15" x14ac:dyDescent="0.25">
      <c r="D379" s="8"/>
      <c r="E379" s="8"/>
      <c r="F379" s="3"/>
      <c r="G379" s="9"/>
      <c r="O379" s="3"/>
    </row>
    <row r="380" spans="4:15" x14ac:dyDescent="0.25">
      <c r="D380" s="8"/>
      <c r="E380" s="8"/>
      <c r="F380" s="3"/>
      <c r="G380" s="9"/>
      <c r="O380" s="3"/>
    </row>
    <row r="381" spans="4:15" x14ac:dyDescent="0.25">
      <c r="D381" s="8"/>
      <c r="E381" s="8"/>
      <c r="F381" s="3"/>
      <c r="G381" s="9"/>
      <c r="O381" s="3"/>
    </row>
    <row r="382" spans="4:15" x14ac:dyDescent="0.25">
      <c r="D382" s="8"/>
      <c r="E382" s="8"/>
      <c r="F382" s="3"/>
      <c r="G382" s="9"/>
      <c r="O382" s="3"/>
    </row>
    <row r="383" spans="4:15" x14ac:dyDescent="0.25">
      <c r="D383" s="8"/>
      <c r="E383" s="8"/>
      <c r="F383" s="3"/>
      <c r="G383" s="9"/>
      <c r="O383" s="3"/>
    </row>
    <row r="384" spans="4:15" x14ac:dyDescent="0.25">
      <c r="D384" s="8"/>
      <c r="E384" s="8"/>
      <c r="F384" s="3"/>
      <c r="G384" s="9"/>
      <c r="O384" s="3"/>
    </row>
    <row r="385" spans="4:15" x14ac:dyDescent="0.25">
      <c r="D385" s="8"/>
      <c r="E385" s="8"/>
      <c r="F385" s="3"/>
      <c r="G385" s="9"/>
      <c r="O385" s="3"/>
    </row>
    <row r="386" spans="4:15" x14ac:dyDescent="0.25">
      <c r="D386" s="8"/>
      <c r="E386" s="8"/>
      <c r="F386" s="3"/>
      <c r="G386" s="9"/>
      <c r="O386" s="3"/>
    </row>
    <row r="387" spans="4:15" x14ac:dyDescent="0.25">
      <c r="D387" s="8"/>
      <c r="E387" s="8"/>
      <c r="F387" s="3"/>
      <c r="G387" s="9"/>
      <c r="O387" s="3"/>
    </row>
    <row r="388" spans="4:15" x14ac:dyDescent="0.25">
      <c r="D388" s="8"/>
      <c r="E388" s="8"/>
      <c r="F388" s="3"/>
      <c r="G388" s="9"/>
      <c r="O388" s="3"/>
    </row>
    <row r="389" spans="4:15" x14ac:dyDescent="0.25">
      <c r="D389" s="8"/>
      <c r="E389" s="8"/>
      <c r="F389" s="3"/>
      <c r="G389" s="9"/>
      <c r="O389" s="3"/>
    </row>
    <row r="390" spans="4:15" x14ac:dyDescent="0.25">
      <c r="D390" s="8"/>
      <c r="E390" s="8"/>
      <c r="F390" s="3"/>
      <c r="G390" s="9"/>
      <c r="O390" s="3"/>
    </row>
    <row r="391" spans="4:15" x14ac:dyDescent="0.25">
      <c r="D391" s="8"/>
      <c r="E391" s="8"/>
      <c r="F391" s="3"/>
      <c r="G391" s="9"/>
      <c r="O391" s="3"/>
    </row>
    <row r="392" spans="4:15" x14ac:dyDescent="0.25">
      <c r="D392" s="8"/>
      <c r="E392" s="8"/>
      <c r="F392" s="3"/>
      <c r="G392" s="9"/>
      <c r="O392" s="3"/>
    </row>
    <row r="393" spans="4:15" x14ac:dyDescent="0.25">
      <c r="D393" s="8"/>
      <c r="E393" s="8"/>
      <c r="F393" s="3"/>
      <c r="G393" s="9"/>
      <c r="O393" s="3"/>
    </row>
    <row r="394" spans="4:15" x14ac:dyDescent="0.25">
      <c r="D394" s="8"/>
      <c r="E394" s="8"/>
      <c r="F394" s="3"/>
      <c r="G394" s="9"/>
      <c r="O394" s="3"/>
    </row>
    <row r="395" spans="4:15" x14ac:dyDescent="0.25">
      <c r="D395" s="8"/>
      <c r="E395" s="8"/>
      <c r="F395" s="3"/>
      <c r="G395" s="9"/>
      <c r="O395" s="3"/>
    </row>
    <row r="396" spans="4:15" x14ac:dyDescent="0.25">
      <c r="D396" s="8"/>
      <c r="E396" s="8"/>
      <c r="F396" s="3"/>
      <c r="G396" s="9"/>
      <c r="O396" s="3"/>
    </row>
    <row r="397" spans="4:15" x14ac:dyDescent="0.25">
      <c r="D397" s="8"/>
      <c r="E397" s="8"/>
      <c r="F397" s="3"/>
      <c r="G397" s="9"/>
      <c r="O397" s="3"/>
    </row>
    <row r="398" spans="4:15" x14ac:dyDescent="0.25">
      <c r="D398" s="8"/>
      <c r="E398" s="8"/>
      <c r="F398" s="3"/>
      <c r="G398" s="9"/>
      <c r="O398" s="3"/>
    </row>
    <row r="399" spans="4:15" x14ac:dyDescent="0.25">
      <c r="D399" s="8"/>
      <c r="E399" s="8"/>
      <c r="F399" s="3"/>
      <c r="G399" s="9"/>
      <c r="O399" s="3"/>
    </row>
    <row r="400" spans="4:15" x14ac:dyDescent="0.25">
      <c r="D400" s="8"/>
      <c r="E400" s="8"/>
      <c r="F400" s="3"/>
      <c r="G400" s="9"/>
      <c r="O400" s="3"/>
    </row>
    <row r="401" spans="4:15" x14ac:dyDescent="0.25">
      <c r="D401" s="8"/>
      <c r="E401" s="8"/>
      <c r="F401" s="3"/>
      <c r="G401" s="9"/>
      <c r="O401" s="3"/>
    </row>
    <row r="402" spans="4:15" x14ac:dyDescent="0.25">
      <c r="D402" s="8"/>
      <c r="E402" s="8"/>
      <c r="F402" s="3"/>
      <c r="O402" s="3"/>
    </row>
    <row r="403" spans="4:15" x14ac:dyDescent="0.25">
      <c r="D403" s="8"/>
      <c r="E403" s="8"/>
      <c r="F403" s="3"/>
      <c r="G403" s="9"/>
      <c r="O403" s="3"/>
    </row>
    <row r="404" spans="4:15" x14ac:dyDescent="0.25">
      <c r="D404" s="8"/>
      <c r="E404" s="8"/>
      <c r="F404" s="3"/>
      <c r="G404" s="9"/>
      <c r="O404" s="3"/>
    </row>
    <row r="405" spans="4:15" x14ac:dyDescent="0.25">
      <c r="D405" s="8"/>
      <c r="E405" s="8"/>
      <c r="F405" s="3"/>
      <c r="G405" s="9"/>
      <c r="O405" s="3"/>
    </row>
    <row r="406" spans="4:15" x14ac:dyDescent="0.25">
      <c r="D406" s="8"/>
      <c r="E406" s="8"/>
      <c r="F406" s="3"/>
      <c r="G406" s="9"/>
      <c r="O406" s="3"/>
    </row>
    <row r="407" spans="4:15" x14ac:dyDescent="0.25">
      <c r="D407" s="8"/>
      <c r="E407" s="8"/>
      <c r="F407" s="3"/>
      <c r="G407" s="9"/>
      <c r="O407" s="3"/>
    </row>
    <row r="408" spans="4:15" x14ac:dyDescent="0.25">
      <c r="D408" s="8"/>
      <c r="E408" s="8"/>
      <c r="F408" s="3"/>
      <c r="G408" s="9"/>
      <c r="O408" s="3"/>
    </row>
    <row r="409" spans="4:15" x14ac:dyDescent="0.25">
      <c r="D409" s="8"/>
      <c r="E409" s="8"/>
      <c r="F409" s="3"/>
      <c r="G409" s="9"/>
      <c r="O409" s="3"/>
    </row>
    <row r="410" spans="4:15" x14ac:dyDescent="0.25">
      <c r="D410" s="8"/>
      <c r="E410" s="8"/>
      <c r="F410" s="3"/>
      <c r="G410" s="9"/>
      <c r="O410" s="3"/>
    </row>
    <row r="411" spans="4:15" x14ac:dyDescent="0.25">
      <c r="D411" s="8"/>
      <c r="E411" s="8"/>
      <c r="F411" s="3"/>
      <c r="G411" s="9"/>
      <c r="O411" s="3"/>
    </row>
    <row r="412" spans="4:15" x14ac:dyDescent="0.25">
      <c r="D412" s="8"/>
      <c r="E412" s="8"/>
      <c r="F412" s="3"/>
      <c r="G412" s="9"/>
      <c r="O412" s="3"/>
    </row>
    <row r="413" spans="4:15" x14ac:dyDescent="0.25">
      <c r="D413" s="8"/>
      <c r="E413" s="8"/>
      <c r="F413" s="3"/>
      <c r="G413" s="9"/>
      <c r="O413" s="3"/>
    </row>
    <row r="414" spans="4:15" x14ac:dyDescent="0.25">
      <c r="D414" s="8"/>
      <c r="E414" s="8"/>
      <c r="F414" s="3"/>
      <c r="G414" s="9"/>
      <c r="O414" s="3"/>
    </row>
    <row r="415" spans="4:15" x14ac:dyDescent="0.25">
      <c r="D415" s="8"/>
      <c r="E415" s="8"/>
      <c r="F415" s="3"/>
      <c r="G415" s="9"/>
      <c r="O415" s="3"/>
    </row>
    <row r="416" spans="4:15" x14ac:dyDescent="0.25">
      <c r="D416" s="8"/>
      <c r="E416" s="8"/>
      <c r="F416" s="3"/>
      <c r="G416" s="9"/>
      <c r="O416" s="3"/>
    </row>
    <row r="417" spans="4:15" x14ac:dyDescent="0.25">
      <c r="D417" s="8"/>
      <c r="E417" s="8"/>
      <c r="F417" s="3"/>
      <c r="G417" s="9"/>
      <c r="O417" s="3"/>
    </row>
    <row r="418" spans="4:15" x14ac:dyDescent="0.25">
      <c r="D418" s="8"/>
      <c r="E418" s="8"/>
      <c r="F418" s="3"/>
      <c r="G418" s="9"/>
      <c r="O418" s="3"/>
    </row>
    <row r="419" spans="4:15" x14ac:dyDescent="0.25">
      <c r="D419" s="8"/>
      <c r="E419" s="8"/>
      <c r="F419" s="3"/>
      <c r="G419" s="9"/>
      <c r="O419" s="3"/>
    </row>
    <row r="420" spans="4:15" x14ac:dyDescent="0.25">
      <c r="D420" s="8"/>
      <c r="E420" s="8"/>
      <c r="F420" s="3"/>
      <c r="G420" s="9"/>
      <c r="O420" s="3"/>
    </row>
    <row r="421" spans="4:15" x14ac:dyDescent="0.25">
      <c r="D421" s="8"/>
      <c r="E421" s="8"/>
      <c r="F421" s="3"/>
      <c r="G421" s="9"/>
      <c r="O421" s="3"/>
    </row>
    <row r="422" spans="4:15" x14ac:dyDescent="0.25">
      <c r="D422" s="8"/>
      <c r="E422" s="8"/>
      <c r="F422" s="3"/>
      <c r="G422" s="9"/>
      <c r="O422" s="3"/>
    </row>
    <row r="423" spans="4:15" x14ac:dyDescent="0.25">
      <c r="D423" s="8"/>
      <c r="E423" s="8"/>
      <c r="F423" s="3"/>
      <c r="G423" s="9"/>
      <c r="O423" s="3"/>
    </row>
    <row r="424" spans="4:15" x14ac:dyDescent="0.25">
      <c r="D424" s="8"/>
      <c r="E424" s="8"/>
      <c r="F424" s="3"/>
      <c r="G424" s="9"/>
      <c r="O424" s="3"/>
    </row>
    <row r="425" spans="4:15" x14ac:dyDescent="0.25">
      <c r="D425" s="8"/>
      <c r="E425" s="8"/>
      <c r="F425" s="3"/>
      <c r="G425" s="9"/>
      <c r="O425" s="3"/>
    </row>
    <row r="426" spans="4:15" x14ac:dyDescent="0.25">
      <c r="D426" s="8"/>
      <c r="E426" s="8"/>
      <c r="F426" s="3"/>
      <c r="G426" s="9"/>
      <c r="O426" s="3"/>
    </row>
    <row r="427" spans="4:15" x14ac:dyDescent="0.25">
      <c r="D427" s="8"/>
      <c r="E427" s="8"/>
      <c r="F427" s="3"/>
      <c r="O427" s="3"/>
    </row>
    <row r="428" spans="4:15" x14ac:dyDescent="0.25">
      <c r="D428" s="8"/>
      <c r="E428" s="8"/>
      <c r="F428" s="3"/>
      <c r="G428" s="9"/>
      <c r="O428" s="3"/>
    </row>
    <row r="429" spans="4:15" x14ac:dyDescent="0.25">
      <c r="D429" s="8"/>
      <c r="E429" s="8"/>
      <c r="F429" s="3"/>
      <c r="G429" s="9"/>
      <c r="O429" s="3"/>
    </row>
    <row r="430" spans="4:15" x14ac:dyDescent="0.25">
      <c r="D430" s="8"/>
      <c r="E430" s="8"/>
      <c r="F430" s="3"/>
      <c r="G430" s="9"/>
      <c r="O430" s="3"/>
    </row>
    <row r="431" spans="4:15" x14ac:dyDescent="0.25">
      <c r="D431" s="8"/>
      <c r="E431" s="8"/>
      <c r="F431" s="3"/>
      <c r="G431" s="9"/>
      <c r="O431" s="3"/>
    </row>
    <row r="432" spans="4:15" x14ac:dyDescent="0.25">
      <c r="D432" s="8"/>
      <c r="E432" s="8"/>
      <c r="F432" s="3"/>
      <c r="G432" s="9"/>
      <c r="O432" s="3"/>
    </row>
    <row r="433" spans="4:15" x14ac:dyDescent="0.25">
      <c r="D433" s="8"/>
      <c r="E433" s="8"/>
      <c r="F433" s="3"/>
      <c r="G433" s="9"/>
      <c r="O433" s="3"/>
    </row>
    <row r="434" spans="4:15" x14ac:dyDescent="0.25">
      <c r="D434" s="8"/>
      <c r="E434" s="8"/>
      <c r="F434" s="3"/>
      <c r="G434" s="9"/>
      <c r="O434" s="3"/>
    </row>
    <row r="435" spans="4:15" x14ac:dyDescent="0.25">
      <c r="D435" s="8"/>
      <c r="E435" s="8"/>
      <c r="F435" s="3"/>
      <c r="G435" s="9"/>
      <c r="O435" s="3"/>
    </row>
    <row r="436" spans="4:15" x14ac:dyDescent="0.25">
      <c r="D436" s="8"/>
      <c r="E436" s="8"/>
      <c r="F436" s="3"/>
      <c r="G436" s="9"/>
      <c r="O436" s="3"/>
    </row>
    <row r="437" spans="4:15" x14ac:dyDescent="0.25">
      <c r="D437" s="8"/>
      <c r="E437" s="8"/>
      <c r="F437" s="3"/>
      <c r="G437" s="9"/>
      <c r="O437" s="3"/>
    </row>
    <row r="438" spans="4:15" x14ac:dyDescent="0.25">
      <c r="D438" s="8"/>
      <c r="E438" s="8"/>
      <c r="F438" s="3"/>
      <c r="G438" s="9"/>
      <c r="O438" s="3"/>
    </row>
    <row r="439" spans="4:15" x14ac:dyDescent="0.25">
      <c r="D439" s="8"/>
      <c r="E439" s="8"/>
      <c r="F439" s="3"/>
      <c r="G439" s="9"/>
      <c r="O439" s="3"/>
    </row>
    <row r="440" spans="4:15" x14ac:dyDescent="0.25">
      <c r="D440" s="8"/>
      <c r="E440" s="8"/>
      <c r="F440" s="3"/>
      <c r="G440" s="9"/>
      <c r="O440" s="3"/>
    </row>
    <row r="441" spans="4:15" x14ac:dyDescent="0.25">
      <c r="D441" s="8"/>
      <c r="E441" s="8"/>
      <c r="F441" s="3"/>
      <c r="G441" s="9"/>
      <c r="O441" s="3"/>
    </row>
    <row r="442" spans="4:15" x14ac:dyDescent="0.25">
      <c r="D442" s="8"/>
      <c r="E442" s="8"/>
      <c r="F442" s="3"/>
      <c r="G442" s="9"/>
      <c r="O442" s="3"/>
    </row>
    <row r="443" spans="4:15" x14ac:dyDescent="0.25">
      <c r="D443" s="8"/>
      <c r="E443" s="8"/>
      <c r="F443" s="3"/>
      <c r="G443" s="9"/>
      <c r="O443" s="3"/>
    </row>
    <row r="444" spans="4:15" x14ac:dyDescent="0.25">
      <c r="D444" s="8"/>
      <c r="E444" s="8"/>
      <c r="F444" s="3"/>
      <c r="G444" s="9"/>
      <c r="O444" s="3"/>
    </row>
    <row r="445" spans="4:15" x14ac:dyDescent="0.25">
      <c r="D445" s="8"/>
      <c r="E445" s="8"/>
      <c r="F445" s="3"/>
      <c r="G445" s="9"/>
      <c r="O445" s="3"/>
    </row>
    <row r="446" spans="4:15" x14ac:dyDescent="0.25">
      <c r="D446" s="8"/>
      <c r="E446" s="8"/>
      <c r="F446" s="3"/>
      <c r="G446" s="9"/>
      <c r="O446" s="3"/>
    </row>
    <row r="447" spans="4:15" x14ac:dyDescent="0.25">
      <c r="D447" s="8"/>
      <c r="E447" s="8"/>
      <c r="F447" s="3"/>
      <c r="G447" s="9"/>
      <c r="O447" s="3"/>
    </row>
    <row r="448" spans="4:15" x14ac:dyDescent="0.25">
      <c r="D448" s="8"/>
      <c r="E448" s="8"/>
      <c r="F448" s="3"/>
      <c r="G448" s="9"/>
      <c r="O448" s="3"/>
    </row>
    <row r="449" spans="4:15" x14ac:dyDescent="0.25">
      <c r="D449" s="8"/>
      <c r="E449" s="8"/>
      <c r="F449" s="3"/>
      <c r="G449" s="9"/>
      <c r="O449" s="3"/>
    </row>
    <row r="450" spans="4:15" x14ac:dyDescent="0.25">
      <c r="D450" s="8"/>
      <c r="E450" s="8"/>
      <c r="F450" s="3"/>
      <c r="G450" s="9"/>
      <c r="O450" s="3"/>
    </row>
    <row r="451" spans="4:15" x14ac:dyDescent="0.25">
      <c r="D451" s="8"/>
      <c r="E451" s="8"/>
      <c r="F451" s="3"/>
      <c r="G451" s="9"/>
      <c r="O451" s="3"/>
    </row>
    <row r="452" spans="4:15" x14ac:dyDescent="0.25">
      <c r="D452" s="8"/>
      <c r="E452" s="8"/>
      <c r="F452" s="3"/>
      <c r="O452" s="3"/>
    </row>
    <row r="453" spans="4:15" x14ac:dyDescent="0.25">
      <c r="D453" s="8"/>
      <c r="E453" s="8"/>
      <c r="F453" s="3"/>
      <c r="G453" s="9"/>
      <c r="O453" s="3"/>
    </row>
    <row r="454" spans="4:15" x14ac:dyDescent="0.25">
      <c r="D454" s="8"/>
      <c r="E454" s="8"/>
      <c r="F454" s="3"/>
      <c r="G454" s="9"/>
      <c r="O454" s="3"/>
    </row>
    <row r="455" spans="4:15" x14ac:dyDescent="0.25">
      <c r="D455" s="8"/>
      <c r="E455" s="8"/>
      <c r="F455" s="3"/>
      <c r="G455" s="9"/>
      <c r="O455" s="3"/>
    </row>
    <row r="456" spans="4:15" x14ac:dyDescent="0.25">
      <c r="D456" s="8"/>
      <c r="E456" s="8"/>
      <c r="F456" s="3"/>
      <c r="G456" s="9"/>
      <c r="O456" s="3"/>
    </row>
    <row r="457" spans="4:15" x14ac:dyDescent="0.25">
      <c r="D457" s="8"/>
      <c r="E457" s="8"/>
      <c r="F457" s="3"/>
      <c r="G457" s="9"/>
      <c r="O457" s="3"/>
    </row>
    <row r="458" spans="4:15" x14ac:dyDescent="0.25">
      <c r="D458" s="8"/>
      <c r="E458" s="8"/>
      <c r="F458" s="3"/>
      <c r="G458" s="9"/>
      <c r="O458" s="3"/>
    </row>
    <row r="459" spans="4:15" x14ac:dyDescent="0.25">
      <c r="D459" s="8"/>
      <c r="E459" s="8"/>
      <c r="F459" s="3"/>
      <c r="G459" s="9"/>
      <c r="O459" s="3"/>
    </row>
    <row r="460" spans="4:15" x14ac:dyDescent="0.25">
      <c r="D460" s="8"/>
      <c r="E460" s="8"/>
      <c r="F460" s="3"/>
      <c r="G460" s="9"/>
      <c r="O460" s="3"/>
    </row>
    <row r="461" spans="4:15" x14ac:dyDescent="0.25">
      <c r="D461" s="8"/>
      <c r="E461" s="8"/>
      <c r="F461" s="3"/>
      <c r="G461" s="9"/>
      <c r="O461" s="3"/>
    </row>
    <row r="462" spans="4:15" x14ac:dyDescent="0.25">
      <c r="D462" s="8"/>
      <c r="E462" s="8"/>
      <c r="F462" s="3"/>
      <c r="G462" s="9"/>
      <c r="O462" s="3"/>
    </row>
    <row r="463" spans="4:15" x14ac:dyDescent="0.25">
      <c r="D463" s="8"/>
      <c r="E463" s="8"/>
      <c r="F463" s="3"/>
      <c r="G463" s="9"/>
      <c r="O463" s="3"/>
    </row>
    <row r="464" spans="4:15" x14ac:dyDescent="0.25">
      <c r="D464" s="8"/>
      <c r="E464" s="8"/>
      <c r="F464" s="3"/>
      <c r="G464" s="9"/>
      <c r="O464" s="3"/>
    </row>
    <row r="465" spans="4:15" x14ac:dyDescent="0.25">
      <c r="D465" s="8"/>
      <c r="E465" s="8"/>
      <c r="F465" s="3"/>
      <c r="G465" s="9"/>
      <c r="O465" s="3"/>
    </row>
    <row r="466" spans="4:15" x14ac:dyDescent="0.25">
      <c r="D466" s="8"/>
      <c r="E466" s="8"/>
      <c r="F466" s="3"/>
      <c r="G466" s="9"/>
      <c r="O466" s="3"/>
    </row>
    <row r="467" spans="4:15" x14ac:dyDescent="0.25">
      <c r="D467" s="8"/>
      <c r="E467" s="8"/>
      <c r="F467" s="3"/>
      <c r="G467" s="9"/>
      <c r="O467" s="3"/>
    </row>
    <row r="468" spans="4:15" x14ac:dyDescent="0.25">
      <c r="D468" s="8"/>
      <c r="E468" s="8"/>
      <c r="F468" s="3"/>
      <c r="G468" s="9"/>
      <c r="O468" s="3"/>
    </row>
    <row r="469" spans="4:15" x14ac:dyDescent="0.25">
      <c r="D469" s="8"/>
      <c r="E469" s="8"/>
      <c r="F469" s="3"/>
      <c r="G469" s="9"/>
      <c r="O469" s="3"/>
    </row>
    <row r="470" spans="4:15" x14ac:dyDescent="0.25">
      <c r="D470" s="8"/>
      <c r="E470" s="8"/>
      <c r="F470" s="3"/>
      <c r="G470" s="9"/>
      <c r="O470" s="3"/>
    </row>
    <row r="471" spans="4:15" x14ac:dyDescent="0.25">
      <c r="D471" s="8"/>
      <c r="E471" s="8"/>
      <c r="F471" s="3"/>
      <c r="G471" s="9"/>
      <c r="O471" s="3"/>
    </row>
    <row r="472" spans="4:15" x14ac:dyDescent="0.25">
      <c r="D472" s="8"/>
      <c r="E472" s="8"/>
      <c r="F472" s="3"/>
      <c r="G472" s="9"/>
      <c r="O472" s="3"/>
    </row>
    <row r="473" spans="4:15" x14ac:dyDescent="0.25">
      <c r="D473" s="8"/>
      <c r="E473" s="8"/>
      <c r="F473" s="3"/>
      <c r="G473" s="9"/>
      <c r="O473" s="3"/>
    </row>
    <row r="474" spans="4:15" x14ac:dyDescent="0.25">
      <c r="D474" s="8"/>
      <c r="E474" s="8"/>
      <c r="F474" s="3"/>
      <c r="G474" s="9"/>
      <c r="O474" s="3"/>
    </row>
    <row r="475" spans="4:15" x14ac:dyDescent="0.25">
      <c r="D475" s="8"/>
      <c r="E475" s="8"/>
      <c r="F475" s="3"/>
      <c r="G475" s="9"/>
      <c r="O475" s="3"/>
    </row>
    <row r="476" spans="4:15" x14ac:dyDescent="0.25">
      <c r="D476" s="8"/>
      <c r="E476" s="8"/>
      <c r="F476" s="3"/>
      <c r="G476" s="9"/>
      <c r="O476" s="3"/>
    </row>
    <row r="477" spans="4:15" x14ac:dyDescent="0.25">
      <c r="D477" s="8"/>
      <c r="E477" s="8"/>
      <c r="F477" s="3"/>
      <c r="O477" s="3"/>
    </row>
    <row r="478" spans="4:15" x14ac:dyDescent="0.25">
      <c r="D478" s="8"/>
      <c r="E478" s="8"/>
      <c r="F478" s="3"/>
      <c r="G478" s="9"/>
      <c r="O478" s="3"/>
    </row>
    <row r="479" spans="4:15" x14ac:dyDescent="0.25">
      <c r="D479" s="8"/>
      <c r="E479" s="8"/>
      <c r="F479" s="3"/>
      <c r="G479" s="9"/>
      <c r="O479" s="3"/>
    </row>
    <row r="480" spans="4:15" x14ac:dyDescent="0.25">
      <c r="D480" s="8"/>
      <c r="E480" s="8"/>
      <c r="F480" s="3"/>
      <c r="G480" s="9"/>
      <c r="O480" s="3"/>
    </row>
    <row r="481" spans="4:15" x14ac:dyDescent="0.25">
      <c r="D481" s="8"/>
      <c r="E481" s="8"/>
      <c r="F481" s="3"/>
      <c r="G481" s="9"/>
      <c r="O481" s="3"/>
    </row>
    <row r="482" spans="4:15" x14ac:dyDescent="0.25">
      <c r="D482" s="8"/>
      <c r="E482" s="8"/>
      <c r="F482" s="3"/>
      <c r="G482" s="9"/>
      <c r="O482" s="3"/>
    </row>
    <row r="483" spans="4:15" x14ac:dyDescent="0.25">
      <c r="D483" s="8"/>
      <c r="E483" s="8"/>
      <c r="F483" s="3"/>
      <c r="G483" s="9"/>
      <c r="O483" s="3"/>
    </row>
    <row r="484" spans="4:15" x14ac:dyDescent="0.25">
      <c r="D484" s="8"/>
      <c r="E484" s="8"/>
      <c r="F484" s="3"/>
      <c r="G484" s="9"/>
      <c r="O484" s="3"/>
    </row>
    <row r="485" spans="4:15" x14ac:dyDescent="0.25">
      <c r="D485" s="8"/>
      <c r="E485" s="8"/>
      <c r="F485" s="3"/>
      <c r="G485" s="9"/>
      <c r="O485" s="3"/>
    </row>
    <row r="486" spans="4:15" x14ac:dyDescent="0.25">
      <c r="D486" s="8"/>
      <c r="E486" s="8"/>
      <c r="F486" s="3"/>
      <c r="G486" s="9"/>
      <c r="O486" s="3"/>
    </row>
    <row r="487" spans="4:15" x14ac:dyDescent="0.25">
      <c r="D487" s="8"/>
      <c r="E487" s="8"/>
      <c r="F487" s="3"/>
      <c r="G487" s="9"/>
      <c r="O487" s="3"/>
    </row>
    <row r="488" spans="4:15" x14ac:dyDescent="0.25">
      <c r="D488" s="8"/>
      <c r="E488" s="8"/>
      <c r="F488" s="3"/>
      <c r="G488" s="9"/>
      <c r="O488" s="3"/>
    </row>
    <row r="489" spans="4:15" x14ac:dyDescent="0.25">
      <c r="D489" s="8"/>
      <c r="E489" s="8"/>
      <c r="F489" s="3"/>
      <c r="G489" s="9"/>
      <c r="O489" s="3"/>
    </row>
    <row r="490" spans="4:15" x14ac:dyDescent="0.25">
      <c r="D490" s="8"/>
      <c r="E490" s="8"/>
      <c r="F490" s="3"/>
      <c r="G490" s="9"/>
      <c r="O490" s="3"/>
    </row>
    <row r="491" spans="4:15" x14ac:dyDescent="0.25">
      <c r="D491" s="8"/>
      <c r="E491" s="8"/>
      <c r="F491" s="3"/>
      <c r="G491" s="9"/>
      <c r="O491" s="3"/>
    </row>
    <row r="492" spans="4:15" x14ac:dyDescent="0.25">
      <c r="D492" s="8"/>
      <c r="E492" s="8"/>
      <c r="F492" s="3"/>
      <c r="G492" s="9"/>
      <c r="O492" s="3"/>
    </row>
    <row r="493" spans="4:15" x14ac:dyDescent="0.25">
      <c r="D493" s="8"/>
      <c r="E493" s="8"/>
      <c r="F493" s="3"/>
      <c r="G493" s="9"/>
      <c r="O493" s="3"/>
    </row>
    <row r="494" spans="4:15" x14ac:dyDescent="0.25">
      <c r="D494" s="8"/>
      <c r="E494" s="8"/>
      <c r="F494" s="3"/>
      <c r="G494" s="9"/>
      <c r="O494" s="3"/>
    </row>
    <row r="495" spans="4:15" x14ac:dyDescent="0.25">
      <c r="D495" s="8"/>
      <c r="E495" s="8"/>
      <c r="F495" s="3"/>
      <c r="G495" s="9"/>
      <c r="O495" s="3"/>
    </row>
    <row r="496" spans="4:15" x14ac:dyDescent="0.25">
      <c r="D496" s="8"/>
      <c r="E496" s="8"/>
      <c r="F496" s="3"/>
      <c r="G496" s="9"/>
      <c r="O496" s="3"/>
    </row>
    <row r="497" spans="4:15" x14ac:dyDescent="0.25">
      <c r="D497" s="8"/>
      <c r="E497" s="8"/>
      <c r="F497" s="3"/>
      <c r="G497" s="9"/>
      <c r="O497" s="3"/>
    </row>
    <row r="498" spans="4:15" x14ac:dyDescent="0.25">
      <c r="D498" s="8"/>
      <c r="E498" s="8"/>
      <c r="F498" s="3"/>
      <c r="G498" s="9"/>
      <c r="O498" s="3"/>
    </row>
    <row r="499" spans="4:15" x14ac:dyDescent="0.25">
      <c r="D499" s="8"/>
      <c r="E499" s="8"/>
      <c r="F499" s="3"/>
      <c r="G499" s="9"/>
      <c r="O499" s="3"/>
    </row>
    <row r="500" spans="4:15" x14ac:dyDescent="0.25">
      <c r="D500" s="8"/>
      <c r="E500" s="8"/>
      <c r="F500" s="3"/>
      <c r="G500" s="9"/>
      <c r="O500" s="3"/>
    </row>
    <row r="501" spans="4:15" x14ac:dyDescent="0.25">
      <c r="D501" s="8"/>
      <c r="E501" s="8"/>
      <c r="F501" s="3"/>
      <c r="G501" s="9"/>
      <c r="O501" s="3"/>
    </row>
    <row r="502" spans="4:15" x14ac:dyDescent="0.25">
      <c r="D502" s="8"/>
      <c r="E502" s="8"/>
      <c r="F502" s="3"/>
      <c r="O502" s="3"/>
    </row>
    <row r="503" spans="4:15" x14ac:dyDescent="0.25">
      <c r="D503" s="8"/>
      <c r="E503" s="8"/>
      <c r="F503" s="3"/>
      <c r="G503" s="9"/>
      <c r="O503" s="3"/>
    </row>
    <row r="504" spans="4:15" x14ac:dyDescent="0.25">
      <c r="D504" s="8"/>
      <c r="E504" s="8"/>
      <c r="F504" s="3"/>
      <c r="G504" s="9"/>
      <c r="O504" s="3"/>
    </row>
    <row r="505" spans="4:15" x14ac:dyDescent="0.25">
      <c r="D505" s="8"/>
      <c r="E505" s="8"/>
      <c r="F505" s="3"/>
      <c r="G505" s="9"/>
      <c r="O505" s="3"/>
    </row>
    <row r="506" spans="4:15" x14ac:dyDescent="0.25">
      <c r="D506" s="8"/>
      <c r="E506" s="8"/>
      <c r="F506" s="3"/>
      <c r="G506" s="9"/>
      <c r="O506" s="3"/>
    </row>
    <row r="507" spans="4:15" x14ac:dyDescent="0.25">
      <c r="D507" s="8"/>
      <c r="E507" s="8"/>
      <c r="F507" s="3"/>
      <c r="G507" s="9"/>
      <c r="O507" s="3"/>
    </row>
    <row r="508" spans="4:15" x14ac:dyDescent="0.25">
      <c r="D508" s="8"/>
      <c r="E508" s="8"/>
      <c r="F508" s="3"/>
      <c r="G508" s="9"/>
      <c r="O508" s="3"/>
    </row>
    <row r="509" spans="4:15" x14ac:dyDescent="0.25">
      <c r="D509" s="8"/>
      <c r="E509" s="8"/>
      <c r="F509" s="3"/>
      <c r="G509" s="9"/>
      <c r="O509" s="3"/>
    </row>
    <row r="510" spans="4:15" x14ac:dyDescent="0.25">
      <c r="D510" s="8"/>
      <c r="E510" s="8"/>
      <c r="F510" s="3"/>
      <c r="G510" s="9"/>
      <c r="O510" s="3"/>
    </row>
    <row r="511" spans="4:15" x14ac:dyDescent="0.25">
      <c r="D511" s="8"/>
      <c r="E511" s="8"/>
      <c r="F511" s="3"/>
      <c r="G511" s="9"/>
      <c r="O511" s="3"/>
    </row>
    <row r="512" spans="4:15" x14ac:dyDescent="0.25">
      <c r="D512" s="8"/>
      <c r="E512" s="8"/>
      <c r="F512" s="3"/>
      <c r="G512" s="9"/>
      <c r="O512" s="3"/>
    </row>
    <row r="513" spans="4:15" x14ac:dyDescent="0.25">
      <c r="D513" s="8"/>
      <c r="E513" s="8"/>
      <c r="F513" s="3"/>
      <c r="G513" s="9"/>
      <c r="O513" s="3"/>
    </row>
    <row r="514" spans="4:15" x14ac:dyDescent="0.25">
      <c r="D514" s="8"/>
      <c r="E514" s="8"/>
      <c r="F514" s="3"/>
      <c r="G514" s="9"/>
      <c r="O514" s="3"/>
    </row>
    <row r="515" spans="4:15" x14ac:dyDescent="0.25">
      <c r="D515" s="8"/>
      <c r="E515" s="8"/>
      <c r="F515" s="3"/>
      <c r="G515" s="9"/>
      <c r="O515" s="3"/>
    </row>
    <row r="516" spans="4:15" x14ac:dyDescent="0.25">
      <c r="D516" s="8"/>
      <c r="E516" s="8"/>
      <c r="F516" s="3"/>
      <c r="G516" s="9"/>
      <c r="O516" s="3"/>
    </row>
    <row r="517" spans="4:15" x14ac:dyDescent="0.25">
      <c r="D517" s="8"/>
      <c r="E517" s="8"/>
      <c r="F517" s="3"/>
      <c r="G517" s="9"/>
      <c r="O517" s="3"/>
    </row>
    <row r="518" spans="4:15" x14ac:dyDescent="0.25">
      <c r="D518" s="8"/>
      <c r="E518" s="8"/>
      <c r="F518" s="3"/>
      <c r="G518" s="9"/>
      <c r="O518" s="3"/>
    </row>
    <row r="519" spans="4:15" x14ac:dyDescent="0.25">
      <c r="D519" s="8"/>
      <c r="E519" s="8"/>
      <c r="F519" s="3"/>
      <c r="G519" s="9"/>
      <c r="O519" s="3"/>
    </row>
    <row r="520" spans="4:15" x14ac:dyDescent="0.25">
      <c r="D520" s="8"/>
      <c r="E520" s="8"/>
      <c r="F520" s="3"/>
      <c r="G520" s="9"/>
      <c r="O520" s="3"/>
    </row>
    <row r="521" spans="4:15" x14ac:dyDescent="0.25">
      <c r="D521" s="8"/>
      <c r="E521" s="8"/>
      <c r="F521" s="3"/>
      <c r="G521" s="9"/>
      <c r="O521" s="3"/>
    </row>
    <row r="522" spans="4:15" x14ac:dyDescent="0.25">
      <c r="D522" s="8"/>
      <c r="E522" s="8"/>
      <c r="F522" s="3"/>
      <c r="G522" s="9"/>
      <c r="O522" s="3"/>
    </row>
    <row r="523" spans="4:15" x14ac:dyDescent="0.25">
      <c r="D523" s="8"/>
      <c r="E523" s="8"/>
      <c r="F523" s="3"/>
      <c r="G523" s="9"/>
      <c r="O523" s="3"/>
    </row>
    <row r="524" spans="4:15" x14ac:dyDescent="0.25">
      <c r="D524" s="8"/>
      <c r="E524" s="8"/>
      <c r="F524" s="3"/>
      <c r="G524" s="9"/>
      <c r="O524" s="3"/>
    </row>
    <row r="525" spans="4:15" x14ac:dyDescent="0.25">
      <c r="D525" s="8"/>
      <c r="E525" s="8"/>
      <c r="F525" s="3"/>
      <c r="G525" s="9"/>
      <c r="O525" s="3"/>
    </row>
    <row r="526" spans="4:15" x14ac:dyDescent="0.25">
      <c r="D526" s="8"/>
      <c r="E526" s="8"/>
      <c r="F526" s="3"/>
      <c r="G526" s="9"/>
      <c r="O526" s="3"/>
    </row>
    <row r="527" spans="4:15" x14ac:dyDescent="0.25">
      <c r="D527" s="8"/>
      <c r="E527" s="8"/>
      <c r="F527" s="3"/>
      <c r="O527" s="3"/>
    </row>
    <row r="528" spans="4:15" x14ac:dyDescent="0.25">
      <c r="D528" s="8"/>
      <c r="E528" s="8"/>
      <c r="F528" s="3"/>
      <c r="G528" s="9"/>
      <c r="O528" s="3"/>
    </row>
    <row r="529" spans="4:15" x14ac:dyDescent="0.25">
      <c r="D529" s="8"/>
      <c r="E529" s="8"/>
      <c r="F529" s="3"/>
      <c r="G529" s="9"/>
      <c r="O529" s="3"/>
    </row>
    <row r="530" spans="4:15" x14ac:dyDescent="0.25">
      <c r="D530" s="8"/>
      <c r="E530" s="8"/>
      <c r="F530" s="3"/>
      <c r="G530" s="9"/>
      <c r="O530" s="3"/>
    </row>
    <row r="531" spans="4:15" x14ac:dyDescent="0.25">
      <c r="D531" s="8"/>
      <c r="E531" s="8"/>
      <c r="F531" s="3"/>
      <c r="G531" s="9"/>
      <c r="O531" s="3"/>
    </row>
    <row r="532" spans="4:15" x14ac:dyDescent="0.25">
      <c r="D532" s="8"/>
      <c r="E532" s="8"/>
      <c r="F532" s="3"/>
      <c r="G532" s="9"/>
      <c r="O532" s="3"/>
    </row>
    <row r="533" spans="4:15" x14ac:dyDescent="0.25">
      <c r="D533" s="8"/>
      <c r="E533" s="8"/>
      <c r="F533" s="3"/>
      <c r="G533" s="9"/>
      <c r="O533" s="3"/>
    </row>
    <row r="534" spans="4:15" x14ac:dyDescent="0.25">
      <c r="D534" s="8"/>
      <c r="E534" s="8"/>
      <c r="F534" s="3"/>
      <c r="G534" s="9"/>
      <c r="O534" s="3"/>
    </row>
    <row r="535" spans="4:15" x14ac:dyDescent="0.25">
      <c r="D535" s="8"/>
      <c r="E535" s="8"/>
      <c r="F535" s="3"/>
      <c r="G535" s="9"/>
      <c r="O535" s="3"/>
    </row>
    <row r="536" spans="4:15" x14ac:dyDescent="0.25">
      <c r="D536" s="8"/>
      <c r="E536" s="8"/>
      <c r="F536" s="3"/>
      <c r="G536" s="9"/>
      <c r="O536" s="3"/>
    </row>
    <row r="537" spans="4:15" x14ac:dyDescent="0.25">
      <c r="D537" s="8"/>
      <c r="E537" s="8"/>
      <c r="F537" s="3"/>
      <c r="G537" s="9"/>
      <c r="O537" s="3"/>
    </row>
    <row r="538" spans="4:15" x14ac:dyDescent="0.25">
      <c r="D538" s="8"/>
      <c r="E538" s="8"/>
      <c r="F538" s="3"/>
      <c r="G538" s="9"/>
      <c r="O538" s="3"/>
    </row>
    <row r="539" spans="4:15" x14ac:dyDescent="0.25">
      <c r="D539" s="8"/>
      <c r="E539" s="8"/>
      <c r="F539" s="3"/>
      <c r="G539" s="9"/>
      <c r="O539" s="3"/>
    </row>
    <row r="540" spans="4:15" x14ac:dyDescent="0.25">
      <c r="D540" s="8"/>
      <c r="E540" s="8"/>
      <c r="F540" s="3"/>
      <c r="G540" s="9"/>
      <c r="O540" s="3"/>
    </row>
    <row r="541" spans="4:15" x14ac:dyDescent="0.25">
      <c r="D541" s="8"/>
      <c r="E541" s="8"/>
      <c r="F541" s="3"/>
      <c r="G541" s="9"/>
      <c r="O541" s="3"/>
    </row>
    <row r="542" spans="4:15" x14ac:dyDescent="0.25">
      <c r="D542" s="8"/>
      <c r="E542" s="8"/>
      <c r="F542" s="3"/>
      <c r="G542" s="9"/>
      <c r="O542" s="3"/>
    </row>
    <row r="543" spans="4:15" x14ac:dyDescent="0.25">
      <c r="D543" s="8"/>
      <c r="E543" s="8"/>
      <c r="F543" s="3"/>
      <c r="G543" s="9"/>
      <c r="O543" s="3"/>
    </row>
    <row r="544" spans="4:15" x14ac:dyDescent="0.25">
      <c r="D544" s="8"/>
      <c r="E544" s="8"/>
      <c r="F544" s="3"/>
      <c r="G544" s="9"/>
      <c r="O544" s="3"/>
    </row>
    <row r="545" spans="4:15" x14ac:dyDescent="0.25">
      <c r="D545" s="8"/>
      <c r="E545" s="8"/>
      <c r="F545" s="3"/>
      <c r="G545" s="9"/>
      <c r="O545" s="3"/>
    </row>
    <row r="546" spans="4:15" x14ac:dyDescent="0.25">
      <c r="D546" s="8"/>
      <c r="E546" s="8"/>
      <c r="F546" s="3"/>
      <c r="G546" s="9"/>
      <c r="O546" s="3"/>
    </row>
    <row r="547" spans="4:15" x14ac:dyDescent="0.25">
      <c r="D547" s="8"/>
      <c r="E547" s="8"/>
      <c r="F547" s="3"/>
      <c r="G547" s="9"/>
      <c r="O547" s="3"/>
    </row>
    <row r="548" spans="4:15" x14ac:dyDescent="0.25">
      <c r="D548" s="8"/>
      <c r="E548" s="8"/>
      <c r="F548" s="3"/>
      <c r="G548" s="9"/>
      <c r="O548" s="3"/>
    </row>
    <row r="549" spans="4:15" x14ac:dyDescent="0.25">
      <c r="D549" s="8"/>
      <c r="E549" s="8"/>
      <c r="F549" s="3"/>
      <c r="G549" s="9"/>
      <c r="O549" s="3"/>
    </row>
    <row r="550" spans="4:15" x14ac:dyDescent="0.25">
      <c r="D550" s="8"/>
      <c r="E550" s="8"/>
      <c r="F550" s="3"/>
      <c r="G550" s="9"/>
      <c r="O550" s="3"/>
    </row>
    <row r="551" spans="4:15" x14ac:dyDescent="0.25">
      <c r="D551" s="8"/>
      <c r="E551" s="8"/>
      <c r="F551" s="3"/>
      <c r="G551" s="9"/>
      <c r="O551" s="3"/>
    </row>
    <row r="552" spans="4:15" x14ac:dyDescent="0.25">
      <c r="D552" s="8"/>
      <c r="E552" s="8"/>
      <c r="F552" s="3"/>
      <c r="O552" s="3"/>
    </row>
    <row r="553" spans="4:15" x14ac:dyDescent="0.25">
      <c r="D553" s="8"/>
      <c r="E553" s="8"/>
      <c r="F553" s="3"/>
      <c r="G553" s="9"/>
      <c r="O553" s="3"/>
    </row>
    <row r="554" spans="4:15" x14ac:dyDescent="0.25">
      <c r="D554" s="8"/>
      <c r="E554" s="8"/>
      <c r="F554" s="3"/>
      <c r="G554" s="9"/>
      <c r="O554" s="3"/>
    </row>
    <row r="555" spans="4:15" x14ac:dyDescent="0.25">
      <c r="D555" s="8"/>
      <c r="E555" s="8"/>
      <c r="F555" s="3"/>
      <c r="G555" s="9"/>
      <c r="O555" s="3"/>
    </row>
    <row r="556" spans="4:15" x14ac:dyDescent="0.25">
      <c r="D556" s="8"/>
      <c r="E556" s="8"/>
      <c r="F556" s="3"/>
      <c r="G556" s="9"/>
      <c r="O556" s="3"/>
    </row>
    <row r="557" spans="4:15" x14ac:dyDescent="0.25">
      <c r="D557" s="8"/>
      <c r="E557" s="8"/>
      <c r="F557" s="3"/>
      <c r="G557" s="9"/>
      <c r="O557" s="3"/>
    </row>
    <row r="558" spans="4:15" x14ac:dyDescent="0.25">
      <c r="D558" s="8"/>
      <c r="E558" s="8"/>
      <c r="F558" s="3"/>
      <c r="G558" s="9"/>
      <c r="O558" s="3"/>
    </row>
    <row r="559" spans="4:15" x14ac:dyDescent="0.25">
      <c r="D559" s="8"/>
      <c r="E559" s="8"/>
      <c r="F559" s="3"/>
      <c r="G559" s="9"/>
      <c r="O559" s="3"/>
    </row>
    <row r="560" spans="4:15" x14ac:dyDescent="0.25">
      <c r="D560" s="8"/>
      <c r="E560" s="8"/>
      <c r="F560" s="3"/>
      <c r="G560" s="9"/>
      <c r="O560" s="3"/>
    </row>
    <row r="561" spans="4:15" x14ac:dyDescent="0.25">
      <c r="D561" s="8"/>
      <c r="E561" s="8"/>
      <c r="F561" s="3"/>
      <c r="G561" s="9"/>
      <c r="O561" s="3"/>
    </row>
    <row r="562" spans="4:15" x14ac:dyDescent="0.25">
      <c r="D562" s="8"/>
      <c r="E562" s="8"/>
      <c r="F562" s="3"/>
      <c r="G562" s="9"/>
      <c r="O562" s="3"/>
    </row>
    <row r="563" spans="4:15" x14ac:dyDescent="0.25">
      <c r="D563" s="8"/>
      <c r="E563" s="8"/>
      <c r="F563" s="3"/>
      <c r="G563" s="9"/>
      <c r="O563" s="3"/>
    </row>
    <row r="564" spans="4:15" x14ac:dyDescent="0.25">
      <c r="D564" s="8"/>
      <c r="E564" s="8"/>
      <c r="F564" s="3"/>
      <c r="G564" s="9"/>
      <c r="O564" s="3"/>
    </row>
    <row r="565" spans="4:15" x14ac:dyDescent="0.25">
      <c r="D565" s="8"/>
      <c r="E565" s="8"/>
      <c r="F565" s="3"/>
      <c r="G565" s="9"/>
      <c r="O565" s="3"/>
    </row>
    <row r="566" spans="4:15" x14ac:dyDescent="0.25">
      <c r="D566" s="8"/>
      <c r="E566" s="8"/>
      <c r="F566" s="3"/>
      <c r="G566" s="9"/>
      <c r="O566" s="3"/>
    </row>
    <row r="567" spans="4:15" x14ac:dyDescent="0.25">
      <c r="D567" s="8"/>
      <c r="E567" s="8"/>
      <c r="F567" s="3"/>
      <c r="G567" s="9"/>
      <c r="O567" s="3"/>
    </row>
    <row r="568" spans="4:15" x14ac:dyDescent="0.25">
      <c r="D568" s="8"/>
      <c r="E568" s="8"/>
      <c r="F568" s="3"/>
      <c r="G568" s="9"/>
      <c r="O568" s="3"/>
    </row>
    <row r="569" spans="4:15" x14ac:dyDescent="0.25">
      <c r="D569" s="8"/>
      <c r="E569" s="8"/>
      <c r="F569" s="3"/>
      <c r="G569" s="9"/>
      <c r="O569" s="3"/>
    </row>
    <row r="570" spans="4:15" x14ac:dyDescent="0.25">
      <c r="D570" s="8"/>
      <c r="E570" s="8"/>
      <c r="F570" s="3"/>
      <c r="G570" s="9"/>
      <c r="O570" s="3"/>
    </row>
    <row r="571" spans="4:15" x14ac:dyDescent="0.25">
      <c r="D571" s="8"/>
      <c r="E571" s="8"/>
      <c r="F571" s="3"/>
      <c r="G571" s="9"/>
      <c r="O571" s="3"/>
    </row>
    <row r="572" spans="4:15" x14ac:dyDescent="0.25">
      <c r="D572" s="8"/>
      <c r="E572" s="8"/>
      <c r="F572" s="3"/>
      <c r="G572" s="9"/>
      <c r="O572" s="3"/>
    </row>
    <row r="573" spans="4:15" x14ac:dyDescent="0.25">
      <c r="D573" s="8"/>
      <c r="E573" s="8"/>
      <c r="F573" s="3"/>
      <c r="G573" s="9"/>
      <c r="O573" s="3"/>
    </row>
    <row r="574" spans="4:15" x14ac:dyDescent="0.25">
      <c r="D574" s="8"/>
      <c r="E574" s="8"/>
      <c r="F574" s="3"/>
      <c r="G574" s="9"/>
      <c r="O574" s="3"/>
    </row>
    <row r="575" spans="4:15" x14ac:dyDescent="0.25">
      <c r="D575" s="8"/>
      <c r="E575" s="8"/>
      <c r="F575" s="3"/>
      <c r="G575" s="9"/>
      <c r="O575" s="3"/>
    </row>
    <row r="576" spans="4:15" x14ac:dyDescent="0.25">
      <c r="D576" s="8"/>
      <c r="E576" s="8"/>
      <c r="F576" s="3"/>
      <c r="G576" s="9"/>
      <c r="O576" s="3"/>
    </row>
    <row r="577" spans="4:15" x14ac:dyDescent="0.25">
      <c r="D577" s="8"/>
      <c r="E577" s="8"/>
      <c r="F577" s="3"/>
      <c r="O577" s="3"/>
    </row>
    <row r="578" spans="4:15" x14ac:dyDescent="0.25">
      <c r="D578" s="8"/>
      <c r="E578" s="8"/>
      <c r="F578" s="3"/>
      <c r="G578" s="9"/>
      <c r="O578" s="3"/>
    </row>
    <row r="579" spans="4:15" x14ac:dyDescent="0.25">
      <c r="D579" s="8"/>
      <c r="E579" s="8"/>
      <c r="F579" s="3"/>
      <c r="G579" s="9"/>
      <c r="O579" s="3"/>
    </row>
    <row r="580" spans="4:15" x14ac:dyDescent="0.25">
      <c r="D580" s="8"/>
      <c r="E580" s="8"/>
      <c r="F580" s="3"/>
      <c r="G580" s="9"/>
      <c r="O580" s="3"/>
    </row>
    <row r="581" spans="4:15" x14ac:dyDescent="0.25">
      <c r="D581" s="8"/>
      <c r="E581" s="8"/>
      <c r="F581" s="3"/>
      <c r="G581" s="9"/>
      <c r="O581" s="3"/>
    </row>
    <row r="582" spans="4:15" x14ac:dyDescent="0.25">
      <c r="D582" s="8"/>
      <c r="E582" s="8"/>
      <c r="F582" s="3"/>
      <c r="G582" s="9"/>
      <c r="O582" s="3"/>
    </row>
    <row r="583" spans="4:15" x14ac:dyDescent="0.25">
      <c r="D583" s="8"/>
      <c r="E583" s="8"/>
      <c r="F583" s="3"/>
      <c r="G583" s="9"/>
      <c r="O583" s="3"/>
    </row>
    <row r="584" spans="4:15" x14ac:dyDescent="0.25">
      <c r="D584" s="8"/>
      <c r="E584" s="8"/>
      <c r="F584" s="3"/>
      <c r="G584" s="9"/>
      <c r="O584" s="3"/>
    </row>
    <row r="585" spans="4:15" x14ac:dyDescent="0.25">
      <c r="D585" s="8"/>
      <c r="E585" s="8"/>
      <c r="F585" s="3"/>
      <c r="G585" s="9"/>
      <c r="O585" s="3"/>
    </row>
    <row r="586" spans="4:15" x14ac:dyDescent="0.25">
      <c r="D586" s="8"/>
      <c r="E586" s="8"/>
      <c r="F586" s="3"/>
      <c r="G586" s="9"/>
      <c r="O586" s="3"/>
    </row>
    <row r="587" spans="4:15" x14ac:dyDescent="0.25">
      <c r="D587" s="8"/>
      <c r="E587" s="8"/>
      <c r="F587" s="3"/>
      <c r="G587" s="9"/>
      <c r="O587" s="3"/>
    </row>
    <row r="588" spans="4:15" x14ac:dyDescent="0.25">
      <c r="D588" s="8"/>
      <c r="E588" s="8"/>
      <c r="F588" s="3"/>
      <c r="G588" s="9"/>
      <c r="O588" s="3"/>
    </row>
    <row r="589" spans="4:15" x14ac:dyDescent="0.25">
      <c r="D589" s="8"/>
      <c r="E589" s="8"/>
      <c r="F589" s="3"/>
      <c r="G589" s="9"/>
      <c r="O589" s="3"/>
    </row>
    <row r="590" spans="4:15" x14ac:dyDescent="0.25">
      <c r="D590" s="8"/>
      <c r="E590" s="8"/>
      <c r="F590" s="3"/>
      <c r="G590" s="9"/>
      <c r="O590" s="3"/>
    </row>
    <row r="591" spans="4:15" x14ac:dyDescent="0.25">
      <c r="D591" s="8"/>
      <c r="E591" s="8"/>
      <c r="F591" s="3"/>
      <c r="G591" s="9"/>
      <c r="O591" s="3"/>
    </row>
    <row r="592" spans="4:15" x14ac:dyDescent="0.25">
      <c r="D592" s="8"/>
      <c r="E592" s="8"/>
      <c r="F592" s="3"/>
      <c r="G592" s="9"/>
      <c r="O592" s="3"/>
    </row>
    <row r="593" spans="4:15" x14ac:dyDescent="0.25">
      <c r="D593" s="8"/>
      <c r="E593" s="8"/>
      <c r="F593" s="3"/>
      <c r="G593" s="9"/>
      <c r="O593" s="3"/>
    </row>
    <row r="594" spans="4:15" x14ac:dyDescent="0.25">
      <c r="D594" s="8"/>
      <c r="E594" s="8"/>
      <c r="F594" s="3"/>
      <c r="G594" s="9"/>
      <c r="O594" s="3"/>
    </row>
    <row r="595" spans="4:15" x14ac:dyDescent="0.25">
      <c r="D595" s="8"/>
      <c r="E595" s="8"/>
      <c r="F595" s="3"/>
      <c r="G595" s="9"/>
      <c r="O595" s="3"/>
    </row>
    <row r="596" spans="4:15" x14ac:dyDescent="0.25">
      <c r="D596" s="8"/>
      <c r="E596" s="8"/>
      <c r="F596" s="3"/>
      <c r="G596" s="9"/>
      <c r="O596" s="3"/>
    </row>
    <row r="597" spans="4:15" x14ac:dyDescent="0.25">
      <c r="D597" s="8"/>
      <c r="E597" s="8"/>
      <c r="F597" s="3"/>
      <c r="G597" s="9"/>
      <c r="O597" s="3"/>
    </row>
    <row r="598" spans="4:15" x14ac:dyDescent="0.25">
      <c r="D598" s="8"/>
      <c r="E598" s="8"/>
      <c r="F598" s="3"/>
      <c r="G598" s="9"/>
      <c r="O598" s="3"/>
    </row>
    <row r="599" spans="4:15" x14ac:dyDescent="0.25">
      <c r="D599" s="8"/>
      <c r="E599" s="8"/>
      <c r="F599" s="3"/>
      <c r="G599" s="9"/>
      <c r="O599" s="3"/>
    </row>
    <row r="600" spans="4:15" x14ac:dyDescent="0.25">
      <c r="D600" s="8"/>
      <c r="E600" s="8"/>
      <c r="F600" s="3"/>
      <c r="G600" s="9"/>
      <c r="O600" s="3"/>
    </row>
    <row r="601" spans="4:15" x14ac:dyDescent="0.25">
      <c r="D601" s="8"/>
      <c r="E601" s="8"/>
      <c r="F601" s="3"/>
      <c r="G601" s="9"/>
      <c r="O601" s="3"/>
    </row>
    <row r="602" spans="4:15" x14ac:dyDescent="0.25">
      <c r="D602" s="8"/>
      <c r="E602" s="8"/>
      <c r="F602" s="3"/>
      <c r="O602" s="3"/>
    </row>
    <row r="603" spans="4:15" x14ac:dyDescent="0.25">
      <c r="D603" s="8"/>
      <c r="E603" s="8"/>
      <c r="F603" s="3"/>
      <c r="G603" s="9"/>
      <c r="O603" s="3"/>
    </row>
    <row r="604" spans="4:15" x14ac:dyDescent="0.25">
      <c r="D604" s="8"/>
      <c r="E604" s="8"/>
      <c r="F604" s="3"/>
      <c r="G604" s="9"/>
      <c r="O604" s="3"/>
    </row>
    <row r="605" spans="4:15" x14ac:dyDescent="0.25">
      <c r="D605" s="8"/>
      <c r="E605" s="8"/>
      <c r="F605" s="3"/>
      <c r="G605" s="9"/>
      <c r="O605" s="3"/>
    </row>
    <row r="606" spans="4:15" x14ac:dyDescent="0.25">
      <c r="D606" s="8"/>
      <c r="E606" s="8"/>
      <c r="F606" s="3"/>
      <c r="G606" s="9"/>
      <c r="O606" s="3"/>
    </row>
    <row r="607" spans="4:15" x14ac:dyDescent="0.25">
      <c r="D607" s="8"/>
      <c r="E607" s="8"/>
      <c r="F607" s="3"/>
      <c r="G607" s="9"/>
      <c r="O607" s="3"/>
    </row>
    <row r="608" spans="4:15" x14ac:dyDescent="0.25">
      <c r="D608" s="8"/>
      <c r="E608" s="8"/>
      <c r="F608" s="3"/>
      <c r="G608" s="9"/>
      <c r="O608" s="3"/>
    </row>
    <row r="609" spans="4:15" x14ac:dyDescent="0.25">
      <c r="D609" s="8"/>
      <c r="E609" s="8"/>
      <c r="F609" s="3"/>
      <c r="G609" s="9"/>
      <c r="O609" s="3"/>
    </row>
    <row r="610" spans="4:15" x14ac:dyDescent="0.25">
      <c r="D610" s="8"/>
      <c r="E610" s="8"/>
      <c r="F610" s="3"/>
      <c r="G610" s="9"/>
      <c r="O610" s="3"/>
    </row>
    <row r="611" spans="4:15" x14ac:dyDescent="0.25">
      <c r="D611" s="8"/>
      <c r="E611" s="8"/>
      <c r="F611" s="3"/>
      <c r="G611" s="9"/>
      <c r="O611" s="3"/>
    </row>
    <row r="612" spans="4:15" x14ac:dyDescent="0.25">
      <c r="D612" s="8"/>
      <c r="E612" s="8"/>
      <c r="F612" s="3"/>
      <c r="G612" s="9"/>
      <c r="O612" s="3"/>
    </row>
    <row r="613" spans="4:15" x14ac:dyDescent="0.25">
      <c r="D613" s="8"/>
      <c r="E613" s="8"/>
      <c r="F613" s="3"/>
      <c r="G613" s="9"/>
      <c r="O613" s="3"/>
    </row>
    <row r="614" spans="4:15" x14ac:dyDescent="0.25">
      <c r="D614" s="8"/>
      <c r="E614" s="8"/>
      <c r="F614" s="3"/>
      <c r="G614" s="9"/>
      <c r="O614" s="3"/>
    </row>
    <row r="615" spans="4:15" x14ac:dyDescent="0.25">
      <c r="D615" s="8"/>
      <c r="E615" s="8"/>
      <c r="F615" s="3"/>
      <c r="G615" s="9"/>
      <c r="O615" s="3"/>
    </row>
    <row r="616" spans="4:15" x14ac:dyDescent="0.25">
      <c r="D616" s="8"/>
      <c r="E616" s="8"/>
      <c r="F616" s="3"/>
      <c r="G616" s="9"/>
      <c r="O616" s="3"/>
    </row>
    <row r="617" spans="4:15" x14ac:dyDescent="0.25">
      <c r="D617" s="8"/>
      <c r="E617" s="8"/>
      <c r="F617" s="3"/>
      <c r="G617" s="9"/>
      <c r="O617" s="3"/>
    </row>
    <row r="618" spans="4:15" x14ac:dyDescent="0.25">
      <c r="D618" s="8"/>
      <c r="E618" s="8"/>
      <c r="F618" s="3"/>
      <c r="G618" s="9"/>
      <c r="O618" s="3"/>
    </row>
    <row r="619" spans="4:15" x14ac:dyDescent="0.25">
      <c r="D619" s="8"/>
      <c r="E619" s="8"/>
      <c r="F619" s="3"/>
      <c r="G619" s="9"/>
      <c r="O619" s="3"/>
    </row>
    <row r="620" spans="4:15" x14ac:dyDescent="0.25">
      <c r="D620" s="8"/>
      <c r="E620" s="8"/>
      <c r="F620" s="3"/>
      <c r="G620" s="9"/>
      <c r="O620" s="3"/>
    </row>
    <row r="621" spans="4:15" x14ac:dyDescent="0.25">
      <c r="D621" s="8"/>
      <c r="E621" s="8"/>
      <c r="F621" s="3"/>
      <c r="G621" s="9"/>
      <c r="O621" s="3"/>
    </row>
    <row r="622" spans="4:15" x14ac:dyDescent="0.25">
      <c r="D622" s="8"/>
      <c r="E622" s="8"/>
      <c r="F622" s="3"/>
      <c r="G622" s="9"/>
      <c r="O622" s="3"/>
    </row>
    <row r="623" spans="4:15" x14ac:dyDescent="0.25">
      <c r="D623" s="8"/>
      <c r="E623" s="8"/>
      <c r="F623" s="3"/>
      <c r="G623" s="9"/>
      <c r="O623" s="3"/>
    </row>
    <row r="624" spans="4:15" x14ac:dyDescent="0.25">
      <c r="D624" s="8"/>
      <c r="E624" s="8"/>
      <c r="F624" s="3"/>
      <c r="G624" s="9"/>
      <c r="O624" s="3"/>
    </row>
    <row r="625" spans="4:15" x14ac:dyDescent="0.25">
      <c r="D625" s="8"/>
      <c r="E625" s="8"/>
      <c r="F625" s="3"/>
      <c r="G625" s="9"/>
      <c r="O625" s="3"/>
    </row>
    <row r="626" spans="4:15" x14ac:dyDescent="0.25">
      <c r="D626" s="8"/>
      <c r="E626" s="8"/>
      <c r="F626" s="3"/>
      <c r="G626" s="9"/>
      <c r="O626" s="3"/>
    </row>
    <row r="627" spans="4:15" x14ac:dyDescent="0.25">
      <c r="D627" s="8"/>
      <c r="E627" s="8"/>
      <c r="F627" s="3"/>
      <c r="O627" s="3"/>
    </row>
    <row r="628" spans="4:15" x14ac:dyDescent="0.25">
      <c r="D628" s="8"/>
      <c r="E628" s="8"/>
      <c r="F628" s="3"/>
      <c r="G628" s="9"/>
      <c r="O628" s="3"/>
    </row>
    <row r="629" spans="4:15" x14ac:dyDescent="0.25">
      <c r="D629" s="8"/>
      <c r="E629" s="8"/>
      <c r="F629" s="3"/>
      <c r="G629" s="9"/>
      <c r="O629" s="3"/>
    </row>
    <row r="630" spans="4:15" x14ac:dyDescent="0.25">
      <c r="D630" s="8"/>
      <c r="E630" s="8"/>
      <c r="F630" s="3"/>
      <c r="G630" s="9"/>
      <c r="O630" s="3"/>
    </row>
    <row r="631" spans="4:15" x14ac:dyDescent="0.25">
      <c r="D631" s="8"/>
      <c r="E631" s="8"/>
      <c r="F631" s="3"/>
      <c r="G631" s="9"/>
      <c r="O631" s="3"/>
    </row>
    <row r="632" spans="4:15" x14ac:dyDescent="0.25">
      <c r="D632" s="8"/>
      <c r="E632" s="8"/>
      <c r="F632" s="3"/>
      <c r="G632" s="9"/>
      <c r="O632" s="3"/>
    </row>
    <row r="633" spans="4:15" x14ac:dyDescent="0.25">
      <c r="D633" s="8"/>
      <c r="E633" s="8"/>
      <c r="F633" s="3"/>
      <c r="G633" s="9"/>
      <c r="O633" s="3"/>
    </row>
    <row r="634" spans="4:15" x14ac:dyDescent="0.25">
      <c r="D634" s="8"/>
      <c r="E634" s="8"/>
      <c r="F634" s="3"/>
      <c r="G634" s="9"/>
      <c r="O634" s="3"/>
    </row>
    <row r="635" spans="4:15" x14ac:dyDescent="0.25">
      <c r="D635" s="8"/>
      <c r="E635" s="8"/>
      <c r="F635" s="3"/>
      <c r="G635" s="9"/>
      <c r="O635" s="3"/>
    </row>
    <row r="636" spans="4:15" x14ac:dyDescent="0.25">
      <c r="D636" s="8"/>
      <c r="E636" s="8"/>
      <c r="F636" s="3"/>
      <c r="G636" s="9"/>
      <c r="O636" s="3"/>
    </row>
    <row r="637" spans="4:15" x14ac:dyDescent="0.25">
      <c r="D637" s="8"/>
      <c r="E637" s="8"/>
      <c r="F637" s="3"/>
      <c r="G637" s="9"/>
      <c r="O637" s="3"/>
    </row>
    <row r="638" spans="4:15" x14ac:dyDescent="0.25">
      <c r="D638" s="8"/>
      <c r="E638" s="8"/>
      <c r="F638" s="3"/>
      <c r="G638" s="9"/>
      <c r="O638" s="3"/>
    </row>
    <row r="639" spans="4:15" x14ac:dyDescent="0.25">
      <c r="D639" s="8"/>
      <c r="E639" s="8"/>
      <c r="F639" s="3"/>
      <c r="G639" s="9"/>
      <c r="O639" s="3"/>
    </row>
    <row r="640" spans="4:15" x14ac:dyDescent="0.25">
      <c r="D640" s="8"/>
      <c r="E640" s="8"/>
      <c r="F640" s="3"/>
      <c r="G640" s="9"/>
      <c r="O640" s="3"/>
    </row>
    <row r="641" spans="4:15" x14ac:dyDescent="0.25">
      <c r="D641" s="8"/>
      <c r="E641" s="8"/>
      <c r="F641" s="3"/>
      <c r="G641" s="9"/>
      <c r="O641" s="3"/>
    </row>
    <row r="642" spans="4:15" x14ac:dyDescent="0.25">
      <c r="D642" s="8"/>
      <c r="E642" s="8"/>
      <c r="F642" s="3"/>
      <c r="G642" s="9"/>
      <c r="O642" s="3"/>
    </row>
    <row r="643" spans="4:15" x14ac:dyDescent="0.25">
      <c r="D643" s="8"/>
      <c r="E643" s="8"/>
      <c r="F643" s="3"/>
      <c r="G643" s="9"/>
      <c r="O643" s="3"/>
    </row>
    <row r="644" spans="4:15" x14ac:dyDescent="0.25">
      <c r="D644" s="8"/>
      <c r="E644" s="8"/>
      <c r="F644" s="3"/>
      <c r="G644" s="9"/>
      <c r="O644" s="3"/>
    </row>
    <row r="645" spans="4:15" x14ac:dyDescent="0.25">
      <c r="D645" s="8"/>
      <c r="E645" s="8"/>
      <c r="F645" s="3"/>
      <c r="G645" s="9"/>
      <c r="O645" s="3"/>
    </row>
    <row r="646" spans="4:15" x14ac:dyDescent="0.25">
      <c r="D646" s="8"/>
      <c r="E646" s="8"/>
      <c r="F646" s="3"/>
      <c r="G646" s="9"/>
      <c r="O646" s="3"/>
    </row>
    <row r="647" spans="4:15" x14ac:dyDescent="0.25">
      <c r="D647" s="8"/>
      <c r="E647" s="8"/>
      <c r="F647" s="3"/>
      <c r="G647" s="9"/>
      <c r="O647" s="3"/>
    </row>
    <row r="648" spans="4:15" x14ac:dyDescent="0.25">
      <c r="D648" s="8"/>
      <c r="E648" s="8"/>
      <c r="F648" s="3"/>
      <c r="G648" s="9"/>
      <c r="O648" s="3"/>
    </row>
    <row r="649" spans="4:15" x14ac:dyDescent="0.25">
      <c r="D649" s="8"/>
      <c r="E649" s="8"/>
      <c r="F649" s="3"/>
      <c r="G649" s="9"/>
      <c r="O649" s="3"/>
    </row>
    <row r="650" spans="4:15" x14ac:dyDescent="0.25">
      <c r="D650" s="8"/>
      <c r="E650" s="8"/>
      <c r="F650" s="3"/>
      <c r="G650" s="9"/>
      <c r="O650" s="3"/>
    </row>
    <row r="651" spans="4:15" x14ac:dyDescent="0.25">
      <c r="D651" s="8"/>
      <c r="E651" s="8"/>
      <c r="F651" s="3"/>
      <c r="G651" s="9"/>
      <c r="O651" s="3"/>
    </row>
    <row r="652" spans="4:15" x14ac:dyDescent="0.25">
      <c r="D652" s="8"/>
      <c r="E652" s="8"/>
      <c r="F652" s="3"/>
      <c r="O652" s="3"/>
    </row>
    <row r="653" spans="4:15" x14ac:dyDescent="0.25">
      <c r="D653" s="8"/>
      <c r="E653" s="8"/>
      <c r="F653" s="3"/>
      <c r="G653" s="9"/>
      <c r="O653" s="3"/>
    </row>
    <row r="654" spans="4:15" x14ac:dyDescent="0.25">
      <c r="D654" s="8"/>
      <c r="E654" s="8"/>
      <c r="F654" s="3"/>
      <c r="G654" s="9"/>
      <c r="O654" s="3"/>
    </row>
    <row r="655" spans="4:15" x14ac:dyDescent="0.25">
      <c r="D655" s="8"/>
      <c r="E655" s="8"/>
      <c r="F655" s="3"/>
      <c r="G655" s="9"/>
      <c r="O655" s="3"/>
    </row>
    <row r="656" spans="4:15" x14ac:dyDescent="0.25">
      <c r="D656" s="8"/>
      <c r="E656" s="8"/>
      <c r="F656" s="3"/>
      <c r="G656" s="9"/>
      <c r="O656" s="3"/>
    </row>
    <row r="657" spans="4:15" x14ac:dyDescent="0.25">
      <c r="D657" s="8"/>
      <c r="E657" s="8"/>
      <c r="F657" s="3"/>
      <c r="G657" s="9"/>
      <c r="O657" s="3"/>
    </row>
    <row r="658" spans="4:15" x14ac:dyDescent="0.25">
      <c r="D658" s="8"/>
      <c r="E658" s="8"/>
      <c r="F658" s="3"/>
      <c r="G658" s="9"/>
      <c r="O658" s="3"/>
    </row>
    <row r="659" spans="4:15" x14ac:dyDescent="0.25">
      <c r="D659" s="8"/>
      <c r="E659" s="8"/>
      <c r="F659" s="3"/>
      <c r="G659" s="9"/>
      <c r="O659" s="3"/>
    </row>
    <row r="660" spans="4:15" x14ac:dyDescent="0.25">
      <c r="D660" s="8"/>
      <c r="E660" s="8"/>
      <c r="F660" s="3"/>
      <c r="G660" s="9"/>
      <c r="O660" s="3"/>
    </row>
    <row r="661" spans="4:15" x14ac:dyDescent="0.25">
      <c r="D661" s="8"/>
      <c r="E661" s="8"/>
      <c r="F661" s="3"/>
      <c r="G661" s="9"/>
      <c r="O661" s="3"/>
    </row>
    <row r="662" spans="4:15" x14ac:dyDescent="0.25">
      <c r="D662" s="8"/>
      <c r="E662" s="8"/>
      <c r="F662" s="3"/>
      <c r="G662" s="9"/>
      <c r="O662" s="3"/>
    </row>
    <row r="663" spans="4:15" x14ac:dyDescent="0.25">
      <c r="D663" s="8"/>
      <c r="E663" s="8"/>
      <c r="F663" s="3"/>
      <c r="G663" s="9"/>
      <c r="O663" s="3"/>
    </row>
    <row r="664" spans="4:15" x14ac:dyDescent="0.25">
      <c r="D664" s="8"/>
      <c r="E664" s="8"/>
      <c r="F664" s="3"/>
      <c r="G664" s="9"/>
      <c r="O664" s="3"/>
    </row>
    <row r="665" spans="4:15" x14ac:dyDescent="0.25">
      <c r="D665" s="8"/>
      <c r="E665" s="8"/>
      <c r="F665" s="3"/>
      <c r="G665" s="9"/>
      <c r="O665" s="3"/>
    </row>
    <row r="666" spans="4:15" x14ac:dyDescent="0.25">
      <c r="D666" s="8"/>
      <c r="E666" s="8"/>
      <c r="F666" s="3"/>
      <c r="G666" s="9"/>
      <c r="O666" s="3"/>
    </row>
    <row r="667" spans="4:15" x14ac:dyDescent="0.25">
      <c r="D667" s="8"/>
      <c r="E667" s="8"/>
      <c r="F667" s="3"/>
      <c r="G667" s="9"/>
      <c r="O667" s="3"/>
    </row>
    <row r="668" spans="4:15" x14ac:dyDescent="0.25">
      <c r="D668" s="8"/>
      <c r="E668" s="8"/>
      <c r="F668" s="3"/>
      <c r="G668" s="9"/>
      <c r="O668" s="3"/>
    </row>
    <row r="669" spans="4:15" x14ac:dyDescent="0.25">
      <c r="D669" s="8"/>
      <c r="E669" s="8"/>
      <c r="F669" s="3"/>
      <c r="G669" s="9"/>
      <c r="O669" s="3"/>
    </row>
    <row r="670" spans="4:15" x14ac:dyDescent="0.25">
      <c r="D670" s="8"/>
      <c r="E670" s="8"/>
      <c r="F670" s="3"/>
      <c r="G670" s="9"/>
      <c r="O670" s="3"/>
    </row>
    <row r="671" spans="4:15" x14ac:dyDescent="0.25">
      <c r="D671" s="8"/>
      <c r="E671" s="8"/>
      <c r="F671" s="3"/>
      <c r="G671" s="9"/>
      <c r="O671" s="3"/>
    </row>
    <row r="672" spans="4:15" x14ac:dyDescent="0.25">
      <c r="D672" s="8"/>
      <c r="E672" s="8"/>
      <c r="F672" s="3"/>
      <c r="G672" s="9"/>
      <c r="O672" s="3"/>
    </row>
    <row r="673" spans="4:15" x14ac:dyDescent="0.25">
      <c r="D673" s="8"/>
      <c r="E673" s="8"/>
      <c r="F673" s="3"/>
      <c r="G673" s="9"/>
      <c r="O673" s="3"/>
    </row>
    <row r="674" spans="4:15" x14ac:dyDescent="0.25">
      <c r="D674" s="8"/>
      <c r="E674" s="8"/>
      <c r="F674" s="3"/>
      <c r="G674" s="9"/>
      <c r="O674" s="3"/>
    </row>
    <row r="675" spans="4:15" x14ac:dyDescent="0.25">
      <c r="D675" s="8"/>
      <c r="E675" s="8"/>
      <c r="F675" s="3"/>
      <c r="G675" s="9"/>
      <c r="O675" s="3"/>
    </row>
    <row r="676" spans="4:15" x14ac:dyDescent="0.25">
      <c r="D676" s="8"/>
      <c r="E676" s="8"/>
      <c r="F676" s="3"/>
      <c r="G676" s="9"/>
      <c r="O676" s="3"/>
    </row>
    <row r="677" spans="4:15" x14ac:dyDescent="0.25">
      <c r="D677" s="8"/>
      <c r="E677" s="8"/>
      <c r="F677" s="3"/>
      <c r="O677" s="3"/>
    </row>
    <row r="678" spans="4:15" x14ac:dyDescent="0.25">
      <c r="D678" s="8"/>
      <c r="E678" s="8"/>
      <c r="F678" s="3"/>
      <c r="G678" s="9"/>
      <c r="O678" s="3"/>
    </row>
    <row r="679" spans="4:15" x14ac:dyDescent="0.25">
      <c r="D679" s="8"/>
      <c r="E679" s="8"/>
      <c r="F679" s="3"/>
      <c r="G679" s="9"/>
      <c r="O679" s="3"/>
    </row>
    <row r="680" spans="4:15" x14ac:dyDescent="0.25">
      <c r="D680" s="8"/>
      <c r="E680" s="8"/>
      <c r="F680" s="3"/>
      <c r="G680" s="9"/>
      <c r="O680" s="3"/>
    </row>
    <row r="681" spans="4:15" x14ac:dyDescent="0.25">
      <c r="D681" s="8"/>
      <c r="E681" s="8"/>
      <c r="F681" s="3"/>
      <c r="G681" s="9"/>
      <c r="O681" s="3"/>
    </row>
    <row r="682" spans="4:15" x14ac:dyDescent="0.25">
      <c r="D682" s="8"/>
      <c r="E682" s="8"/>
      <c r="F682" s="3"/>
      <c r="G682" s="9"/>
      <c r="O682" s="3"/>
    </row>
    <row r="683" spans="4:15" x14ac:dyDescent="0.25">
      <c r="D683" s="8"/>
      <c r="E683" s="8"/>
      <c r="F683" s="3"/>
      <c r="G683" s="9"/>
      <c r="O683" s="3"/>
    </row>
    <row r="684" spans="4:15" x14ac:dyDescent="0.25">
      <c r="D684" s="8"/>
      <c r="E684" s="8"/>
      <c r="F684" s="3"/>
      <c r="G684" s="9"/>
      <c r="O684" s="3"/>
    </row>
    <row r="685" spans="4:15" x14ac:dyDescent="0.25">
      <c r="D685" s="8"/>
      <c r="E685" s="8"/>
      <c r="F685" s="3"/>
      <c r="G685" s="9"/>
      <c r="O685" s="3"/>
    </row>
    <row r="686" spans="4:15" x14ac:dyDescent="0.25">
      <c r="D686" s="8"/>
      <c r="E686" s="8"/>
      <c r="F686" s="3"/>
      <c r="G686" s="9"/>
      <c r="O686" s="3"/>
    </row>
    <row r="687" spans="4:15" x14ac:dyDescent="0.25">
      <c r="D687" s="8"/>
      <c r="E687" s="8"/>
      <c r="F687" s="3"/>
      <c r="G687" s="9"/>
      <c r="O687" s="3"/>
    </row>
    <row r="688" spans="4:15" x14ac:dyDescent="0.25">
      <c r="D688" s="8"/>
      <c r="E688" s="8"/>
      <c r="F688" s="3"/>
      <c r="G688" s="9"/>
      <c r="O688" s="3"/>
    </row>
    <row r="689" spans="4:15" x14ac:dyDescent="0.25">
      <c r="D689" s="8"/>
      <c r="E689" s="8"/>
      <c r="F689" s="3"/>
      <c r="G689" s="9"/>
      <c r="O689" s="3"/>
    </row>
    <row r="690" spans="4:15" x14ac:dyDescent="0.25">
      <c r="D690" s="8"/>
      <c r="E690" s="8"/>
      <c r="F690" s="3"/>
      <c r="G690" s="9"/>
      <c r="O690" s="3"/>
    </row>
    <row r="691" spans="4:15" x14ac:dyDescent="0.25">
      <c r="D691" s="8"/>
      <c r="E691" s="8"/>
      <c r="F691" s="3"/>
      <c r="G691" s="9"/>
      <c r="O691" s="3"/>
    </row>
    <row r="692" spans="4:15" x14ac:dyDescent="0.25">
      <c r="D692" s="8"/>
      <c r="E692" s="8"/>
      <c r="F692" s="3"/>
      <c r="G692" s="9"/>
      <c r="O692" s="3"/>
    </row>
    <row r="693" spans="4:15" x14ac:dyDescent="0.25">
      <c r="D693" s="8"/>
      <c r="E693" s="8"/>
      <c r="F693" s="3"/>
      <c r="G693" s="9"/>
      <c r="O693" s="3"/>
    </row>
    <row r="694" spans="4:15" x14ac:dyDescent="0.25">
      <c r="D694" s="8"/>
      <c r="E694" s="8"/>
      <c r="F694" s="3"/>
      <c r="G694" s="9"/>
      <c r="O694" s="3"/>
    </row>
    <row r="695" spans="4:15" x14ac:dyDescent="0.25">
      <c r="D695" s="8"/>
      <c r="E695" s="8"/>
      <c r="F695" s="3"/>
      <c r="G695" s="9"/>
      <c r="O695" s="3"/>
    </row>
    <row r="696" spans="4:15" x14ac:dyDescent="0.25">
      <c r="D696" s="8"/>
      <c r="E696" s="8"/>
      <c r="F696" s="3"/>
      <c r="G696" s="9"/>
      <c r="O696" s="3"/>
    </row>
    <row r="697" spans="4:15" x14ac:dyDescent="0.25">
      <c r="D697" s="8"/>
      <c r="E697" s="8"/>
      <c r="F697" s="3"/>
      <c r="G697" s="9"/>
      <c r="O697" s="3"/>
    </row>
    <row r="698" spans="4:15" x14ac:dyDescent="0.25">
      <c r="D698" s="8"/>
      <c r="E698" s="8"/>
      <c r="F698" s="3"/>
      <c r="G698" s="9"/>
      <c r="O698" s="3"/>
    </row>
    <row r="699" spans="4:15" x14ac:dyDescent="0.25">
      <c r="D699" s="8"/>
      <c r="E699" s="8"/>
      <c r="F699" s="3"/>
      <c r="G699" s="9"/>
      <c r="O699" s="3"/>
    </row>
    <row r="700" spans="4:15" x14ac:dyDescent="0.25">
      <c r="D700" s="8"/>
      <c r="E700" s="8"/>
      <c r="F700" s="3"/>
      <c r="G700" s="9"/>
      <c r="O700" s="3"/>
    </row>
    <row r="701" spans="4:15" x14ac:dyDescent="0.25">
      <c r="D701" s="8"/>
      <c r="E701" s="8"/>
      <c r="F701" s="3"/>
      <c r="G701" s="9"/>
      <c r="O701" s="3"/>
    </row>
    <row r="702" spans="4:15" x14ac:dyDescent="0.25">
      <c r="D702" s="8"/>
      <c r="E702" s="8"/>
      <c r="F702" s="3"/>
      <c r="O702" s="3"/>
    </row>
    <row r="703" spans="4:15" x14ac:dyDescent="0.25">
      <c r="D703" s="8"/>
      <c r="E703" s="8"/>
      <c r="F703" s="3"/>
      <c r="G703" s="9"/>
      <c r="O703" s="3"/>
    </row>
    <row r="704" spans="4:15" x14ac:dyDescent="0.25">
      <c r="D704" s="8"/>
      <c r="E704" s="8"/>
      <c r="F704" s="3"/>
      <c r="G704" s="9"/>
      <c r="O704" s="3"/>
    </row>
    <row r="705" spans="4:15" x14ac:dyDescent="0.25">
      <c r="D705" s="8"/>
      <c r="E705" s="8"/>
      <c r="F705" s="3"/>
      <c r="G705" s="9"/>
      <c r="O705" s="3"/>
    </row>
    <row r="706" spans="4:15" x14ac:dyDescent="0.25">
      <c r="D706" s="8"/>
      <c r="E706" s="8"/>
      <c r="F706" s="3"/>
      <c r="G706" s="9"/>
      <c r="O706" s="3"/>
    </row>
    <row r="707" spans="4:15" x14ac:dyDescent="0.25">
      <c r="D707" s="8"/>
      <c r="E707" s="8"/>
      <c r="F707" s="3"/>
      <c r="G707" s="9"/>
      <c r="O707" s="3"/>
    </row>
    <row r="708" spans="4:15" x14ac:dyDescent="0.25">
      <c r="D708" s="8"/>
      <c r="E708" s="8"/>
      <c r="F708" s="3"/>
      <c r="G708" s="9"/>
      <c r="O708" s="3"/>
    </row>
    <row r="709" spans="4:15" x14ac:dyDescent="0.25">
      <c r="D709" s="8"/>
      <c r="E709" s="8"/>
      <c r="F709" s="3"/>
      <c r="G709" s="9"/>
      <c r="O709" s="3"/>
    </row>
    <row r="710" spans="4:15" x14ac:dyDescent="0.25">
      <c r="D710" s="8"/>
      <c r="E710" s="8"/>
      <c r="F710" s="3"/>
      <c r="G710" s="9"/>
      <c r="O710" s="3"/>
    </row>
    <row r="711" spans="4:15" x14ac:dyDescent="0.25">
      <c r="D711" s="8"/>
      <c r="E711" s="8"/>
      <c r="F711" s="3"/>
      <c r="G711" s="9"/>
      <c r="O711" s="3"/>
    </row>
    <row r="712" spans="4:15" x14ac:dyDescent="0.25">
      <c r="D712" s="8"/>
      <c r="E712" s="8"/>
      <c r="F712" s="3"/>
      <c r="G712" s="9"/>
      <c r="O712" s="3"/>
    </row>
    <row r="713" spans="4:15" x14ac:dyDescent="0.25">
      <c r="D713" s="8"/>
      <c r="E713" s="8"/>
      <c r="F713" s="3"/>
      <c r="G713" s="9"/>
      <c r="O713" s="3"/>
    </row>
    <row r="714" spans="4:15" x14ac:dyDescent="0.25">
      <c r="D714" s="8"/>
      <c r="E714" s="8"/>
      <c r="F714" s="3"/>
      <c r="G714" s="9"/>
      <c r="O714" s="3"/>
    </row>
    <row r="715" spans="4:15" x14ac:dyDescent="0.25">
      <c r="D715" s="8"/>
      <c r="E715" s="8"/>
      <c r="F715" s="3"/>
      <c r="G715" s="9"/>
      <c r="O715" s="3"/>
    </row>
    <row r="716" spans="4:15" x14ac:dyDescent="0.25">
      <c r="D716" s="8"/>
      <c r="E716" s="8"/>
      <c r="F716" s="3"/>
      <c r="G716" s="9"/>
      <c r="O716" s="3"/>
    </row>
    <row r="717" spans="4:15" x14ac:dyDescent="0.25">
      <c r="D717" s="8"/>
      <c r="E717" s="8"/>
      <c r="F717" s="3"/>
      <c r="G717" s="9"/>
      <c r="O717" s="3"/>
    </row>
    <row r="718" spans="4:15" x14ac:dyDescent="0.25">
      <c r="D718" s="3"/>
      <c r="F718" s="3"/>
      <c r="G718" s="9"/>
      <c r="O718" s="3"/>
    </row>
    <row r="719" spans="4:15" x14ac:dyDescent="0.25">
      <c r="F719" s="3"/>
      <c r="G719" s="9"/>
      <c r="O719" s="3"/>
    </row>
    <row r="720" spans="4:15" x14ac:dyDescent="0.25">
      <c r="F720" s="3"/>
      <c r="G720" s="9"/>
      <c r="O720" s="3"/>
    </row>
    <row r="721" spans="6:15" x14ac:dyDescent="0.25">
      <c r="F721" s="3"/>
      <c r="G721" s="9"/>
      <c r="O721" s="3"/>
    </row>
    <row r="722" spans="6:15" x14ac:dyDescent="0.25">
      <c r="F722" s="3"/>
      <c r="G722" s="9"/>
      <c r="O722" s="3"/>
    </row>
    <row r="723" spans="6:15" x14ac:dyDescent="0.25">
      <c r="F723" s="3"/>
      <c r="G723" s="9"/>
      <c r="O723" s="3"/>
    </row>
    <row r="724" spans="6:15" x14ac:dyDescent="0.25">
      <c r="F724" s="3"/>
      <c r="G724" s="9"/>
      <c r="O724" s="3"/>
    </row>
    <row r="725" spans="6:15" x14ac:dyDescent="0.25">
      <c r="F725" s="3"/>
      <c r="G725" s="9"/>
      <c r="O725" s="3"/>
    </row>
    <row r="726" spans="6:15" x14ac:dyDescent="0.25">
      <c r="F726" s="3"/>
      <c r="G726" s="9"/>
      <c r="O726" s="3"/>
    </row>
    <row r="727" spans="6:15" x14ac:dyDescent="0.25">
      <c r="F727" s="3"/>
      <c r="O727" s="3"/>
    </row>
    <row r="728" spans="6:15" x14ac:dyDescent="0.25">
      <c r="F728" s="3"/>
      <c r="G728" s="9"/>
      <c r="O728" s="3"/>
    </row>
    <row r="729" spans="6:15" x14ac:dyDescent="0.25">
      <c r="F729" s="3"/>
      <c r="G729" s="9"/>
      <c r="O729" s="3"/>
    </row>
    <row r="730" spans="6:15" x14ac:dyDescent="0.25">
      <c r="F730" s="3"/>
      <c r="G730" s="9"/>
      <c r="O730" s="3"/>
    </row>
    <row r="731" spans="6:15" x14ac:dyDescent="0.25">
      <c r="F731" s="3"/>
      <c r="G731" s="9"/>
      <c r="O731" s="3"/>
    </row>
    <row r="732" spans="6:15" x14ac:dyDescent="0.25">
      <c r="F732" s="3"/>
      <c r="G732" s="9"/>
      <c r="O732" s="3"/>
    </row>
    <row r="733" spans="6:15" x14ac:dyDescent="0.25">
      <c r="F733" s="3"/>
      <c r="G733" s="9"/>
      <c r="O733" s="3"/>
    </row>
    <row r="734" spans="6:15" x14ac:dyDescent="0.25">
      <c r="F734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4"/>
  <sheetViews>
    <sheetView zoomScale="80" zoomScaleNormal="80" workbookViewId="0">
      <selection activeCell="B1" sqref="B1:C1048576"/>
    </sheetView>
  </sheetViews>
  <sheetFormatPr defaultRowHeight="15" x14ac:dyDescent="0.25"/>
  <cols>
    <col min="1" max="1" width="6.5703125" customWidth="1"/>
    <col min="11" max="11" width="11.85546875" bestFit="1" customWidth="1"/>
    <col min="12" max="12" width="12.42578125" bestFit="1" customWidth="1"/>
    <col min="14" max="14" width="12.28515625" bestFit="1" customWidth="1"/>
    <col min="15" max="15" width="9.5703125" customWidth="1"/>
  </cols>
  <sheetData>
    <row r="1" spans="1:15" x14ac:dyDescent="0.25">
      <c r="B1" s="2">
        <v>45125</v>
      </c>
      <c r="C1" s="2">
        <v>45190.038461538461</v>
      </c>
      <c r="I1" s="5"/>
      <c r="K1" t="s">
        <v>17</v>
      </c>
      <c r="L1" s="9">
        <f>C1-B1</f>
        <v>65.038461538460979</v>
      </c>
      <c r="M1" s="9"/>
    </row>
    <row r="2" spans="1:15" x14ac:dyDescent="0.25">
      <c r="A2" t="s">
        <v>0</v>
      </c>
      <c r="B2" t="s">
        <v>1</v>
      </c>
      <c r="C2" t="s">
        <v>1</v>
      </c>
      <c r="D2" s="6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6" t="s">
        <v>10</v>
      </c>
      <c r="J2" s="6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15</v>
      </c>
    </row>
    <row r="3" spans="1:15" x14ac:dyDescent="0.25">
      <c r="A3">
        <v>0</v>
      </c>
      <c r="B3" s="3">
        <v>11.275649999999999</v>
      </c>
      <c r="C3" s="3">
        <v>11.209326923076921</v>
      </c>
      <c r="D3">
        <f>C3-B3</f>
        <v>-6.6323076923078261E-2</v>
      </c>
      <c r="E3">
        <f>(D3+D4)/2</f>
        <v>0.77012832167832102</v>
      </c>
      <c r="F3">
        <v>70</v>
      </c>
      <c r="G3">
        <v>7381</v>
      </c>
      <c r="H3">
        <f>E3*F3</f>
        <v>53.908982517482471</v>
      </c>
      <c r="I3">
        <f t="shared" ref="I3:I22" si="0">I4+H3</f>
        <v>587.07225559440508</v>
      </c>
      <c r="J3">
        <f t="shared" ref="J3:J23" si="1">(I3/G3)*1000</f>
        <v>79.538308575315682</v>
      </c>
    </row>
    <row r="4" spans="1:15" x14ac:dyDescent="0.25">
      <c r="A4">
        <v>10</v>
      </c>
      <c r="B4" s="3">
        <v>8.658281818181818</v>
      </c>
      <c r="C4" s="3">
        <v>10.264861538461538</v>
      </c>
      <c r="D4">
        <f t="shared" ref="D4:D38" si="2">C4-B4</f>
        <v>1.6065797202797203</v>
      </c>
      <c r="E4">
        <f t="shared" ref="E4:E38" si="3">(D4+D5)/2</f>
        <v>2.3197536713286708</v>
      </c>
      <c r="F4">
        <v>70</v>
      </c>
      <c r="G4">
        <v>7338</v>
      </c>
      <c r="H4">
        <f t="shared" ref="H4:H38" si="4">E4*F4</f>
        <v>162.38275699300695</v>
      </c>
      <c r="I4">
        <f t="shared" si="0"/>
        <v>533.16327307692256</v>
      </c>
      <c r="J4">
        <f t="shared" si="1"/>
        <v>72.657845881292261</v>
      </c>
      <c r="K4">
        <f>(B5-B3)/(A5-A3)</f>
        <v>-0.29947022727272715</v>
      </c>
      <c r="L4">
        <f>(C5-C3)/(A5-A3)</f>
        <v>-0.14450769230769217</v>
      </c>
      <c r="M4">
        <f>(K4+L4)/2</f>
        <v>-0.22198895979020966</v>
      </c>
      <c r="N4">
        <f>-J4/(M4*86400*$L$1)</f>
        <v>5.8246138657941131E-5</v>
      </c>
      <c r="O4" s="3">
        <f>N4*10000</f>
        <v>0.58246138657941127</v>
      </c>
    </row>
    <row r="5" spans="1:15" x14ac:dyDescent="0.25">
      <c r="A5">
        <v>20</v>
      </c>
      <c r="B5" s="3">
        <v>5.2862454545454556</v>
      </c>
      <c r="C5" s="3">
        <v>8.3191730769230769</v>
      </c>
      <c r="D5">
        <f t="shared" si="2"/>
        <v>3.0329276223776214</v>
      </c>
      <c r="E5">
        <f t="shared" si="3"/>
        <v>2.5274479020979017</v>
      </c>
      <c r="F5">
        <v>70</v>
      </c>
      <c r="G5">
        <v>7252</v>
      </c>
      <c r="H5">
        <f t="shared" si="4"/>
        <v>176.92135314685311</v>
      </c>
      <c r="I5">
        <f t="shared" si="0"/>
        <v>370.78051608391559</v>
      </c>
      <c r="J5">
        <f t="shared" si="1"/>
        <v>51.128035863750078</v>
      </c>
      <c r="K5">
        <f t="shared" ref="K5:K38" si="5">(B6-B4)/(A6-A4)</f>
        <v>-0.20956250000000001</v>
      </c>
      <c r="L5">
        <f t="shared" ref="L5:L38" si="6">(C6-C4)/(A6-A4)</f>
        <v>-0.18879307692307692</v>
      </c>
      <c r="M5">
        <f t="shared" ref="M5:M38" si="7">(K5+L5)/2</f>
        <v>-0.19917778846153847</v>
      </c>
      <c r="N5">
        <f t="shared" ref="N5:N38" si="8">-J5/(M5*86400*$L$1)</f>
        <v>4.5680852602365841E-5</v>
      </c>
      <c r="O5" s="3">
        <f t="shared" ref="O5:O38" si="9">N5*10000</f>
        <v>0.4568085260236584</v>
      </c>
    </row>
    <row r="6" spans="1:15" x14ac:dyDescent="0.25">
      <c r="A6">
        <v>30</v>
      </c>
      <c r="B6" s="3">
        <v>4.4670318181818178</v>
      </c>
      <c r="C6" s="3">
        <v>6.4889999999999999</v>
      </c>
      <c r="D6">
        <f t="shared" si="2"/>
        <v>2.0219681818181821</v>
      </c>
      <c r="E6">
        <f t="shared" si="3"/>
        <v>1.4299410839160847</v>
      </c>
      <c r="F6">
        <v>70</v>
      </c>
      <c r="G6">
        <v>7218</v>
      </c>
      <c r="H6">
        <f t="shared" si="4"/>
        <v>100.09587587412592</v>
      </c>
      <c r="I6">
        <f t="shared" si="0"/>
        <v>193.85916293706248</v>
      </c>
      <c r="J6">
        <f t="shared" si="1"/>
        <v>26.857739392776736</v>
      </c>
      <c r="K6">
        <f t="shared" si="5"/>
        <v>-5.4496818181818264E-2</v>
      </c>
      <c r="L6">
        <f t="shared" si="6"/>
        <v>-0.16424749999999996</v>
      </c>
      <c r="M6">
        <f t="shared" si="7"/>
        <v>-0.10937215909090911</v>
      </c>
      <c r="N6">
        <f t="shared" si="8"/>
        <v>4.369972136192276E-5</v>
      </c>
      <c r="O6" s="3">
        <f t="shared" si="9"/>
        <v>0.43699721361922761</v>
      </c>
    </row>
    <row r="7" spans="1:15" x14ac:dyDescent="0.25">
      <c r="A7">
        <v>40</v>
      </c>
      <c r="B7" s="3">
        <v>4.1963090909090903</v>
      </c>
      <c r="C7" s="3">
        <v>5.0342230769230776</v>
      </c>
      <c r="D7">
        <f t="shared" si="2"/>
        <v>0.83791398601398726</v>
      </c>
      <c r="E7">
        <f t="shared" si="3"/>
        <v>0.56886241258741332</v>
      </c>
      <c r="F7">
        <v>70</v>
      </c>
      <c r="G7">
        <v>7128.25</v>
      </c>
      <c r="H7">
        <f t="shared" si="4"/>
        <v>39.820368881118931</v>
      </c>
      <c r="I7">
        <f t="shared" si="0"/>
        <v>93.763287062936541</v>
      </c>
      <c r="J7">
        <f t="shared" si="1"/>
        <v>13.153759627248839</v>
      </c>
      <c r="K7">
        <f t="shared" si="5"/>
        <v>-2.1153863636363603E-2</v>
      </c>
      <c r="L7">
        <f t="shared" si="6"/>
        <v>-0.10726173076923073</v>
      </c>
      <c r="M7">
        <f t="shared" si="7"/>
        <v>-6.4207797202797165E-2</v>
      </c>
      <c r="N7">
        <f t="shared" si="8"/>
        <v>3.6456764971982661E-5</v>
      </c>
      <c r="O7" s="3">
        <f t="shared" si="9"/>
        <v>0.36456764971982664</v>
      </c>
    </row>
    <row r="8" spans="1:15" x14ac:dyDescent="0.25">
      <c r="A8">
        <v>50</v>
      </c>
      <c r="B8" s="3">
        <v>4.0439545454545458</v>
      </c>
      <c r="C8" s="3">
        <v>4.3437653846153852</v>
      </c>
      <c r="D8">
        <f t="shared" si="2"/>
        <v>0.29981083916083939</v>
      </c>
      <c r="E8">
        <f t="shared" si="3"/>
        <v>0.22456520979021022</v>
      </c>
      <c r="F8">
        <v>65</v>
      </c>
      <c r="G8">
        <v>6875.5</v>
      </c>
      <c r="H8">
        <f t="shared" si="4"/>
        <v>14.596738636363664</v>
      </c>
      <c r="I8">
        <f t="shared" si="0"/>
        <v>53.942918181817618</v>
      </c>
      <c r="J8">
        <f t="shared" si="1"/>
        <v>7.845672050297086</v>
      </c>
      <c r="K8">
        <f t="shared" si="5"/>
        <v>-1.1546818181818175E-2</v>
      </c>
      <c r="L8">
        <f t="shared" si="6"/>
        <v>-4.5976538461538485E-2</v>
      </c>
      <c r="M8">
        <f t="shared" si="7"/>
        <v>-2.8761678321678329E-2</v>
      </c>
      <c r="N8">
        <f t="shared" si="8"/>
        <v>4.8543593661016971E-5</v>
      </c>
      <c r="O8" s="3">
        <f t="shared" si="9"/>
        <v>0.4854359366101697</v>
      </c>
    </row>
    <row r="9" spans="1:15" x14ac:dyDescent="0.25">
      <c r="A9">
        <v>60</v>
      </c>
      <c r="B9" s="3">
        <v>3.9653727272727268</v>
      </c>
      <c r="C9" s="3">
        <v>4.1146923076923079</v>
      </c>
      <c r="D9">
        <f t="shared" si="2"/>
        <v>0.14931958041958104</v>
      </c>
      <c r="E9">
        <f t="shared" si="3"/>
        <v>0.11579125874125906</v>
      </c>
      <c r="F9">
        <v>65</v>
      </c>
      <c r="G9">
        <v>6622.75</v>
      </c>
      <c r="H9">
        <f t="shared" si="4"/>
        <v>7.5264318181818393</v>
      </c>
      <c r="I9">
        <f>I10+H9</f>
        <v>39.34617954545395</v>
      </c>
      <c r="J9">
        <f>(I9/G9)*1000</f>
        <v>5.941063688868514</v>
      </c>
      <c r="K9">
        <f t="shared" si="5"/>
        <v>-6.0456818181818363E-3</v>
      </c>
      <c r="L9">
        <f t="shared" si="6"/>
        <v>-1.692307692307695E-2</v>
      </c>
      <c r="M9">
        <f t="shared" si="7"/>
        <v>-1.1484379370629393E-2</v>
      </c>
      <c r="N9">
        <f t="shared" si="8"/>
        <v>9.2060361428849749E-5</v>
      </c>
      <c r="O9" s="3">
        <f>N9*10000</f>
        <v>0.92060361428849746</v>
      </c>
    </row>
    <row r="10" spans="1:15" x14ac:dyDescent="0.25">
      <c r="A10">
        <v>70</v>
      </c>
      <c r="B10" s="3">
        <v>3.9230409090909091</v>
      </c>
      <c r="C10" s="3">
        <v>4.0053038461538462</v>
      </c>
      <c r="D10">
        <f t="shared" si="2"/>
        <v>8.226293706293708E-2</v>
      </c>
      <c r="E10">
        <f t="shared" si="3"/>
        <v>6.1523076923076569E-2</v>
      </c>
      <c r="F10">
        <v>65</v>
      </c>
      <c r="G10">
        <v>6370</v>
      </c>
      <c r="H10">
        <f>E10*F10</f>
        <v>3.998999999999977</v>
      </c>
      <c r="I10">
        <f t="shared" si="0"/>
        <v>31.819747727272109</v>
      </c>
      <c r="J10">
        <f t="shared" si="1"/>
        <v>4.9952508206078665</v>
      </c>
      <c r="K10">
        <f t="shared" si="5"/>
        <v>-3.3981818181818115E-3</v>
      </c>
      <c r="L10">
        <f t="shared" si="6"/>
        <v>-8.8250000000000602E-3</v>
      </c>
      <c r="M10">
        <f t="shared" si="7"/>
        <v>-6.1115909090909363E-3</v>
      </c>
      <c r="N10">
        <f t="shared" si="8"/>
        <v>1.4545177367184808E-4</v>
      </c>
      <c r="O10" s="3">
        <f t="shared" si="9"/>
        <v>1.4545177367184807</v>
      </c>
    </row>
    <row r="11" spans="1:15" x14ac:dyDescent="0.25">
      <c r="A11">
        <v>80</v>
      </c>
      <c r="B11" s="3">
        <v>3.8974090909090906</v>
      </c>
      <c r="C11" s="3">
        <v>3.9381923076923067</v>
      </c>
      <c r="D11">
        <f t="shared" si="2"/>
        <v>4.0783216783216059E-2</v>
      </c>
      <c r="E11">
        <f>(D11+D12)/2</f>
        <v>3.7572902097902094E-2</v>
      </c>
      <c r="F11">
        <v>65</v>
      </c>
      <c r="G11">
        <v>6223</v>
      </c>
      <c r="H11">
        <f t="shared" si="4"/>
        <v>2.4422386363636361</v>
      </c>
      <c r="I11">
        <f t="shared" si="0"/>
        <v>27.820747727272131</v>
      </c>
      <c r="J11">
        <f t="shared" si="1"/>
        <v>4.4706327699296367</v>
      </c>
      <c r="K11">
        <f t="shared" si="5"/>
        <v>-2.6311363636363884E-3</v>
      </c>
      <c r="L11">
        <f t="shared" si="6"/>
        <v>-5.0261538461538356E-3</v>
      </c>
      <c r="M11">
        <f t="shared" si="7"/>
        <v>-3.828645104895112E-3</v>
      </c>
      <c r="N11">
        <f t="shared" si="8"/>
        <v>2.0779729205014773E-4</v>
      </c>
      <c r="O11" s="3">
        <f t="shared" si="9"/>
        <v>2.0779729205014772</v>
      </c>
    </row>
    <row r="12" spans="1:15" x14ac:dyDescent="0.25">
      <c r="A12">
        <v>90</v>
      </c>
      <c r="B12" s="3">
        <v>3.8704181818181813</v>
      </c>
      <c r="C12" s="3">
        <v>3.9047807692307694</v>
      </c>
      <c r="D12">
        <f t="shared" si="2"/>
        <v>3.436258741258813E-2</v>
      </c>
      <c r="E12">
        <f t="shared" si="3"/>
        <v>3.1760139860139924E-2</v>
      </c>
      <c r="F12">
        <v>65</v>
      </c>
      <c r="G12">
        <v>6076</v>
      </c>
      <c r="H12">
        <f t="shared" si="4"/>
        <v>2.0644090909090949</v>
      </c>
      <c r="I12">
        <f t="shared" si="0"/>
        <v>25.378509090908494</v>
      </c>
      <c r="J12">
        <f t="shared" si="1"/>
        <v>4.176844814171905</v>
      </c>
      <c r="K12">
        <f t="shared" si="5"/>
        <v>-2.7504545454545503E-3</v>
      </c>
      <c r="L12">
        <f t="shared" si="6"/>
        <v>-3.3317307692307674E-3</v>
      </c>
      <c r="M12">
        <f t="shared" si="7"/>
        <v>-3.0410926573426591E-3</v>
      </c>
      <c r="N12">
        <f t="shared" si="8"/>
        <v>2.4441884366009588E-4</v>
      </c>
      <c r="O12" s="3">
        <f t="shared" si="9"/>
        <v>2.444188436600959</v>
      </c>
    </row>
    <row r="13" spans="1:15" x14ac:dyDescent="0.25">
      <c r="A13">
        <v>100</v>
      </c>
      <c r="B13" s="3">
        <v>3.8423999999999996</v>
      </c>
      <c r="C13" s="3">
        <v>3.8715576923076913</v>
      </c>
      <c r="D13">
        <f t="shared" si="2"/>
        <v>2.9157692307691718E-2</v>
      </c>
      <c r="E13">
        <f t="shared" si="3"/>
        <v>2.438636363636415E-2</v>
      </c>
      <c r="F13">
        <v>315</v>
      </c>
      <c r="G13">
        <v>5919</v>
      </c>
      <c r="H13">
        <f t="shared" si="4"/>
        <v>7.681704545454707</v>
      </c>
      <c r="I13">
        <f t="shared" si="0"/>
        <v>23.314099999999399</v>
      </c>
      <c r="J13">
        <f t="shared" si="1"/>
        <v>3.9388579151882745</v>
      </c>
      <c r="K13">
        <f t="shared" si="5"/>
        <v>-2.5556818181818207E-3</v>
      </c>
      <c r="L13">
        <f t="shared" si="6"/>
        <v>-2.8014743589743468E-3</v>
      </c>
      <c r="M13">
        <f t="shared" si="7"/>
        <v>-2.6785780885780837E-3</v>
      </c>
      <c r="N13">
        <f t="shared" si="8"/>
        <v>2.6168691114762709E-4</v>
      </c>
      <c r="O13" s="3">
        <f t="shared" si="9"/>
        <v>2.6168691114762708</v>
      </c>
    </row>
    <row r="14" spans="1:15" x14ac:dyDescent="0.25">
      <c r="A14">
        <v>150</v>
      </c>
      <c r="B14" s="3">
        <v>3.7170772727272721</v>
      </c>
      <c r="C14" s="3">
        <v>3.7366923076923086</v>
      </c>
      <c r="D14">
        <f t="shared" si="2"/>
        <v>1.9615034965036582E-2</v>
      </c>
      <c r="E14">
        <f t="shared" si="3"/>
        <v>1.5903321678322424E-2</v>
      </c>
      <c r="F14">
        <v>311</v>
      </c>
      <c r="G14">
        <v>5762</v>
      </c>
      <c r="H14">
        <f t="shared" si="4"/>
        <v>4.9459330419582734</v>
      </c>
      <c r="I14">
        <f t="shared" si="0"/>
        <v>15.632395454544694</v>
      </c>
      <c r="J14">
        <f t="shared" si="1"/>
        <v>2.7130155249123038</v>
      </c>
      <c r="K14">
        <f t="shared" si="5"/>
        <v>-2.0414545454545329E-3</v>
      </c>
      <c r="L14">
        <f t="shared" si="6"/>
        <v>-2.2111153846153674E-3</v>
      </c>
      <c r="M14">
        <f t="shared" si="7"/>
        <v>-2.1262849650349504E-3</v>
      </c>
      <c r="N14">
        <f t="shared" si="8"/>
        <v>2.2706322848981055E-4</v>
      </c>
      <c r="O14" s="3">
        <f t="shared" si="9"/>
        <v>2.2706322848981055</v>
      </c>
    </row>
    <row r="15" spans="1:15" x14ac:dyDescent="0.25">
      <c r="A15">
        <v>200</v>
      </c>
      <c r="B15" s="3">
        <v>3.6382545454545463</v>
      </c>
      <c r="C15" s="3">
        <v>3.6504461538461546</v>
      </c>
      <c r="D15">
        <f t="shared" si="2"/>
        <v>1.2191608391608266E-2</v>
      </c>
      <c r="E15">
        <f t="shared" si="3"/>
        <v>1.0582867132866491E-2</v>
      </c>
      <c r="F15">
        <v>305</v>
      </c>
      <c r="G15">
        <v>5461</v>
      </c>
      <c r="H15">
        <f t="shared" si="4"/>
        <v>3.2277744755242797</v>
      </c>
      <c r="I15">
        <f t="shared" si="0"/>
        <v>10.686462412586421</v>
      </c>
      <c r="J15">
        <f t="shared" si="1"/>
        <v>1.9568691471500494</v>
      </c>
      <c r="K15">
        <f t="shared" si="5"/>
        <v>-1.1980909090908965E-3</v>
      </c>
      <c r="L15">
        <f t="shared" si="6"/>
        <v>-1.3045000000000151E-3</v>
      </c>
      <c r="M15">
        <f t="shared" si="7"/>
        <v>-1.2512954545454559E-3</v>
      </c>
      <c r="N15">
        <f t="shared" si="8"/>
        <v>2.7830301863245542E-4</v>
      </c>
      <c r="O15" s="3">
        <f t="shared" si="9"/>
        <v>2.7830301863245541</v>
      </c>
    </row>
    <row r="16" spans="1:15" x14ac:dyDescent="0.25">
      <c r="A16">
        <v>250</v>
      </c>
      <c r="B16" s="3">
        <v>3.5972681818181824</v>
      </c>
      <c r="C16" s="3">
        <v>3.6062423076923071</v>
      </c>
      <c r="D16">
        <f t="shared" si="2"/>
        <v>8.9741258741247165E-3</v>
      </c>
      <c r="E16">
        <f t="shared" si="3"/>
        <v>8.9928321678316436E-3</v>
      </c>
      <c r="F16">
        <v>298</v>
      </c>
      <c r="G16">
        <v>5186</v>
      </c>
      <c r="H16">
        <f t="shared" si="4"/>
        <v>2.6798639860138298</v>
      </c>
      <c r="I16">
        <f t="shared" si="0"/>
        <v>7.4586879370621411</v>
      </c>
      <c r="J16">
        <f t="shared" si="1"/>
        <v>1.4382352366105169</v>
      </c>
      <c r="K16">
        <f t="shared" si="5"/>
        <v>-7.0604545454545865E-4</v>
      </c>
      <c r="L16">
        <f t="shared" si="6"/>
        <v>-7.3784615384615555E-4</v>
      </c>
      <c r="M16">
        <f t="shared" si="7"/>
        <v>-7.2194580419580705E-4</v>
      </c>
      <c r="N16">
        <f t="shared" si="8"/>
        <v>3.5452047776372473E-4</v>
      </c>
      <c r="O16" s="3">
        <f t="shared" si="9"/>
        <v>3.5452047776372471</v>
      </c>
    </row>
    <row r="17" spans="1:15" x14ac:dyDescent="0.25">
      <c r="A17">
        <v>300</v>
      </c>
      <c r="B17" s="3">
        <v>3.5676500000000004</v>
      </c>
      <c r="C17" s="3">
        <v>3.576661538461539</v>
      </c>
      <c r="D17">
        <f t="shared" si="2"/>
        <v>9.0115384615385707E-3</v>
      </c>
      <c r="E17">
        <f t="shared" si="3"/>
        <v>6.7062937062940531E-3</v>
      </c>
      <c r="F17">
        <v>289</v>
      </c>
      <c r="G17">
        <v>4893</v>
      </c>
      <c r="H17">
        <f t="shared" si="4"/>
        <v>1.9381188811189813</v>
      </c>
      <c r="I17">
        <f t="shared" si="0"/>
        <v>4.7788239510483113</v>
      </c>
      <c r="J17">
        <f t="shared" si="1"/>
        <v>0.97666543042066445</v>
      </c>
      <c r="K17">
        <f t="shared" si="5"/>
        <v>-5.5000000000001044E-4</v>
      </c>
      <c r="L17">
        <f t="shared" si="6"/>
        <v>-5.9573076923076225E-4</v>
      </c>
      <c r="M17">
        <f t="shared" si="7"/>
        <v>-5.7286538461538629E-4</v>
      </c>
      <c r="N17">
        <f t="shared" si="8"/>
        <v>3.0339556847278098E-4</v>
      </c>
      <c r="O17" s="3">
        <f t="shared" si="9"/>
        <v>3.0339556847278097</v>
      </c>
    </row>
    <row r="18" spans="1:15" x14ac:dyDescent="0.25">
      <c r="A18">
        <v>350</v>
      </c>
      <c r="B18" s="3">
        <v>3.5422681818181814</v>
      </c>
      <c r="C18" s="3">
        <v>3.5466692307692309</v>
      </c>
      <c r="D18">
        <f t="shared" si="2"/>
        <v>4.4010489510495354E-3</v>
      </c>
      <c r="E18">
        <f t="shared" si="3"/>
        <v>3.8907342657339417E-3</v>
      </c>
      <c r="F18">
        <v>284</v>
      </c>
      <c r="G18">
        <v>4615</v>
      </c>
      <c r="H18">
        <f t="shared" si="4"/>
        <v>1.1049685314684394</v>
      </c>
      <c r="I18">
        <f t="shared" si="0"/>
        <v>2.8407050699293301</v>
      </c>
      <c r="J18">
        <f t="shared" si="1"/>
        <v>0.61553739326746049</v>
      </c>
      <c r="K18">
        <f t="shared" si="5"/>
        <v>-5.1722727272726751E-4</v>
      </c>
      <c r="L18">
        <f t="shared" si="6"/>
        <v>-5.7353846153846972E-4</v>
      </c>
      <c r="M18">
        <f t="shared" si="7"/>
        <v>-5.4538286713286862E-4</v>
      </c>
      <c r="N18">
        <f t="shared" si="8"/>
        <v>2.0084866443211802E-4</v>
      </c>
      <c r="O18" s="3">
        <f t="shared" si="9"/>
        <v>2.0084866443211804</v>
      </c>
    </row>
    <row r="19" spans="1:15" x14ac:dyDescent="0.25">
      <c r="A19">
        <v>400</v>
      </c>
      <c r="B19" s="3">
        <v>3.5159272727272737</v>
      </c>
      <c r="C19" s="3">
        <v>3.519307692307692</v>
      </c>
      <c r="D19">
        <f t="shared" si="2"/>
        <v>3.3804195804183479E-3</v>
      </c>
      <c r="E19">
        <f t="shared" si="3"/>
        <v>3.007342657341594E-3</v>
      </c>
      <c r="F19">
        <v>279</v>
      </c>
      <c r="G19">
        <v>4306</v>
      </c>
      <c r="H19">
        <f t="shared" si="4"/>
        <v>0.83904860139830473</v>
      </c>
      <c r="I19">
        <f t="shared" si="0"/>
        <v>1.7357365384608907</v>
      </c>
      <c r="J19">
        <f t="shared" si="1"/>
        <v>0.40309719889941725</v>
      </c>
      <c r="K19">
        <f t="shared" si="5"/>
        <v>-5.1590909090908803E-4</v>
      </c>
      <c r="L19">
        <f t="shared" si="6"/>
        <v>-5.3357692307693489E-4</v>
      </c>
      <c r="M19">
        <f t="shared" si="7"/>
        <v>-5.2474300699301146E-4</v>
      </c>
      <c r="N19">
        <f t="shared" si="8"/>
        <v>1.3670333777575101E-4</v>
      </c>
      <c r="O19" s="3">
        <f t="shared" si="9"/>
        <v>1.3670333777575101</v>
      </c>
    </row>
    <row r="20" spans="1:15" x14ac:dyDescent="0.25">
      <c r="A20">
        <v>450</v>
      </c>
      <c r="B20" s="3">
        <v>3.4906772727272726</v>
      </c>
      <c r="C20" s="3">
        <v>3.4933115384615374</v>
      </c>
      <c r="D20">
        <f t="shared" si="2"/>
        <v>2.6342657342648401E-3</v>
      </c>
      <c r="E20">
        <f t="shared" si="3"/>
        <v>1.9239510489503786E-3</v>
      </c>
      <c r="F20">
        <v>271</v>
      </c>
      <c r="G20">
        <v>3966</v>
      </c>
      <c r="H20">
        <f t="shared" si="4"/>
        <v>0.5213907342655526</v>
      </c>
      <c r="I20">
        <f t="shared" si="0"/>
        <v>0.89668793706258598</v>
      </c>
      <c r="J20">
        <f t="shared" si="1"/>
        <v>0.22609378140761119</v>
      </c>
      <c r="K20">
        <f t="shared" si="5"/>
        <v>-4.6340909090909933E-4</v>
      </c>
      <c r="L20">
        <f t="shared" si="6"/>
        <v>-4.8507692307692363E-4</v>
      </c>
      <c r="M20">
        <f t="shared" si="7"/>
        <v>-4.7424300699301148E-4</v>
      </c>
      <c r="N20">
        <f t="shared" si="8"/>
        <v>8.4840589933294361E-5</v>
      </c>
      <c r="O20" s="3">
        <f t="shared" si="9"/>
        <v>0.84840589933294364</v>
      </c>
    </row>
    <row r="21" spans="1:15" x14ac:dyDescent="0.25">
      <c r="A21">
        <v>500</v>
      </c>
      <c r="B21" s="3">
        <v>3.4695863636363637</v>
      </c>
      <c r="C21" s="3">
        <v>3.4707999999999997</v>
      </c>
      <c r="D21">
        <f t="shared" si="2"/>
        <v>1.2136363636359171E-3</v>
      </c>
      <c r="E21">
        <f t="shared" si="3"/>
        <v>8.0611888111814523E-4</v>
      </c>
      <c r="F21">
        <v>262</v>
      </c>
      <c r="G21">
        <v>3571</v>
      </c>
      <c r="H21">
        <f t="shared" si="4"/>
        <v>0.21120314685295405</v>
      </c>
      <c r="I21">
        <f t="shared" si="0"/>
        <v>0.37529720279703338</v>
      </c>
      <c r="J21">
        <f t="shared" si="1"/>
        <v>0.10509582828256327</v>
      </c>
      <c r="K21">
        <f t="shared" si="5"/>
        <v>-3.826818181818137E-4</v>
      </c>
      <c r="L21">
        <f t="shared" si="6"/>
        <v>-4.0503846153845836E-4</v>
      </c>
      <c r="M21">
        <f t="shared" si="7"/>
        <v>-3.9386013986013606E-4</v>
      </c>
      <c r="N21">
        <f t="shared" si="8"/>
        <v>4.7485328242749859E-5</v>
      </c>
      <c r="O21" s="3">
        <f t="shared" si="9"/>
        <v>0.47485328242749858</v>
      </c>
    </row>
    <row r="22" spans="1:15" x14ac:dyDescent="0.25">
      <c r="A22">
        <v>550</v>
      </c>
      <c r="B22" s="3">
        <v>3.4524090909090912</v>
      </c>
      <c r="C22" s="3">
        <v>3.4528076923076916</v>
      </c>
      <c r="D22">
        <f t="shared" si="2"/>
        <v>3.9860139860037336E-4</v>
      </c>
      <c r="E22">
        <f t="shared" si="3"/>
        <v>5.515734265733041E-4</v>
      </c>
      <c r="F22">
        <v>251</v>
      </c>
      <c r="G22">
        <v>3239</v>
      </c>
      <c r="H22">
        <f t="shared" si="4"/>
        <v>0.13844493006989933</v>
      </c>
      <c r="I22">
        <f t="shared" si="0"/>
        <v>0.16409405594407933</v>
      </c>
      <c r="J22">
        <f t="shared" si="1"/>
        <v>5.0661949967298343E-2</v>
      </c>
      <c r="K22">
        <f t="shared" si="5"/>
        <v>-3.3590909090909895E-4</v>
      </c>
      <c r="L22">
        <f t="shared" si="6"/>
        <v>-3.4099999999999577E-4</v>
      </c>
      <c r="M22">
        <f t="shared" si="7"/>
        <v>-3.3845454545454738E-4</v>
      </c>
      <c r="N22">
        <f t="shared" si="8"/>
        <v>2.663775060337359E-5</v>
      </c>
      <c r="O22" s="3">
        <f t="shared" si="9"/>
        <v>0.26637750603373589</v>
      </c>
    </row>
    <row r="23" spans="1:15" x14ac:dyDescent="0.25">
      <c r="A23">
        <v>600</v>
      </c>
      <c r="B23" s="3">
        <v>3.4359954545454539</v>
      </c>
      <c r="C23" s="3">
        <v>3.4367000000000001</v>
      </c>
      <c r="D23">
        <f t="shared" si="2"/>
        <v>7.0454545454623485E-4</v>
      </c>
      <c r="E23">
        <f t="shared" si="3"/>
        <v>1.4073426573446568E-4</v>
      </c>
      <c r="F23">
        <v>240</v>
      </c>
      <c r="G23">
        <v>2767</v>
      </c>
      <c r="H23">
        <f t="shared" si="4"/>
        <v>3.3776223776271763E-2</v>
      </c>
      <c r="I23">
        <f>I24+H23</f>
        <v>2.5649125874180001E-2</v>
      </c>
      <c r="J23">
        <f t="shared" si="1"/>
        <v>9.2696515627683409E-3</v>
      </c>
      <c r="K23">
        <f t="shared" si="5"/>
        <v>-2.8909090909090996E-4</v>
      </c>
      <c r="L23">
        <f t="shared" si="6"/>
        <v>-2.9730769230768673E-4</v>
      </c>
      <c r="M23">
        <f t="shared" si="7"/>
        <v>-2.9319930069929832E-4</v>
      </c>
      <c r="N23">
        <f t="shared" si="8"/>
        <v>5.6262169850269853E-6</v>
      </c>
      <c r="O23" s="3">
        <f t="shared" si="9"/>
        <v>5.6262169850269855E-2</v>
      </c>
    </row>
    <row r="24" spans="1:15" x14ac:dyDescent="0.25">
      <c r="A24">
        <v>650</v>
      </c>
      <c r="B24" s="3">
        <v>3.4235000000000002</v>
      </c>
      <c r="C24" s="3">
        <v>3.4230769230769229</v>
      </c>
      <c r="D24">
        <f t="shared" si="2"/>
        <v>-4.2307692307730349E-4</v>
      </c>
      <c r="E24">
        <f t="shared" si="3"/>
        <v>-3.5489510489483678E-5</v>
      </c>
      <c r="F24">
        <v>229</v>
      </c>
      <c r="G24">
        <v>2129</v>
      </c>
      <c r="H24">
        <f t="shared" si="4"/>
        <v>-8.1270979020917622E-3</v>
      </c>
      <c r="I24">
        <f>H24</f>
        <v>-8.1270979020917622E-3</v>
      </c>
      <c r="J24">
        <f>(I24/G24)*1000</f>
        <v>-3.8173310953930305E-3</v>
      </c>
      <c r="K24">
        <f t="shared" si="5"/>
        <v>-2.4009090909090869E-4</v>
      </c>
      <c r="L24">
        <f t="shared" si="6"/>
        <v>-2.4361538461538767E-4</v>
      </c>
      <c r="M24">
        <f t="shared" si="7"/>
        <v>-2.4185314685314818E-4</v>
      </c>
      <c r="N24">
        <f t="shared" si="8"/>
        <v>-2.8088211417497373E-6</v>
      </c>
      <c r="O24" s="3">
        <f t="shared" si="9"/>
        <v>-2.8088211417497372E-2</v>
      </c>
    </row>
    <row r="25" spans="1:15" x14ac:dyDescent="0.25">
      <c r="A25">
        <v>700</v>
      </c>
      <c r="B25" s="3">
        <v>3.411986363636363</v>
      </c>
      <c r="C25" s="3">
        <v>3.4123384615384613</v>
      </c>
      <c r="D25">
        <f t="shared" si="2"/>
        <v>3.5209790209833614E-4</v>
      </c>
      <c r="E25">
        <f t="shared" si="3"/>
        <v>3.6573426573438539E-4</v>
      </c>
      <c r="F25" s="3">
        <v>216</v>
      </c>
      <c r="G25">
        <v>2130</v>
      </c>
      <c r="H25">
        <f t="shared" si="4"/>
        <v>7.8998601398627244E-2</v>
      </c>
      <c r="I25">
        <f t="shared" ref="I25:I38" si="10">H25</f>
        <v>7.8998601398627244E-2</v>
      </c>
      <c r="J25">
        <f t="shared" ref="J25:J38" si="11">(I25/G25)*1000</f>
        <v>3.7088545257571479E-2</v>
      </c>
      <c r="K25">
        <f t="shared" si="5"/>
        <v>-2.0090909090909382E-4</v>
      </c>
      <c r="L25">
        <f t="shared" si="6"/>
        <v>-1.9288461538461644E-4</v>
      </c>
      <c r="M25">
        <f t="shared" si="7"/>
        <v>-1.9689685314685514E-4</v>
      </c>
      <c r="N25">
        <f t="shared" si="8"/>
        <v>3.3521004304633066E-5</v>
      </c>
      <c r="O25" s="3">
        <f t="shared" si="9"/>
        <v>0.33521004304633067</v>
      </c>
    </row>
    <row r="26" spans="1:15" x14ac:dyDescent="0.25">
      <c r="A26">
        <v>750</v>
      </c>
      <c r="B26" s="3">
        <v>3.4034090909090908</v>
      </c>
      <c r="C26" s="3">
        <v>3.4037884615384613</v>
      </c>
      <c r="D26">
        <f t="shared" si="2"/>
        <v>3.7937062937043464E-4</v>
      </c>
      <c r="E26">
        <f t="shared" si="3"/>
        <v>5.7762237762282176E-4</v>
      </c>
      <c r="F26" s="3">
        <v>205</v>
      </c>
      <c r="G26">
        <v>2131</v>
      </c>
      <c r="H26">
        <f t="shared" si="4"/>
        <v>0.11841258741267846</v>
      </c>
      <c r="I26">
        <f t="shared" si="10"/>
        <v>0.11841258741267846</v>
      </c>
      <c r="J26">
        <f t="shared" si="11"/>
        <v>5.5566676402007721E-2</v>
      </c>
      <c r="K26">
        <f t="shared" si="5"/>
        <v>-1.6954545454544333E-4</v>
      </c>
      <c r="L26">
        <f t="shared" si="6"/>
        <v>-1.653076923076746E-4</v>
      </c>
      <c r="M26">
        <f t="shared" si="7"/>
        <v>-1.6742657342655898E-4</v>
      </c>
      <c r="N26">
        <f t="shared" si="8"/>
        <v>5.9061711802117149E-5</v>
      </c>
      <c r="O26" s="3">
        <f t="shared" si="9"/>
        <v>0.59061711802117145</v>
      </c>
    </row>
    <row r="27" spans="1:15" x14ac:dyDescent="0.25">
      <c r="A27">
        <v>800</v>
      </c>
      <c r="B27" s="3">
        <v>3.3950318181818187</v>
      </c>
      <c r="C27" s="3">
        <v>3.3958076923076939</v>
      </c>
      <c r="D27">
        <f t="shared" si="2"/>
        <v>7.7587412587520888E-4</v>
      </c>
      <c r="E27">
        <f t="shared" si="3"/>
        <v>2.8683816183905364E-4</v>
      </c>
      <c r="F27" s="3">
        <v>192</v>
      </c>
      <c r="G27">
        <v>2132</v>
      </c>
      <c r="H27">
        <f t="shared" si="4"/>
        <v>5.5072927073098299E-2</v>
      </c>
      <c r="I27">
        <f t="shared" si="10"/>
        <v>5.5072927073098299E-2</v>
      </c>
      <c r="J27">
        <f t="shared" si="11"/>
        <v>2.5831579302578941E-2</v>
      </c>
      <c r="K27">
        <f t="shared" si="5"/>
        <v>-1.503766233766246E-4</v>
      </c>
      <c r="L27">
        <f t="shared" si="6"/>
        <v>-1.5619230769229998E-4</v>
      </c>
      <c r="M27">
        <f t="shared" si="7"/>
        <v>-1.5328446553446228E-4</v>
      </c>
      <c r="N27">
        <f t="shared" si="8"/>
        <v>2.9989471549524827E-5</v>
      </c>
      <c r="O27" s="3">
        <f t="shared" si="9"/>
        <v>0.29989471549524827</v>
      </c>
    </row>
    <row r="28" spans="1:15" x14ac:dyDescent="0.25">
      <c r="A28">
        <v>850</v>
      </c>
      <c r="B28" s="3">
        <v>3.3883714285714284</v>
      </c>
      <c r="C28" s="3">
        <v>3.3881692307692313</v>
      </c>
      <c r="D28">
        <f t="shared" si="2"/>
        <v>-2.0219780219710159E-4</v>
      </c>
      <c r="E28">
        <f t="shared" si="3"/>
        <v>4.3690109890093254E-4</v>
      </c>
      <c r="F28" s="3">
        <v>181</v>
      </c>
      <c r="G28">
        <v>2133</v>
      </c>
      <c r="H28">
        <f t="shared" si="4"/>
        <v>7.9079098901068789E-2</v>
      </c>
      <c r="I28">
        <f t="shared" si="10"/>
        <v>7.9079098901068789E-2</v>
      </c>
      <c r="J28">
        <f t="shared" si="11"/>
        <v>3.707412044119493E-2</v>
      </c>
      <c r="K28">
        <f t="shared" si="5"/>
        <v>-1.2971818181818141E-4</v>
      </c>
      <c r="L28">
        <f t="shared" si="6"/>
        <v>-1.2671692307694382E-4</v>
      </c>
      <c r="M28">
        <f t="shared" si="7"/>
        <v>-1.282175524475626E-4</v>
      </c>
      <c r="N28">
        <f t="shared" si="8"/>
        <v>5.1456396830726397E-5</v>
      </c>
      <c r="O28" s="3">
        <f t="shared" si="9"/>
        <v>0.51456396830726392</v>
      </c>
    </row>
    <row r="29" spans="1:15" x14ac:dyDescent="0.25">
      <c r="A29">
        <v>900</v>
      </c>
      <c r="B29" s="3">
        <v>3.3820600000000005</v>
      </c>
      <c r="C29" s="3">
        <v>3.3831359999999995</v>
      </c>
      <c r="D29">
        <f t="shared" si="2"/>
        <v>1.0759999999989667E-3</v>
      </c>
      <c r="E29">
        <f t="shared" si="3"/>
        <v>1.1494999999994704E-3</v>
      </c>
      <c r="F29" s="3">
        <v>177</v>
      </c>
      <c r="G29">
        <v>2134</v>
      </c>
      <c r="H29">
        <f t="shared" si="4"/>
        <v>0.20346149999990626</v>
      </c>
      <c r="I29">
        <f t="shared" si="10"/>
        <v>0.20346149999990626</v>
      </c>
      <c r="J29">
        <f t="shared" si="11"/>
        <v>9.5342783505110704E-2</v>
      </c>
      <c r="K29">
        <f t="shared" si="5"/>
        <v>-1.1926428571428005E-4</v>
      </c>
      <c r="L29">
        <f t="shared" si="6"/>
        <v>-1.050123076923093E-4</v>
      </c>
      <c r="M29">
        <f t="shared" si="7"/>
        <v>-1.1213829670329468E-4</v>
      </c>
      <c r="N29">
        <f t="shared" si="8"/>
        <v>1.513038118756497E-4</v>
      </c>
      <c r="O29" s="3">
        <f t="shared" si="9"/>
        <v>1.513038118756497</v>
      </c>
    </row>
    <row r="30" spans="1:15" x14ac:dyDescent="0.25">
      <c r="A30">
        <v>950</v>
      </c>
      <c r="B30" s="3">
        <v>3.3764450000000004</v>
      </c>
      <c r="C30" s="3">
        <v>3.3776680000000003</v>
      </c>
      <c r="D30">
        <f t="shared" si="2"/>
        <v>1.2229999999999741E-3</v>
      </c>
      <c r="E30">
        <f t="shared" si="3"/>
        <v>1.8302499999998112E-3</v>
      </c>
      <c r="F30" s="3">
        <v>172</v>
      </c>
      <c r="G30">
        <v>2135</v>
      </c>
      <c r="H30">
        <f t="shared" si="4"/>
        <v>0.31480299999996753</v>
      </c>
      <c r="I30">
        <f t="shared" si="10"/>
        <v>0.31480299999996753</v>
      </c>
      <c r="J30">
        <f t="shared" si="11"/>
        <v>0.1474487119437787</v>
      </c>
      <c r="K30">
        <f t="shared" si="5"/>
        <v>-1.137666666666659E-4</v>
      </c>
      <c r="L30">
        <f t="shared" si="6"/>
        <v>-1.0015166666665909E-4</v>
      </c>
      <c r="M30">
        <f t="shared" si="7"/>
        <v>-1.0695916666666249E-4</v>
      </c>
      <c r="N30">
        <f t="shared" si="8"/>
        <v>2.4532339733951029E-4</v>
      </c>
      <c r="O30" s="3">
        <f t="shared" si="9"/>
        <v>2.4532339733951027</v>
      </c>
    </row>
    <row r="31" spans="1:15" x14ac:dyDescent="0.25">
      <c r="A31">
        <v>1000</v>
      </c>
      <c r="B31" s="3">
        <v>3.3706833333333339</v>
      </c>
      <c r="C31" s="3">
        <v>3.3731208333333336</v>
      </c>
      <c r="D31">
        <f t="shared" si="2"/>
        <v>2.4374999999996483E-3</v>
      </c>
      <c r="E31">
        <f t="shared" si="3"/>
        <v>2.4687500000000195E-3</v>
      </c>
      <c r="F31" s="3">
        <v>167</v>
      </c>
      <c r="G31">
        <v>2136</v>
      </c>
      <c r="H31">
        <f t="shared" si="4"/>
        <v>0.41228125000000326</v>
      </c>
      <c r="I31">
        <f t="shared" si="10"/>
        <v>0.41228125000000326</v>
      </c>
      <c r="J31">
        <f t="shared" si="11"/>
        <v>0.19301556647940227</v>
      </c>
      <c r="K31">
        <f t="shared" si="5"/>
        <v>-9.8116666666667746E-5</v>
      </c>
      <c r="L31">
        <f t="shared" si="6"/>
        <v>-8.534666666666357E-5</v>
      </c>
      <c r="M31">
        <f t="shared" si="7"/>
        <v>-9.1731666666665658E-5</v>
      </c>
      <c r="N31">
        <f t="shared" si="8"/>
        <v>3.7444587393816543E-4</v>
      </c>
      <c r="O31" s="3">
        <f t="shared" si="9"/>
        <v>3.7444587393816544</v>
      </c>
    </row>
    <row r="32" spans="1:15" x14ac:dyDescent="0.25">
      <c r="A32">
        <v>1050</v>
      </c>
      <c r="B32" s="3">
        <v>3.3666333333333336</v>
      </c>
      <c r="C32" s="3">
        <v>3.369133333333334</v>
      </c>
      <c r="D32">
        <f t="shared" si="2"/>
        <v>2.5000000000003908E-3</v>
      </c>
      <c r="E32">
        <f t="shared" si="3"/>
        <v>2.4253623188408291E-3</v>
      </c>
      <c r="F32" s="3">
        <v>160</v>
      </c>
      <c r="G32">
        <v>2137</v>
      </c>
      <c r="H32">
        <f t="shared" si="4"/>
        <v>0.38805797101453265</v>
      </c>
      <c r="I32">
        <f t="shared" si="10"/>
        <v>0.38805797101453265</v>
      </c>
      <c r="J32">
        <f t="shared" si="11"/>
        <v>0.18159006598714678</v>
      </c>
      <c r="K32">
        <f t="shared" si="5"/>
        <v>-6.9166666666675702E-5</v>
      </c>
      <c r="L32">
        <f t="shared" si="6"/>
        <v>-7.0034420289859516E-5</v>
      </c>
      <c r="M32">
        <f t="shared" si="7"/>
        <v>-6.9600543478267609E-5</v>
      </c>
      <c r="N32">
        <f t="shared" si="8"/>
        <v>4.6429654668994321E-4</v>
      </c>
      <c r="O32" s="3">
        <f t="shared" si="9"/>
        <v>4.6429654668994322</v>
      </c>
    </row>
    <row r="33" spans="1:15" x14ac:dyDescent="0.25">
      <c r="A33">
        <v>1100</v>
      </c>
      <c r="B33" s="3">
        <v>3.3637666666666663</v>
      </c>
      <c r="C33" s="3">
        <v>3.3661173913043476</v>
      </c>
      <c r="D33">
        <f t="shared" si="2"/>
        <v>2.3507246376812674E-3</v>
      </c>
      <c r="E33">
        <f t="shared" si="3"/>
        <v>2.4155138339922999E-3</v>
      </c>
      <c r="F33" s="3">
        <v>151</v>
      </c>
      <c r="G33">
        <v>2138</v>
      </c>
      <c r="H33">
        <f t="shared" si="4"/>
        <v>0.36474258893283729</v>
      </c>
      <c r="I33">
        <f t="shared" si="10"/>
        <v>0.36474258893283729</v>
      </c>
      <c r="J33">
        <f t="shared" si="11"/>
        <v>0.17059990127822136</v>
      </c>
      <c r="K33">
        <f t="shared" si="5"/>
        <v>-4.9000000000005704E-5</v>
      </c>
      <c r="L33">
        <f t="shared" si="6"/>
        <v>-4.9196969696976289E-5</v>
      </c>
      <c r="M33">
        <f t="shared" si="7"/>
        <v>-4.9098484848490996E-5</v>
      </c>
      <c r="N33">
        <f t="shared" si="8"/>
        <v>6.1833906249381381E-4</v>
      </c>
      <c r="O33" s="3">
        <f t="shared" si="9"/>
        <v>6.1833906249381378</v>
      </c>
    </row>
    <row r="34" spans="1:15" x14ac:dyDescent="0.25">
      <c r="A34">
        <v>1150</v>
      </c>
      <c r="B34" s="3">
        <v>3.361733333333333</v>
      </c>
      <c r="C34" s="3">
        <v>3.3642136363636364</v>
      </c>
      <c r="D34">
        <f t="shared" si="2"/>
        <v>2.4803030303033324E-3</v>
      </c>
      <c r="E34">
        <f t="shared" si="3"/>
        <v>2.3488349885407711E-3</v>
      </c>
      <c r="F34" s="3">
        <v>145</v>
      </c>
      <c r="G34">
        <v>2139</v>
      </c>
      <c r="H34">
        <f t="shared" si="4"/>
        <v>0.34058107333841181</v>
      </c>
      <c r="I34">
        <f t="shared" si="10"/>
        <v>0.34058107333841181</v>
      </c>
      <c r="J34">
        <f t="shared" si="11"/>
        <v>0.15922443821337626</v>
      </c>
      <c r="K34">
        <f t="shared" si="5"/>
        <v>-3.3078431372546289E-5</v>
      </c>
      <c r="L34">
        <f t="shared" si="6"/>
        <v>-3.4412008281576869E-5</v>
      </c>
      <c r="M34">
        <f t="shared" si="7"/>
        <v>-3.3745219827061579E-5</v>
      </c>
      <c r="N34">
        <f t="shared" si="8"/>
        <v>8.3967932814099384E-4</v>
      </c>
      <c r="O34" s="3">
        <f t="shared" si="9"/>
        <v>8.3967932814099377</v>
      </c>
    </row>
    <row r="35" spans="1:15" x14ac:dyDescent="0.25">
      <c r="A35">
        <v>1200</v>
      </c>
      <c r="B35" s="3">
        <v>3.3604588235294117</v>
      </c>
      <c r="C35" s="3">
        <v>3.3626761904761899</v>
      </c>
      <c r="D35">
        <f t="shared" si="2"/>
        <v>2.2173669467782098E-3</v>
      </c>
      <c r="E35">
        <f t="shared" si="3"/>
        <v>2.248858911986007E-3</v>
      </c>
      <c r="F35" s="3">
        <v>137</v>
      </c>
      <c r="G35">
        <v>2140</v>
      </c>
      <c r="H35">
        <f t="shared" si="4"/>
        <v>0.30809367094208295</v>
      </c>
      <c r="I35">
        <f t="shared" si="10"/>
        <v>0.30809367094208295</v>
      </c>
      <c r="J35">
        <f t="shared" si="11"/>
        <v>0.14396900511312288</v>
      </c>
      <c r="K35">
        <f t="shared" si="5"/>
        <v>-1.8399999999996199E-5</v>
      </c>
      <c r="L35">
        <f t="shared" si="6"/>
        <v>-2.0399521531091482E-5</v>
      </c>
      <c r="M35">
        <f t="shared" si="7"/>
        <v>-1.9399760765543838E-5</v>
      </c>
      <c r="N35">
        <f t="shared" si="8"/>
        <v>1.3206527106015059E-3</v>
      </c>
      <c r="O35" s="3">
        <f t="shared" si="9"/>
        <v>13.206527106015059</v>
      </c>
    </row>
    <row r="36" spans="1:15" x14ac:dyDescent="0.25">
      <c r="A36">
        <v>1250</v>
      </c>
      <c r="B36" s="3">
        <v>3.3598933333333334</v>
      </c>
      <c r="C36" s="3">
        <v>3.3621736842105272</v>
      </c>
      <c r="D36">
        <f t="shared" si="2"/>
        <v>2.2803508771938041E-3</v>
      </c>
      <c r="E36">
        <f t="shared" si="3"/>
        <v>1.8985087719296523E-3</v>
      </c>
      <c r="F36" s="3">
        <v>124</v>
      </c>
      <c r="G36">
        <v>2141</v>
      </c>
      <c r="H36">
        <f t="shared" si="4"/>
        <v>0.23541508771927688</v>
      </c>
      <c r="I36">
        <f t="shared" si="10"/>
        <v>0.23541508771927688</v>
      </c>
      <c r="J36">
        <f t="shared" si="11"/>
        <v>0.10995566918228719</v>
      </c>
      <c r="K36">
        <f t="shared" si="5"/>
        <v>-5.0882352941084009E-6</v>
      </c>
      <c r="L36">
        <f t="shared" si="6"/>
        <v>-1.2095238095235495E-5</v>
      </c>
      <c r="M36">
        <f t="shared" si="7"/>
        <v>-8.5917366946719484E-6</v>
      </c>
      <c r="N36">
        <f t="shared" si="8"/>
        <v>2.2774699995588227E-3</v>
      </c>
      <c r="O36" s="3">
        <f t="shared" si="9"/>
        <v>22.774699995588229</v>
      </c>
    </row>
    <row r="37" spans="1:15" x14ac:dyDescent="0.25">
      <c r="A37">
        <v>1300</v>
      </c>
      <c r="B37" s="3">
        <v>3.3599500000000009</v>
      </c>
      <c r="C37" s="3">
        <v>3.3614666666666664</v>
      </c>
      <c r="D37">
        <f t="shared" si="2"/>
        <v>1.5166666666655004E-3</v>
      </c>
      <c r="E37">
        <f t="shared" si="3"/>
        <v>1.8533333333328184E-3</v>
      </c>
      <c r="F37" s="3">
        <v>101</v>
      </c>
      <c r="G37">
        <v>2142</v>
      </c>
      <c r="H37">
        <f t="shared" si="4"/>
        <v>0.18718666666661465</v>
      </c>
      <c r="I37">
        <f t="shared" si="10"/>
        <v>0.18718666666661465</v>
      </c>
      <c r="J37">
        <f t="shared" si="11"/>
        <v>8.7388733271061933E-2</v>
      </c>
      <c r="K37">
        <f t="shared" si="5"/>
        <v>-3.933333333332456E-6</v>
      </c>
      <c r="L37">
        <f t="shared" si="6"/>
        <v>-4.8368421052691343E-6</v>
      </c>
      <c r="M37">
        <f t="shared" si="7"/>
        <v>-4.3850877193007947E-6</v>
      </c>
      <c r="N37">
        <f t="shared" si="8"/>
        <v>3.5464444091163881E-3</v>
      </c>
      <c r="O37" s="3">
        <f t="shared" si="9"/>
        <v>35.464444091163884</v>
      </c>
    </row>
    <row r="38" spans="1:15" x14ac:dyDescent="0.25">
      <c r="A38">
        <v>1350</v>
      </c>
      <c r="B38" s="3">
        <v>3.3595000000000002</v>
      </c>
      <c r="C38" s="3">
        <v>3.3616900000000003</v>
      </c>
      <c r="D38">
        <f t="shared" si="2"/>
        <v>2.1900000000001363E-3</v>
      </c>
      <c r="E38">
        <f t="shared" si="3"/>
        <v>1.0950000000000681E-3</v>
      </c>
      <c r="F38" s="3">
        <v>67</v>
      </c>
      <c r="G38">
        <v>2143</v>
      </c>
      <c r="H38">
        <f t="shared" si="4"/>
        <v>7.3365000000004565E-2</v>
      </c>
      <c r="I38">
        <f t="shared" si="10"/>
        <v>7.3365000000004565E-2</v>
      </c>
      <c r="J38">
        <f t="shared" si="11"/>
        <v>3.4234717685489767E-2</v>
      </c>
      <c r="K38">
        <f t="shared" si="5"/>
        <v>1.0166666666653335E-5</v>
      </c>
      <c r="L38">
        <f t="shared" si="6"/>
        <v>1.7583333333335283E-5</v>
      </c>
      <c r="M38">
        <f t="shared" si="7"/>
        <v>1.387499999999431E-5</v>
      </c>
      <c r="N38">
        <f t="shared" si="8"/>
        <v>-4.3908616867562749E-4</v>
      </c>
      <c r="O38" s="3">
        <f t="shared" si="9"/>
        <v>-4.3908616867562751</v>
      </c>
    </row>
    <row r="39" spans="1:15" x14ac:dyDescent="0.25">
      <c r="A39">
        <v>1400</v>
      </c>
      <c r="B39" s="3">
        <v>3.3609666666666662</v>
      </c>
      <c r="C39" s="3">
        <v>3.3632249999999999</v>
      </c>
      <c r="F39" s="3">
        <v>25.9</v>
      </c>
      <c r="O39" s="3"/>
    </row>
    <row r="40" spans="1:15" x14ac:dyDescent="0.25">
      <c r="B40" s="3"/>
      <c r="C40" s="3"/>
      <c r="D40" s="8"/>
      <c r="E40" s="8"/>
      <c r="F40" s="3"/>
      <c r="G40" s="9"/>
      <c r="O40" s="3"/>
    </row>
    <row r="41" spans="1:15" x14ac:dyDescent="0.25">
      <c r="B41" s="3"/>
      <c r="C41" s="3"/>
      <c r="D41" s="8"/>
      <c r="E41" s="8"/>
      <c r="F41" s="3"/>
      <c r="G41" s="9"/>
      <c r="O41" s="3"/>
    </row>
    <row r="42" spans="1:15" x14ac:dyDescent="0.25">
      <c r="B42" s="3"/>
      <c r="C42" s="3"/>
      <c r="D42" s="8"/>
      <c r="E42" s="8"/>
      <c r="F42" s="3"/>
      <c r="G42" s="9"/>
      <c r="O42" s="3"/>
    </row>
    <row r="43" spans="1:15" x14ac:dyDescent="0.25">
      <c r="B43" s="3"/>
      <c r="C43" s="3"/>
      <c r="D43" s="8"/>
      <c r="E43" s="8"/>
      <c r="F43" s="3"/>
      <c r="G43" s="9"/>
      <c r="O43" s="3"/>
    </row>
    <row r="44" spans="1:15" x14ac:dyDescent="0.25">
      <c r="B44" s="3"/>
      <c r="C44" s="3"/>
      <c r="D44" s="8"/>
      <c r="E44" s="8"/>
      <c r="F44" s="3"/>
      <c r="G44" s="9"/>
      <c r="O44" s="3"/>
    </row>
    <row r="45" spans="1:15" x14ac:dyDescent="0.25">
      <c r="B45" s="3"/>
      <c r="C45" s="3"/>
      <c r="D45" s="8"/>
      <c r="E45" s="8"/>
      <c r="F45" s="3"/>
      <c r="G45" s="9"/>
      <c r="O45" s="3"/>
    </row>
    <row r="46" spans="1:15" x14ac:dyDescent="0.25">
      <c r="B46" s="3"/>
      <c r="C46" s="3"/>
      <c r="D46" s="8"/>
      <c r="E46" s="8"/>
      <c r="F46" s="3"/>
      <c r="G46" s="9"/>
      <c r="O46" s="3"/>
    </row>
    <row r="47" spans="1:15" x14ac:dyDescent="0.25">
      <c r="B47" s="3"/>
      <c r="C47" s="3"/>
      <c r="D47" s="8"/>
      <c r="E47" s="8"/>
      <c r="F47" s="3"/>
      <c r="G47" s="9"/>
      <c r="O47" s="3"/>
    </row>
    <row r="48" spans="1:15" x14ac:dyDescent="0.25">
      <c r="B48" s="3"/>
      <c r="C48" s="3"/>
      <c r="D48" s="8"/>
      <c r="E48" s="8"/>
      <c r="F48" s="3"/>
      <c r="G48" s="9"/>
      <c r="O48" s="3"/>
    </row>
    <row r="49" spans="2:15" x14ac:dyDescent="0.25">
      <c r="B49" s="3"/>
      <c r="C49" s="3"/>
      <c r="D49" s="8"/>
      <c r="E49" s="8"/>
      <c r="F49" s="3"/>
      <c r="G49" s="9"/>
      <c r="O49" s="3"/>
    </row>
    <row r="50" spans="2:15" x14ac:dyDescent="0.25">
      <c r="B50" s="3"/>
      <c r="C50" s="3"/>
      <c r="D50" s="8"/>
      <c r="E50" s="8"/>
      <c r="F50" s="3"/>
      <c r="G50" s="9"/>
      <c r="O50" s="3"/>
    </row>
    <row r="51" spans="2:15" x14ac:dyDescent="0.25">
      <c r="B51" s="3"/>
      <c r="C51" s="3"/>
      <c r="D51" s="8"/>
      <c r="E51" s="8"/>
      <c r="F51" s="3"/>
      <c r="G51" s="9"/>
      <c r="O51" s="3"/>
    </row>
    <row r="52" spans="2:15" x14ac:dyDescent="0.25">
      <c r="B52" s="3"/>
      <c r="C52" s="3"/>
      <c r="D52" s="8"/>
      <c r="E52" s="8"/>
      <c r="F52" s="3"/>
      <c r="O52" s="3"/>
    </row>
    <row r="53" spans="2:15" x14ac:dyDescent="0.25">
      <c r="B53" s="3"/>
      <c r="C53" s="3"/>
      <c r="D53" s="8"/>
      <c r="E53" s="8"/>
      <c r="F53" s="3"/>
      <c r="G53" s="9"/>
      <c r="O53" s="3"/>
    </row>
    <row r="54" spans="2:15" x14ac:dyDescent="0.25">
      <c r="B54" s="3"/>
      <c r="C54" s="3"/>
      <c r="D54" s="8"/>
      <c r="E54" s="8"/>
      <c r="F54" s="3"/>
      <c r="G54" s="9"/>
      <c r="O54" s="3"/>
    </row>
    <row r="55" spans="2:15" x14ac:dyDescent="0.25">
      <c r="B55" s="3"/>
      <c r="C55" s="3"/>
      <c r="D55" s="8"/>
      <c r="E55" s="8"/>
      <c r="F55" s="3"/>
      <c r="G55" s="9"/>
      <c r="O55" s="3"/>
    </row>
    <row r="56" spans="2:15" x14ac:dyDescent="0.25">
      <c r="B56" s="3"/>
      <c r="C56" s="3"/>
      <c r="D56" s="8"/>
      <c r="E56" s="8"/>
      <c r="F56" s="3"/>
      <c r="G56" s="9"/>
      <c r="O56" s="3"/>
    </row>
    <row r="57" spans="2:15" x14ac:dyDescent="0.25">
      <c r="B57" s="3"/>
      <c r="D57" s="8"/>
      <c r="E57" s="8"/>
      <c r="F57" s="3"/>
      <c r="G57" s="9"/>
      <c r="O57" s="3"/>
    </row>
    <row r="58" spans="2:15" x14ac:dyDescent="0.25">
      <c r="B58" s="3"/>
      <c r="D58" s="8"/>
      <c r="E58" s="8"/>
      <c r="F58" s="3"/>
      <c r="G58" s="9"/>
      <c r="O58" s="3"/>
    </row>
    <row r="59" spans="2:15" x14ac:dyDescent="0.25">
      <c r="B59" s="3"/>
      <c r="D59" s="8"/>
      <c r="E59" s="8"/>
      <c r="F59" s="3"/>
      <c r="G59" s="9"/>
      <c r="O59" s="3"/>
    </row>
    <row r="60" spans="2:15" x14ac:dyDescent="0.25">
      <c r="B60" s="3"/>
      <c r="D60" s="8"/>
      <c r="E60" s="8"/>
      <c r="F60" s="3"/>
      <c r="G60" s="9"/>
      <c r="O60" s="3"/>
    </row>
    <row r="61" spans="2:15" x14ac:dyDescent="0.25">
      <c r="B61" s="3"/>
      <c r="D61" s="8"/>
      <c r="E61" s="8"/>
      <c r="F61" s="3"/>
      <c r="G61" s="9"/>
      <c r="O61" s="3"/>
    </row>
    <row r="62" spans="2:15" x14ac:dyDescent="0.25">
      <c r="B62" s="3"/>
      <c r="D62" s="8"/>
      <c r="E62" s="8"/>
      <c r="F62" s="3"/>
      <c r="G62" s="9"/>
      <c r="O62" s="3"/>
    </row>
    <row r="63" spans="2:15" x14ac:dyDescent="0.25">
      <c r="B63" s="3"/>
      <c r="D63" s="8"/>
      <c r="E63" s="8"/>
      <c r="F63" s="3"/>
      <c r="G63" s="9"/>
      <c r="O63" s="3"/>
    </row>
    <row r="64" spans="2:15" x14ac:dyDescent="0.25">
      <c r="B64" s="3"/>
      <c r="D64" s="8"/>
      <c r="E64" s="8"/>
      <c r="F64" s="3"/>
      <c r="G64" s="9"/>
      <c r="O64" s="3"/>
    </row>
    <row r="65" spans="2:15" x14ac:dyDescent="0.25">
      <c r="B65" s="3"/>
      <c r="D65" s="8"/>
      <c r="E65" s="8"/>
      <c r="F65" s="3"/>
      <c r="G65" s="9"/>
      <c r="O65" s="3"/>
    </row>
    <row r="66" spans="2:15" x14ac:dyDescent="0.25">
      <c r="B66" s="3"/>
      <c r="D66" s="8"/>
      <c r="E66" s="8"/>
      <c r="F66" s="3"/>
      <c r="G66" s="9"/>
      <c r="O66" s="3"/>
    </row>
    <row r="67" spans="2:15" x14ac:dyDescent="0.25">
      <c r="B67" s="3"/>
      <c r="D67" s="8"/>
      <c r="E67" s="8"/>
      <c r="F67" s="3"/>
      <c r="G67" s="9"/>
      <c r="O67" s="3"/>
    </row>
    <row r="68" spans="2:15" x14ac:dyDescent="0.25">
      <c r="B68" s="3"/>
      <c r="D68" s="8"/>
      <c r="E68" s="8"/>
      <c r="F68" s="3"/>
      <c r="G68" s="9"/>
      <c r="O68" s="3"/>
    </row>
    <row r="69" spans="2:15" x14ac:dyDescent="0.25">
      <c r="B69" s="3"/>
      <c r="D69" s="8"/>
      <c r="E69" s="8"/>
      <c r="F69" s="3"/>
      <c r="G69" s="9"/>
      <c r="O69" s="3"/>
    </row>
    <row r="70" spans="2:15" x14ac:dyDescent="0.25">
      <c r="B70" s="3"/>
      <c r="D70" s="8"/>
      <c r="E70" s="8"/>
      <c r="F70" s="3"/>
      <c r="G70" s="9"/>
      <c r="O70" s="3"/>
    </row>
    <row r="71" spans="2:15" x14ac:dyDescent="0.25">
      <c r="B71" s="3"/>
      <c r="D71" s="8"/>
      <c r="E71" s="8"/>
      <c r="F71" s="3"/>
      <c r="G71" s="9"/>
      <c r="O71" s="3"/>
    </row>
    <row r="72" spans="2:15" x14ac:dyDescent="0.25">
      <c r="B72" s="3"/>
      <c r="D72" s="8"/>
      <c r="E72" s="8"/>
      <c r="F72" s="3"/>
      <c r="G72" s="9"/>
      <c r="O72" s="3"/>
    </row>
    <row r="73" spans="2:15" x14ac:dyDescent="0.25">
      <c r="B73" s="3"/>
      <c r="D73" s="8"/>
      <c r="E73" s="8"/>
      <c r="F73" s="3"/>
      <c r="G73" s="9"/>
      <c r="O73" s="3"/>
    </row>
    <row r="74" spans="2:15" x14ac:dyDescent="0.25">
      <c r="B74" s="3"/>
      <c r="D74" s="8"/>
      <c r="E74" s="8"/>
      <c r="F74" s="3"/>
      <c r="G74" s="9"/>
      <c r="O74" s="3"/>
    </row>
    <row r="75" spans="2:15" x14ac:dyDescent="0.25">
      <c r="B75" s="3"/>
      <c r="D75" s="8"/>
      <c r="E75" s="8"/>
      <c r="F75" s="3"/>
      <c r="G75" s="9"/>
      <c r="O75" s="3"/>
    </row>
    <row r="76" spans="2:15" x14ac:dyDescent="0.25">
      <c r="B76" s="3"/>
      <c r="D76" s="8"/>
      <c r="E76" s="8"/>
      <c r="F76" s="3"/>
      <c r="G76" s="9"/>
      <c r="O76" s="3"/>
    </row>
    <row r="77" spans="2:15" x14ac:dyDescent="0.25">
      <c r="B77" s="3"/>
      <c r="D77" s="8"/>
      <c r="E77" s="8"/>
      <c r="F77" s="3"/>
      <c r="O77" s="3"/>
    </row>
    <row r="78" spans="2:15" x14ac:dyDescent="0.25">
      <c r="B78" s="3"/>
      <c r="D78" s="8"/>
      <c r="E78" s="8"/>
      <c r="F78" s="3"/>
      <c r="G78" s="9"/>
      <c r="O78" s="3"/>
    </row>
    <row r="79" spans="2:15" x14ac:dyDescent="0.25">
      <c r="B79" s="3"/>
      <c r="D79" s="8"/>
      <c r="E79" s="8"/>
      <c r="F79" s="3"/>
      <c r="G79" s="9"/>
      <c r="O79" s="3"/>
    </row>
    <row r="80" spans="2:15" x14ac:dyDescent="0.25">
      <c r="D80" s="8"/>
      <c r="E80" s="8"/>
      <c r="F80" s="3"/>
      <c r="G80" s="9"/>
      <c r="O80" s="3"/>
    </row>
    <row r="81" spans="4:15" x14ac:dyDescent="0.25">
      <c r="D81" s="8"/>
      <c r="E81" s="8"/>
      <c r="F81" s="3"/>
      <c r="G81" s="9"/>
      <c r="O81" s="3"/>
    </row>
    <row r="82" spans="4:15" x14ac:dyDescent="0.25">
      <c r="D82" s="8"/>
      <c r="E82" s="8"/>
      <c r="F82" s="3"/>
      <c r="G82" s="9"/>
      <c r="O82" s="3"/>
    </row>
    <row r="83" spans="4:15" x14ac:dyDescent="0.25">
      <c r="D83" s="8"/>
      <c r="E83" s="8"/>
      <c r="F83" s="3"/>
      <c r="G83" s="9"/>
      <c r="O83" s="3"/>
    </row>
    <row r="84" spans="4:15" x14ac:dyDescent="0.25">
      <c r="D84" s="8"/>
      <c r="E84" s="8"/>
      <c r="F84" s="3"/>
      <c r="G84" s="9"/>
      <c r="O84" s="3"/>
    </row>
    <row r="85" spans="4:15" x14ac:dyDescent="0.25">
      <c r="D85" s="8"/>
      <c r="E85" s="8"/>
      <c r="F85" s="3"/>
      <c r="G85" s="9"/>
      <c r="O85" s="3"/>
    </row>
    <row r="86" spans="4:15" x14ac:dyDescent="0.25">
      <c r="D86" s="8"/>
      <c r="E86" s="8"/>
      <c r="F86" s="3"/>
      <c r="G86" s="9"/>
      <c r="O86" s="3"/>
    </row>
    <row r="87" spans="4:15" x14ac:dyDescent="0.25">
      <c r="D87" s="8"/>
      <c r="E87" s="8"/>
      <c r="F87" s="3"/>
      <c r="G87" s="9"/>
      <c r="O87" s="3"/>
    </row>
    <row r="88" spans="4:15" x14ac:dyDescent="0.25">
      <c r="D88" s="8"/>
      <c r="E88" s="8"/>
      <c r="F88" s="3"/>
      <c r="G88" s="9"/>
      <c r="O88" s="3"/>
    </row>
    <row r="89" spans="4:15" x14ac:dyDescent="0.25">
      <c r="D89" s="8"/>
      <c r="E89" s="8"/>
      <c r="F89" s="3"/>
      <c r="G89" s="9"/>
      <c r="O89" s="3"/>
    </row>
    <row r="90" spans="4:15" x14ac:dyDescent="0.25">
      <c r="D90" s="8"/>
      <c r="E90" s="8"/>
      <c r="F90" s="3"/>
      <c r="G90" s="9"/>
      <c r="O90" s="3"/>
    </row>
    <row r="91" spans="4:15" x14ac:dyDescent="0.25">
      <c r="D91" s="8"/>
      <c r="E91" s="8"/>
      <c r="F91" s="3"/>
      <c r="G91" s="9"/>
      <c r="O91" s="3"/>
    </row>
    <row r="92" spans="4:15" x14ac:dyDescent="0.25">
      <c r="D92" s="8"/>
      <c r="E92" s="8"/>
      <c r="F92" s="3"/>
      <c r="G92" s="9"/>
      <c r="O92" s="3"/>
    </row>
    <row r="93" spans="4:15" x14ac:dyDescent="0.25">
      <c r="D93" s="8"/>
      <c r="E93" s="8"/>
      <c r="F93" s="3"/>
      <c r="G93" s="9"/>
      <c r="O93" s="3"/>
    </row>
    <row r="94" spans="4:15" x14ac:dyDescent="0.25">
      <c r="D94" s="8"/>
      <c r="E94" s="8"/>
      <c r="F94" s="3"/>
      <c r="G94" s="9"/>
      <c r="O94" s="3"/>
    </row>
    <row r="95" spans="4:15" x14ac:dyDescent="0.25">
      <c r="D95" s="8"/>
      <c r="E95" s="8"/>
      <c r="F95" s="3"/>
      <c r="G95" s="9"/>
      <c r="O95" s="3"/>
    </row>
    <row r="96" spans="4:15" x14ac:dyDescent="0.25">
      <c r="D96" s="8"/>
      <c r="E96" s="8"/>
      <c r="F96" s="3"/>
      <c r="G96" s="9"/>
      <c r="O96" s="3"/>
    </row>
    <row r="97" spans="4:15" x14ac:dyDescent="0.25">
      <c r="D97" s="8"/>
      <c r="E97" s="8"/>
      <c r="F97" s="3"/>
      <c r="G97" s="9"/>
      <c r="O97" s="3"/>
    </row>
    <row r="98" spans="4:15" x14ac:dyDescent="0.25">
      <c r="D98" s="8"/>
      <c r="E98" s="8"/>
      <c r="F98" s="3"/>
      <c r="G98" s="9"/>
      <c r="O98" s="3"/>
    </row>
    <row r="99" spans="4:15" x14ac:dyDescent="0.25">
      <c r="D99" s="8"/>
      <c r="E99" s="8"/>
      <c r="F99" s="3"/>
      <c r="G99" s="9"/>
      <c r="O99" s="3"/>
    </row>
    <row r="100" spans="4:15" x14ac:dyDescent="0.25">
      <c r="D100" s="8"/>
      <c r="E100" s="8"/>
      <c r="F100" s="3"/>
      <c r="G100" s="9"/>
      <c r="O100" s="3"/>
    </row>
    <row r="101" spans="4:15" x14ac:dyDescent="0.25">
      <c r="D101" s="8"/>
      <c r="E101" s="8"/>
      <c r="F101" s="3"/>
      <c r="G101" s="9"/>
      <c r="O101" s="3"/>
    </row>
    <row r="102" spans="4:15" x14ac:dyDescent="0.25">
      <c r="D102" s="8"/>
      <c r="E102" s="8"/>
      <c r="F102" s="3"/>
      <c r="O102" s="3"/>
    </row>
    <row r="103" spans="4:15" x14ac:dyDescent="0.25">
      <c r="D103" s="8"/>
      <c r="E103" s="8"/>
      <c r="F103" s="3"/>
      <c r="G103" s="9"/>
      <c r="O103" s="3"/>
    </row>
    <row r="104" spans="4:15" x14ac:dyDescent="0.25">
      <c r="D104" s="8"/>
      <c r="E104" s="8"/>
      <c r="F104" s="3"/>
      <c r="G104" s="9"/>
      <c r="O104" s="3"/>
    </row>
    <row r="105" spans="4:15" x14ac:dyDescent="0.25">
      <c r="D105" s="8"/>
      <c r="E105" s="8"/>
      <c r="F105" s="3"/>
      <c r="G105" s="9"/>
      <c r="O105" s="3"/>
    </row>
    <row r="106" spans="4:15" x14ac:dyDescent="0.25">
      <c r="D106" s="8"/>
      <c r="E106" s="8"/>
      <c r="F106" s="3"/>
      <c r="G106" s="9"/>
      <c r="O106" s="3"/>
    </row>
    <row r="107" spans="4:15" x14ac:dyDescent="0.25">
      <c r="D107" s="8"/>
      <c r="E107" s="8"/>
      <c r="F107" s="3"/>
      <c r="G107" s="9"/>
      <c r="O107" s="3"/>
    </row>
    <row r="108" spans="4:15" x14ac:dyDescent="0.25">
      <c r="D108" s="8"/>
      <c r="E108" s="8"/>
      <c r="F108" s="3"/>
      <c r="G108" s="9"/>
      <c r="O108" s="3"/>
    </row>
    <row r="109" spans="4:15" x14ac:dyDescent="0.25">
      <c r="D109" s="8"/>
      <c r="E109" s="8"/>
      <c r="F109" s="3"/>
      <c r="G109" s="9"/>
      <c r="O109" s="3"/>
    </row>
    <row r="110" spans="4:15" x14ac:dyDescent="0.25">
      <c r="D110" s="8"/>
      <c r="E110" s="8"/>
      <c r="F110" s="3"/>
      <c r="G110" s="9"/>
      <c r="O110" s="3"/>
    </row>
    <row r="111" spans="4:15" x14ac:dyDescent="0.25">
      <c r="D111" s="8"/>
      <c r="E111" s="8"/>
      <c r="F111" s="3"/>
      <c r="G111" s="9"/>
      <c r="O111" s="3"/>
    </row>
    <row r="112" spans="4:15" x14ac:dyDescent="0.25">
      <c r="D112" s="8"/>
      <c r="E112" s="8"/>
      <c r="F112" s="3"/>
      <c r="G112" s="9"/>
      <c r="O112" s="3"/>
    </row>
    <row r="113" spans="4:15" x14ac:dyDescent="0.25">
      <c r="D113" s="8"/>
      <c r="E113" s="8"/>
      <c r="F113" s="3"/>
      <c r="G113" s="9"/>
      <c r="O113" s="3"/>
    </row>
    <row r="114" spans="4:15" x14ac:dyDescent="0.25">
      <c r="D114" s="8"/>
      <c r="E114" s="8"/>
      <c r="F114" s="3"/>
      <c r="G114" s="9"/>
      <c r="O114" s="3"/>
    </row>
    <row r="115" spans="4:15" x14ac:dyDescent="0.25">
      <c r="D115" s="8"/>
      <c r="E115" s="8"/>
      <c r="F115" s="3"/>
      <c r="G115" s="9"/>
      <c r="O115" s="3"/>
    </row>
    <row r="116" spans="4:15" x14ac:dyDescent="0.25">
      <c r="D116" s="8"/>
      <c r="E116" s="8"/>
      <c r="F116" s="3"/>
      <c r="G116" s="9"/>
      <c r="O116" s="3"/>
    </row>
    <row r="117" spans="4:15" x14ac:dyDescent="0.25">
      <c r="D117" s="8"/>
      <c r="E117" s="8"/>
      <c r="F117" s="3"/>
      <c r="G117" s="9"/>
      <c r="O117" s="3"/>
    </row>
    <row r="118" spans="4:15" x14ac:dyDescent="0.25">
      <c r="D118" s="8"/>
      <c r="E118" s="8"/>
      <c r="F118" s="3"/>
      <c r="G118" s="9"/>
      <c r="O118" s="3"/>
    </row>
    <row r="119" spans="4:15" x14ac:dyDescent="0.25">
      <c r="D119" s="8"/>
      <c r="E119" s="8"/>
      <c r="F119" s="3"/>
      <c r="G119" s="9"/>
      <c r="O119" s="3"/>
    </row>
    <row r="120" spans="4:15" x14ac:dyDescent="0.25">
      <c r="D120" s="8"/>
      <c r="E120" s="8"/>
      <c r="F120" s="3"/>
      <c r="G120" s="9"/>
      <c r="O120" s="3"/>
    </row>
    <row r="121" spans="4:15" x14ac:dyDescent="0.25">
      <c r="D121" s="8"/>
      <c r="E121" s="8"/>
      <c r="F121" s="3"/>
      <c r="G121" s="9"/>
      <c r="O121" s="3"/>
    </row>
    <row r="122" spans="4:15" x14ac:dyDescent="0.25">
      <c r="D122" s="8"/>
      <c r="E122" s="8"/>
      <c r="F122" s="3"/>
      <c r="G122" s="9"/>
      <c r="O122" s="3"/>
    </row>
    <row r="123" spans="4:15" x14ac:dyDescent="0.25">
      <c r="D123" s="8"/>
      <c r="E123" s="8"/>
      <c r="F123" s="3"/>
      <c r="G123" s="9"/>
      <c r="O123" s="3"/>
    </row>
    <row r="124" spans="4:15" x14ac:dyDescent="0.25">
      <c r="D124" s="8"/>
      <c r="E124" s="8"/>
      <c r="F124" s="3"/>
      <c r="G124" s="9"/>
      <c r="O124" s="3"/>
    </row>
    <row r="125" spans="4:15" x14ac:dyDescent="0.25">
      <c r="D125" s="8"/>
      <c r="E125" s="8"/>
      <c r="F125" s="3"/>
      <c r="G125" s="9"/>
      <c r="O125" s="3"/>
    </row>
    <row r="126" spans="4:15" x14ac:dyDescent="0.25">
      <c r="D126" s="8"/>
      <c r="E126" s="8"/>
      <c r="F126" s="3"/>
      <c r="G126" s="9"/>
      <c r="O126" s="3"/>
    </row>
    <row r="127" spans="4:15" x14ac:dyDescent="0.25">
      <c r="D127" s="8"/>
      <c r="E127" s="8"/>
      <c r="F127" s="3"/>
      <c r="O127" s="3"/>
    </row>
    <row r="128" spans="4:15" x14ac:dyDescent="0.25">
      <c r="D128" s="8"/>
      <c r="E128" s="8"/>
      <c r="F128" s="3"/>
      <c r="G128" s="9"/>
      <c r="O128" s="3"/>
    </row>
    <row r="129" spans="4:15" x14ac:dyDescent="0.25">
      <c r="D129" s="8"/>
      <c r="E129" s="8"/>
      <c r="F129" s="3"/>
      <c r="G129" s="9"/>
      <c r="O129" s="3"/>
    </row>
    <row r="130" spans="4:15" x14ac:dyDescent="0.25">
      <c r="D130" s="8"/>
      <c r="E130" s="8"/>
      <c r="F130" s="3"/>
      <c r="G130" s="9"/>
      <c r="O130" s="3"/>
    </row>
    <row r="131" spans="4:15" x14ac:dyDescent="0.25">
      <c r="D131" s="8"/>
      <c r="E131" s="8"/>
      <c r="F131" s="3"/>
      <c r="G131" s="9"/>
      <c r="O131" s="3"/>
    </row>
    <row r="132" spans="4:15" x14ac:dyDescent="0.25">
      <c r="D132" s="8"/>
      <c r="E132" s="8"/>
      <c r="F132" s="3"/>
      <c r="G132" s="9"/>
      <c r="O132" s="3"/>
    </row>
    <row r="133" spans="4:15" x14ac:dyDescent="0.25">
      <c r="D133" s="8"/>
      <c r="E133" s="8"/>
      <c r="F133" s="3"/>
      <c r="G133" s="9"/>
      <c r="O133" s="3"/>
    </row>
    <row r="134" spans="4:15" x14ac:dyDescent="0.25">
      <c r="D134" s="8"/>
      <c r="E134" s="8"/>
      <c r="F134" s="3"/>
      <c r="G134" s="9"/>
      <c r="O134" s="3"/>
    </row>
    <row r="135" spans="4:15" x14ac:dyDescent="0.25">
      <c r="D135" s="8"/>
      <c r="E135" s="8"/>
      <c r="F135" s="3"/>
      <c r="G135" s="9"/>
      <c r="O135" s="3"/>
    </row>
    <row r="136" spans="4:15" x14ac:dyDescent="0.25">
      <c r="D136" s="8"/>
      <c r="E136" s="8"/>
      <c r="F136" s="3"/>
      <c r="G136" s="9"/>
      <c r="O136" s="3"/>
    </row>
    <row r="137" spans="4:15" x14ac:dyDescent="0.25">
      <c r="D137" s="8"/>
      <c r="E137" s="8"/>
      <c r="F137" s="3"/>
      <c r="G137" s="9"/>
      <c r="O137" s="3"/>
    </row>
    <row r="138" spans="4:15" x14ac:dyDescent="0.25">
      <c r="D138" s="8"/>
      <c r="E138" s="8"/>
      <c r="F138" s="3"/>
      <c r="G138" s="9"/>
      <c r="O138" s="3"/>
    </row>
    <row r="139" spans="4:15" x14ac:dyDescent="0.25">
      <c r="D139" s="8"/>
      <c r="E139" s="8"/>
      <c r="F139" s="3"/>
      <c r="G139" s="9"/>
      <c r="O139" s="3"/>
    </row>
    <row r="140" spans="4:15" x14ac:dyDescent="0.25">
      <c r="D140" s="8"/>
      <c r="E140" s="8"/>
      <c r="F140" s="3"/>
      <c r="G140" s="9"/>
      <c r="O140" s="3"/>
    </row>
    <row r="141" spans="4:15" x14ac:dyDescent="0.25">
      <c r="D141" s="8"/>
      <c r="E141" s="8"/>
      <c r="F141" s="3"/>
      <c r="G141" s="9"/>
      <c r="O141" s="3"/>
    </row>
    <row r="142" spans="4:15" x14ac:dyDescent="0.25">
      <c r="D142" s="8"/>
      <c r="E142" s="8"/>
      <c r="F142" s="3"/>
      <c r="G142" s="9"/>
      <c r="O142" s="3"/>
    </row>
    <row r="143" spans="4:15" x14ac:dyDescent="0.25">
      <c r="D143" s="8"/>
      <c r="E143" s="8"/>
      <c r="F143" s="3"/>
      <c r="G143" s="9"/>
      <c r="O143" s="3"/>
    </row>
    <row r="144" spans="4:15" x14ac:dyDescent="0.25">
      <c r="D144" s="8"/>
      <c r="E144" s="8"/>
      <c r="F144" s="3"/>
      <c r="G144" s="9"/>
      <c r="O144" s="3"/>
    </row>
    <row r="145" spans="4:15" x14ac:dyDescent="0.25">
      <c r="D145" s="8"/>
      <c r="E145" s="8"/>
      <c r="F145" s="3"/>
      <c r="G145" s="9"/>
      <c r="O145" s="3"/>
    </row>
    <row r="146" spans="4:15" x14ac:dyDescent="0.25">
      <c r="D146" s="8"/>
      <c r="E146" s="8"/>
      <c r="F146" s="3"/>
      <c r="G146" s="9"/>
      <c r="O146" s="3"/>
    </row>
    <row r="147" spans="4:15" x14ac:dyDescent="0.25">
      <c r="D147" s="8"/>
      <c r="E147" s="8"/>
      <c r="F147" s="3"/>
      <c r="G147" s="9"/>
      <c r="O147" s="3"/>
    </row>
    <row r="148" spans="4:15" x14ac:dyDescent="0.25">
      <c r="D148" s="8"/>
      <c r="E148" s="8"/>
      <c r="F148" s="3"/>
      <c r="G148" s="9"/>
      <c r="O148" s="3"/>
    </row>
    <row r="149" spans="4:15" x14ac:dyDescent="0.25">
      <c r="D149" s="8"/>
      <c r="E149" s="8"/>
      <c r="F149" s="3"/>
      <c r="G149" s="9"/>
      <c r="O149" s="3"/>
    </row>
    <row r="150" spans="4:15" x14ac:dyDescent="0.25">
      <c r="D150" s="8"/>
      <c r="E150" s="8"/>
      <c r="F150" s="3"/>
      <c r="G150" s="9"/>
      <c r="O150" s="3"/>
    </row>
    <row r="151" spans="4:15" x14ac:dyDescent="0.25">
      <c r="D151" s="8"/>
      <c r="E151" s="8"/>
      <c r="F151" s="3"/>
      <c r="G151" s="9"/>
      <c r="O151" s="3"/>
    </row>
    <row r="152" spans="4:15" x14ac:dyDescent="0.25">
      <c r="D152" s="8"/>
      <c r="E152" s="8"/>
      <c r="F152" s="3"/>
      <c r="O152" s="3"/>
    </row>
    <row r="153" spans="4:15" x14ac:dyDescent="0.25">
      <c r="D153" s="8"/>
      <c r="E153" s="8"/>
      <c r="F153" s="3"/>
      <c r="G153" s="9"/>
      <c r="O153" s="3"/>
    </row>
    <row r="154" spans="4:15" x14ac:dyDescent="0.25">
      <c r="D154" s="8"/>
      <c r="E154" s="8"/>
      <c r="F154" s="3"/>
      <c r="G154" s="9"/>
      <c r="O154" s="3"/>
    </row>
    <row r="155" spans="4:15" x14ac:dyDescent="0.25">
      <c r="D155" s="8"/>
      <c r="E155" s="8"/>
      <c r="F155" s="3"/>
      <c r="G155" s="9"/>
      <c r="O155" s="3"/>
    </row>
    <row r="156" spans="4:15" x14ac:dyDescent="0.25">
      <c r="D156" s="8"/>
      <c r="E156" s="8"/>
      <c r="F156" s="3"/>
      <c r="G156" s="9"/>
      <c r="O156" s="3"/>
    </row>
    <row r="157" spans="4:15" x14ac:dyDescent="0.25">
      <c r="D157" s="8"/>
      <c r="E157" s="8"/>
      <c r="F157" s="3"/>
      <c r="G157" s="9"/>
      <c r="O157" s="3"/>
    </row>
    <row r="158" spans="4:15" x14ac:dyDescent="0.25">
      <c r="D158" s="8"/>
      <c r="E158" s="8"/>
      <c r="F158" s="3"/>
      <c r="G158" s="9"/>
      <c r="O158" s="3"/>
    </row>
    <row r="159" spans="4:15" x14ac:dyDescent="0.25">
      <c r="D159" s="8"/>
      <c r="E159" s="8"/>
      <c r="F159" s="3"/>
      <c r="G159" s="9"/>
      <c r="O159" s="3"/>
    </row>
    <row r="160" spans="4:15" x14ac:dyDescent="0.25">
      <c r="D160" s="8"/>
      <c r="E160" s="8"/>
      <c r="F160" s="3"/>
      <c r="G160" s="9"/>
      <c r="O160" s="3"/>
    </row>
    <row r="161" spans="4:15" x14ac:dyDescent="0.25">
      <c r="D161" s="8"/>
      <c r="E161" s="8"/>
      <c r="F161" s="3"/>
      <c r="G161" s="9"/>
      <c r="O161" s="3"/>
    </row>
    <row r="162" spans="4:15" x14ac:dyDescent="0.25">
      <c r="D162" s="8"/>
      <c r="E162" s="8"/>
      <c r="F162" s="3"/>
      <c r="G162" s="9"/>
      <c r="O162" s="3"/>
    </row>
    <row r="163" spans="4:15" x14ac:dyDescent="0.25">
      <c r="D163" s="8"/>
      <c r="E163" s="8"/>
      <c r="F163" s="3"/>
      <c r="G163" s="9"/>
      <c r="O163" s="3"/>
    </row>
    <row r="164" spans="4:15" x14ac:dyDescent="0.25">
      <c r="D164" s="8"/>
      <c r="E164" s="8"/>
      <c r="F164" s="3"/>
      <c r="G164" s="9"/>
      <c r="O164" s="3"/>
    </row>
    <row r="165" spans="4:15" x14ac:dyDescent="0.25">
      <c r="D165" s="8"/>
      <c r="E165" s="8"/>
      <c r="F165" s="3"/>
      <c r="G165" s="9"/>
      <c r="O165" s="3"/>
    </row>
    <row r="166" spans="4:15" x14ac:dyDescent="0.25">
      <c r="D166" s="8"/>
      <c r="E166" s="8"/>
      <c r="F166" s="3"/>
      <c r="G166" s="9"/>
      <c r="O166" s="3"/>
    </row>
    <row r="167" spans="4:15" x14ac:dyDescent="0.25">
      <c r="D167" s="8"/>
      <c r="E167" s="8"/>
      <c r="F167" s="3"/>
      <c r="G167" s="9"/>
      <c r="O167" s="3"/>
    </row>
    <row r="168" spans="4:15" x14ac:dyDescent="0.25">
      <c r="D168" s="8"/>
      <c r="E168" s="8"/>
      <c r="F168" s="3"/>
      <c r="G168" s="9"/>
      <c r="O168" s="3"/>
    </row>
    <row r="169" spans="4:15" x14ac:dyDescent="0.25">
      <c r="D169" s="8"/>
      <c r="E169" s="8"/>
      <c r="F169" s="3"/>
      <c r="G169" s="9"/>
      <c r="O169" s="3"/>
    </row>
    <row r="170" spans="4:15" x14ac:dyDescent="0.25">
      <c r="D170" s="8"/>
      <c r="E170" s="8"/>
      <c r="F170" s="3"/>
      <c r="G170" s="9"/>
      <c r="O170" s="3"/>
    </row>
    <row r="171" spans="4:15" x14ac:dyDescent="0.25">
      <c r="D171" s="8"/>
      <c r="E171" s="8"/>
      <c r="F171" s="3"/>
      <c r="G171" s="9"/>
      <c r="O171" s="3"/>
    </row>
    <row r="172" spans="4:15" x14ac:dyDescent="0.25">
      <c r="D172" s="8"/>
      <c r="E172" s="8"/>
      <c r="F172" s="3"/>
      <c r="G172" s="9"/>
      <c r="O172" s="3"/>
    </row>
    <row r="173" spans="4:15" x14ac:dyDescent="0.25">
      <c r="D173" s="8"/>
      <c r="E173" s="8"/>
      <c r="F173" s="3"/>
      <c r="G173" s="9"/>
      <c r="O173" s="3"/>
    </row>
    <row r="174" spans="4:15" x14ac:dyDescent="0.25">
      <c r="D174" s="8"/>
      <c r="E174" s="8"/>
      <c r="F174" s="3"/>
      <c r="G174" s="9"/>
      <c r="O174" s="3"/>
    </row>
    <row r="175" spans="4:15" x14ac:dyDescent="0.25">
      <c r="D175" s="8"/>
      <c r="E175" s="8"/>
      <c r="F175" s="3"/>
      <c r="G175" s="9"/>
      <c r="O175" s="3"/>
    </row>
    <row r="176" spans="4:15" x14ac:dyDescent="0.25">
      <c r="D176" s="8"/>
      <c r="E176" s="8"/>
      <c r="F176" s="3"/>
      <c r="G176" s="9"/>
      <c r="O176" s="3"/>
    </row>
    <row r="177" spans="4:15" x14ac:dyDescent="0.25">
      <c r="D177" s="8"/>
      <c r="E177" s="8"/>
      <c r="F177" s="3"/>
      <c r="O177" s="3"/>
    </row>
    <row r="178" spans="4:15" x14ac:dyDescent="0.25">
      <c r="D178" s="8"/>
      <c r="E178" s="8"/>
      <c r="F178" s="3"/>
      <c r="G178" s="9"/>
      <c r="O178" s="3"/>
    </row>
    <row r="179" spans="4:15" x14ac:dyDescent="0.25">
      <c r="D179" s="8"/>
      <c r="E179" s="8"/>
      <c r="F179" s="3"/>
      <c r="G179" s="9"/>
      <c r="O179" s="3"/>
    </row>
    <row r="180" spans="4:15" x14ac:dyDescent="0.25">
      <c r="D180" s="8"/>
      <c r="E180" s="8"/>
      <c r="F180" s="3"/>
      <c r="G180" s="9"/>
      <c r="O180" s="3"/>
    </row>
    <row r="181" spans="4:15" x14ac:dyDescent="0.25">
      <c r="D181" s="8"/>
      <c r="E181" s="8"/>
      <c r="F181" s="3"/>
      <c r="G181" s="9"/>
      <c r="O181" s="3"/>
    </row>
    <row r="182" spans="4:15" x14ac:dyDescent="0.25">
      <c r="D182" s="8"/>
      <c r="E182" s="8"/>
      <c r="F182" s="3"/>
      <c r="G182" s="9"/>
      <c r="O182" s="3"/>
    </row>
    <row r="183" spans="4:15" x14ac:dyDescent="0.25">
      <c r="D183" s="8"/>
      <c r="E183" s="8"/>
      <c r="F183" s="3"/>
      <c r="G183" s="9"/>
      <c r="O183" s="3"/>
    </row>
    <row r="184" spans="4:15" x14ac:dyDescent="0.25">
      <c r="D184" s="8"/>
      <c r="E184" s="8"/>
      <c r="F184" s="3"/>
      <c r="G184" s="9"/>
      <c r="O184" s="3"/>
    </row>
    <row r="185" spans="4:15" x14ac:dyDescent="0.25">
      <c r="D185" s="8"/>
      <c r="E185" s="8"/>
      <c r="F185" s="3"/>
      <c r="G185" s="9"/>
      <c r="O185" s="3"/>
    </row>
    <row r="186" spans="4:15" x14ac:dyDescent="0.25">
      <c r="D186" s="8"/>
      <c r="E186" s="8"/>
      <c r="F186" s="3"/>
      <c r="G186" s="9"/>
      <c r="O186" s="3"/>
    </row>
    <row r="187" spans="4:15" x14ac:dyDescent="0.25">
      <c r="D187" s="8"/>
      <c r="E187" s="8"/>
      <c r="F187" s="3"/>
      <c r="G187" s="9"/>
      <c r="O187" s="3"/>
    </row>
    <row r="188" spans="4:15" x14ac:dyDescent="0.25">
      <c r="D188" s="8"/>
      <c r="E188" s="8"/>
      <c r="F188" s="3"/>
      <c r="G188" s="9"/>
      <c r="O188" s="3"/>
    </row>
    <row r="189" spans="4:15" x14ac:dyDescent="0.25">
      <c r="D189" s="8"/>
      <c r="E189" s="8"/>
      <c r="F189" s="3"/>
      <c r="G189" s="9"/>
      <c r="O189" s="3"/>
    </row>
    <row r="190" spans="4:15" x14ac:dyDescent="0.25">
      <c r="D190" s="8"/>
      <c r="E190" s="8"/>
      <c r="F190" s="3"/>
      <c r="G190" s="9"/>
      <c r="O190" s="3"/>
    </row>
    <row r="191" spans="4:15" x14ac:dyDescent="0.25">
      <c r="D191" s="8"/>
      <c r="E191" s="8"/>
      <c r="F191" s="3"/>
      <c r="G191" s="9"/>
      <c r="O191" s="3"/>
    </row>
    <row r="192" spans="4:15" x14ac:dyDescent="0.25">
      <c r="D192" s="8"/>
      <c r="E192" s="8"/>
      <c r="F192" s="3"/>
      <c r="G192" s="9"/>
      <c r="O192" s="3"/>
    </row>
    <row r="193" spans="4:15" x14ac:dyDescent="0.25">
      <c r="D193" s="8"/>
      <c r="E193" s="8"/>
      <c r="F193" s="3"/>
      <c r="G193" s="9"/>
      <c r="O193" s="3"/>
    </row>
    <row r="194" spans="4:15" x14ac:dyDescent="0.25">
      <c r="D194" s="8"/>
      <c r="E194" s="8"/>
      <c r="F194" s="3"/>
      <c r="G194" s="9"/>
      <c r="O194" s="3"/>
    </row>
    <row r="195" spans="4:15" x14ac:dyDescent="0.25">
      <c r="D195" s="8"/>
      <c r="E195" s="8"/>
      <c r="F195" s="3"/>
      <c r="G195" s="9"/>
      <c r="O195" s="3"/>
    </row>
    <row r="196" spans="4:15" x14ac:dyDescent="0.25">
      <c r="D196" s="8"/>
      <c r="E196" s="8"/>
      <c r="F196" s="3"/>
      <c r="G196" s="9"/>
      <c r="O196" s="3"/>
    </row>
    <row r="197" spans="4:15" x14ac:dyDescent="0.25">
      <c r="D197" s="8"/>
      <c r="E197" s="8"/>
      <c r="F197" s="3"/>
      <c r="G197" s="9"/>
      <c r="O197" s="3"/>
    </row>
    <row r="198" spans="4:15" x14ac:dyDescent="0.25">
      <c r="D198" s="8"/>
      <c r="E198" s="8"/>
      <c r="F198" s="3"/>
      <c r="G198" s="9"/>
      <c r="O198" s="3"/>
    </row>
    <row r="199" spans="4:15" x14ac:dyDescent="0.25">
      <c r="D199" s="8"/>
      <c r="E199" s="8"/>
      <c r="F199" s="3"/>
      <c r="G199" s="9"/>
      <c r="O199" s="3"/>
    </row>
    <row r="200" spans="4:15" x14ac:dyDescent="0.25">
      <c r="D200" s="8"/>
      <c r="E200" s="8"/>
      <c r="F200" s="3"/>
      <c r="G200" s="9"/>
      <c r="O200" s="3"/>
    </row>
    <row r="201" spans="4:15" x14ac:dyDescent="0.25">
      <c r="D201" s="8"/>
      <c r="E201" s="8"/>
      <c r="F201" s="3"/>
      <c r="G201" s="9"/>
      <c r="O201" s="3"/>
    </row>
    <row r="202" spans="4:15" x14ac:dyDescent="0.25">
      <c r="D202" s="8"/>
      <c r="E202" s="8"/>
      <c r="F202" s="3"/>
      <c r="O202" s="3"/>
    </row>
    <row r="203" spans="4:15" x14ac:dyDescent="0.25">
      <c r="D203" s="8"/>
      <c r="E203" s="8"/>
      <c r="F203" s="3"/>
      <c r="G203" s="9"/>
      <c r="O203" s="3"/>
    </row>
    <row r="204" spans="4:15" x14ac:dyDescent="0.25">
      <c r="D204" s="8"/>
      <c r="E204" s="8"/>
      <c r="F204" s="3"/>
      <c r="G204" s="9"/>
      <c r="O204" s="3"/>
    </row>
    <row r="205" spans="4:15" x14ac:dyDescent="0.25">
      <c r="D205" s="8"/>
      <c r="E205" s="8"/>
      <c r="F205" s="3"/>
      <c r="G205" s="9"/>
      <c r="O205" s="3"/>
    </row>
    <row r="206" spans="4:15" x14ac:dyDescent="0.25">
      <c r="D206" s="8"/>
      <c r="E206" s="8"/>
      <c r="F206" s="3"/>
      <c r="G206" s="9"/>
      <c r="O206" s="3"/>
    </row>
    <row r="207" spans="4:15" x14ac:dyDescent="0.25">
      <c r="D207" s="8"/>
      <c r="E207" s="8"/>
      <c r="F207" s="3"/>
      <c r="G207" s="9"/>
      <c r="O207" s="3"/>
    </row>
    <row r="208" spans="4:15" x14ac:dyDescent="0.25">
      <c r="D208" s="8"/>
      <c r="E208" s="8"/>
      <c r="F208" s="3"/>
      <c r="G208" s="9"/>
      <c r="O208" s="3"/>
    </row>
    <row r="209" spans="4:15" x14ac:dyDescent="0.25">
      <c r="D209" s="8"/>
      <c r="E209" s="8"/>
      <c r="F209" s="3"/>
      <c r="G209" s="9"/>
      <c r="O209" s="3"/>
    </row>
    <row r="210" spans="4:15" x14ac:dyDescent="0.25">
      <c r="D210" s="8"/>
      <c r="E210" s="8"/>
      <c r="F210" s="3"/>
      <c r="G210" s="9"/>
      <c r="O210" s="3"/>
    </row>
    <row r="211" spans="4:15" x14ac:dyDescent="0.25">
      <c r="D211" s="8"/>
      <c r="E211" s="8"/>
      <c r="F211" s="3"/>
      <c r="G211" s="9"/>
      <c r="O211" s="3"/>
    </row>
    <row r="212" spans="4:15" x14ac:dyDescent="0.25">
      <c r="D212" s="8"/>
      <c r="E212" s="8"/>
      <c r="F212" s="3"/>
      <c r="G212" s="9"/>
      <c r="O212" s="3"/>
    </row>
    <row r="213" spans="4:15" x14ac:dyDescent="0.25">
      <c r="D213" s="8"/>
      <c r="E213" s="8"/>
      <c r="F213" s="3"/>
      <c r="G213" s="9"/>
      <c r="O213" s="3"/>
    </row>
    <row r="214" spans="4:15" x14ac:dyDescent="0.25">
      <c r="D214" s="8"/>
      <c r="E214" s="8"/>
      <c r="F214" s="3"/>
      <c r="G214" s="9"/>
      <c r="O214" s="3"/>
    </row>
    <row r="215" spans="4:15" x14ac:dyDescent="0.25">
      <c r="D215" s="8"/>
      <c r="E215" s="8"/>
      <c r="F215" s="3"/>
      <c r="G215" s="9"/>
      <c r="O215" s="3"/>
    </row>
    <row r="216" spans="4:15" x14ac:dyDescent="0.25">
      <c r="D216" s="8"/>
      <c r="E216" s="8"/>
      <c r="F216" s="3"/>
      <c r="G216" s="9"/>
      <c r="O216" s="3"/>
    </row>
    <row r="217" spans="4:15" x14ac:dyDescent="0.25">
      <c r="D217" s="8"/>
      <c r="E217" s="8"/>
      <c r="F217" s="3"/>
      <c r="G217" s="9"/>
      <c r="O217" s="3"/>
    </row>
    <row r="218" spans="4:15" x14ac:dyDescent="0.25">
      <c r="D218" s="8"/>
      <c r="E218" s="8"/>
      <c r="F218" s="3"/>
      <c r="G218" s="9"/>
      <c r="O218" s="3"/>
    </row>
    <row r="219" spans="4:15" x14ac:dyDescent="0.25">
      <c r="D219" s="8"/>
      <c r="E219" s="8"/>
      <c r="F219" s="3"/>
      <c r="G219" s="9"/>
      <c r="O219" s="3"/>
    </row>
    <row r="220" spans="4:15" x14ac:dyDescent="0.25">
      <c r="D220" s="8"/>
      <c r="E220" s="8"/>
      <c r="F220" s="3"/>
      <c r="G220" s="9"/>
      <c r="O220" s="3"/>
    </row>
    <row r="221" spans="4:15" x14ac:dyDescent="0.25">
      <c r="D221" s="8"/>
      <c r="E221" s="8"/>
      <c r="F221" s="3"/>
      <c r="G221" s="9"/>
      <c r="O221" s="3"/>
    </row>
    <row r="222" spans="4:15" x14ac:dyDescent="0.25">
      <c r="D222" s="8"/>
      <c r="E222" s="8"/>
      <c r="F222" s="3"/>
      <c r="G222" s="9"/>
      <c r="O222" s="3"/>
    </row>
    <row r="223" spans="4:15" x14ac:dyDescent="0.25">
      <c r="D223" s="8"/>
      <c r="E223" s="8"/>
      <c r="F223" s="3"/>
      <c r="G223" s="9"/>
      <c r="O223" s="3"/>
    </row>
    <row r="224" spans="4:15" x14ac:dyDescent="0.25">
      <c r="D224" s="8"/>
      <c r="E224" s="8"/>
      <c r="F224" s="3"/>
      <c r="G224" s="9"/>
      <c r="O224" s="3"/>
    </row>
    <row r="225" spans="4:15" x14ac:dyDescent="0.25">
      <c r="D225" s="8"/>
      <c r="E225" s="8"/>
      <c r="F225" s="3"/>
      <c r="G225" s="9"/>
      <c r="O225" s="3"/>
    </row>
    <row r="226" spans="4:15" x14ac:dyDescent="0.25">
      <c r="D226" s="8"/>
      <c r="E226" s="8"/>
      <c r="F226" s="3"/>
      <c r="G226" s="9"/>
      <c r="O226" s="3"/>
    </row>
    <row r="227" spans="4:15" x14ac:dyDescent="0.25">
      <c r="D227" s="8"/>
      <c r="E227" s="8"/>
      <c r="F227" s="3"/>
      <c r="O227" s="3"/>
    </row>
    <row r="228" spans="4:15" x14ac:dyDescent="0.25">
      <c r="D228" s="8"/>
      <c r="E228" s="8"/>
      <c r="F228" s="3"/>
      <c r="G228" s="9"/>
      <c r="O228" s="3"/>
    </row>
    <row r="229" spans="4:15" x14ac:dyDescent="0.25">
      <c r="D229" s="8"/>
      <c r="E229" s="8"/>
      <c r="F229" s="3"/>
      <c r="G229" s="9"/>
      <c r="O229" s="3"/>
    </row>
    <row r="230" spans="4:15" x14ac:dyDescent="0.25">
      <c r="D230" s="8"/>
      <c r="E230" s="8"/>
      <c r="F230" s="3"/>
      <c r="G230" s="9"/>
      <c r="O230" s="3"/>
    </row>
    <row r="231" spans="4:15" x14ac:dyDescent="0.25">
      <c r="D231" s="8"/>
      <c r="E231" s="8"/>
      <c r="F231" s="3"/>
      <c r="G231" s="9"/>
      <c r="O231" s="3"/>
    </row>
    <row r="232" spans="4:15" x14ac:dyDescent="0.25">
      <c r="D232" s="8"/>
      <c r="E232" s="8"/>
      <c r="F232" s="3"/>
      <c r="G232" s="9"/>
      <c r="O232" s="3"/>
    </row>
    <row r="233" spans="4:15" x14ac:dyDescent="0.25">
      <c r="D233" s="8"/>
      <c r="E233" s="8"/>
      <c r="F233" s="3"/>
      <c r="G233" s="9"/>
      <c r="O233" s="3"/>
    </row>
    <row r="234" spans="4:15" x14ac:dyDescent="0.25">
      <c r="D234" s="8"/>
      <c r="E234" s="8"/>
      <c r="F234" s="3"/>
      <c r="G234" s="9"/>
      <c r="O234" s="3"/>
    </row>
    <row r="235" spans="4:15" x14ac:dyDescent="0.25">
      <c r="D235" s="8"/>
      <c r="E235" s="8"/>
      <c r="F235" s="3"/>
      <c r="G235" s="9"/>
      <c r="O235" s="3"/>
    </row>
    <row r="236" spans="4:15" x14ac:dyDescent="0.25">
      <c r="D236" s="8"/>
      <c r="E236" s="8"/>
      <c r="F236" s="3"/>
      <c r="G236" s="9"/>
      <c r="O236" s="3"/>
    </row>
    <row r="237" spans="4:15" x14ac:dyDescent="0.25">
      <c r="D237" s="8"/>
      <c r="E237" s="8"/>
      <c r="F237" s="3"/>
      <c r="G237" s="9"/>
      <c r="O237" s="3"/>
    </row>
    <row r="238" spans="4:15" x14ac:dyDescent="0.25">
      <c r="D238" s="8"/>
      <c r="E238" s="8"/>
      <c r="F238" s="3"/>
      <c r="G238" s="9"/>
      <c r="O238" s="3"/>
    </row>
    <row r="239" spans="4:15" x14ac:dyDescent="0.25">
      <c r="D239" s="8"/>
      <c r="E239" s="8"/>
      <c r="F239" s="3"/>
      <c r="G239" s="9"/>
      <c r="O239" s="3"/>
    </row>
    <row r="240" spans="4:15" x14ac:dyDescent="0.25">
      <c r="D240" s="8"/>
      <c r="E240" s="8"/>
      <c r="F240" s="3"/>
      <c r="G240" s="9"/>
      <c r="O240" s="3"/>
    </row>
    <row r="241" spans="4:15" x14ac:dyDescent="0.25">
      <c r="D241" s="8"/>
      <c r="E241" s="8"/>
      <c r="F241" s="3"/>
      <c r="G241" s="9"/>
      <c r="O241" s="3"/>
    </row>
    <row r="242" spans="4:15" x14ac:dyDescent="0.25">
      <c r="D242" s="8"/>
      <c r="E242" s="8"/>
      <c r="F242" s="3"/>
      <c r="G242" s="9"/>
      <c r="O242" s="3"/>
    </row>
    <row r="243" spans="4:15" x14ac:dyDescent="0.25">
      <c r="D243" s="8"/>
      <c r="E243" s="8"/>
      <c r="F243" s="3"/>
      <c r="G243" s="9"/>
      <c r="O243" s="3"/>
    </row>
    <row r="244" spans="4:15" x14ac:dyDescent="0.25">
      <c r="D244" s="8"/>
      <c r="E244" s="8"/>
      <c r="F244" s="3"/>
      <c r="G244" s="9"/>
      <c r="O244" s="3"/>
    </row>
    <row r="245" spans="4:15" x14ac:dyDescent="0.25">
      <c r="D245" s="8"/>
      <c r="E245" s="8"/>
      <c r="F245" s="3"/>
      <c r="G245" s="9"/>
      <c r="O245" s="3"/>
    </row>
    <row r="246" spans="4:15" x14ac:dyDescent="0.25">
      <c r="D246" s="8"/>
      <c r="E246" s="8"/>
      <c r="F246" s="3"/>
      <c r="G246" s="9"/>
      <c r="O246" s="3"/>
    </row>
    <row r="247" spans="4:15" x14ac:dyDescent="0.25">
      <c r="D247" s="8"/>
      <c r="E247" s="8"/>
      <c r="F247" s="3"/>
      <c r="G247" s="9"/>
      <c r="O247" s="3"/>
    </row>
    <row r="248" spans="4:15" x14ac:dyDescent="0.25">
      <c r="D248" s="8"/>
      <c r="E248" s="8"/>
      <c r="F248" s="3"/>
      <c r="G248" s="9"/>
      <c r="O248" s="3"/>
    </row>
    <row r="249" spans="4:15" x14ac:dyDescent="0.25">
      <c r="D249" s="8"/>
      <c r="E249" s="8"/>
      <c r="F249" s="3"/>
      <c r="G249" s="9"/>
      <c r="O249" s="3"/>
    </row>
    <row r="250" spans="4:15" x14ac:dyDescent="0.25">
      <c r="D250" s="8"/>
      <c r="E250" s="8"/>
      <c r="F250" s="3"/>
      <c r="G250" s="9"/>
      <c r="O250" s="3"/>
    </row>
    <row r="251" spans="4:15" x14ac:dyDescent="0.25">
      <c r="D251" s="8"/>
      <c r="E251" s="8"/>
      <c r="F251" s="3"/>
      <c r="G251" s="9"/>
      <c r="O251" s="3"/>
    </row>
    <row r="252" spans="4:15" x14ac:dyDescent="0.25">
      <c r="D252" s="8"/>
      <c r="E252" s="8"/>
      <c r="F252" s="3"/>
      <c r="O252" s="3"/>
    </row>
    <row r="253" spans="4:15" x14ac:dyDescent="0.25">
      <c r="D253" s="8"/>
      <c r="E253" s="8"/>
      <c r="F253" s="3"/>
      <c r="G253" s="9"/>
      <c r="O253" s="3"/>
    </row>
    <row r="254" spans="4:15" x14ac:dyDescent="0.25">
      <c r="D254" s="8"/>
      <c r="E254" s="8"/>
      <c r="F254" s="3"/>
      <c r="G254" s="9"/>
      <c r="O254" s="3"/>
    </row>
    <row r="255" spans="4:15" x14ac:dyDescent="0.25">
      <c r="D255" s="8"/>
      <c r="E255" s="8"/>
      <c r="F255" s="3"/>
      <c r="G255" s="9"/>
      <c r="O255" s="3"/>
    </row>
    <row r="256" spans="4:15" x14ac:dyDescent="0.25">
      <c r="D256" s="8"/>
      <c r="E256" s="8"/>
      <c r="F256" s="3"/>
      <c r="G256" s="9"/>
      <c r="O256" s="3"/>
    </row>
    <row r="257" spans="4:15" x14ac:dyDescent="0.25">
      <c r="D257" s="8"/>
      <c r="E257" s="8"/>
      <c r="F257" s="3"/>
      <c r="G257" s="9"/>
      <c r="O257" s="3"/>
    </row>
    <row r="258" spans="4:15" x14ac:dyDescent="0.25">
      <c r="D258" s="8"/>
      <c r="E258" s="8"/>
      <c r="F258" s="3"/>
      <c r="G258" s="9"/>
      <c r="O258" s="3"/>
    </row>
    <row r="259" spans="4:15" x14ac:dyDescent="0.25">
      <c r="D259" s="8"/>
      <c r="E259" s="8"/>
      <c r="F259" s="3"/>
      <c r="G259" s="9"/>
      <c r="O259" s="3"/>
    </row>
    <row r="260" spans="4:15" x14ac:dyDescent="0.25">
      <c r="D260" s="8"/>
      <c r="E260" s="8"/>
      <c r="F260" s="3"/>
      <c r="G260" s="9"/>
      <c r="O260" s="3"/>
    </row>
    <row r="261" spans="4:15" x14ac:dyDescent="0.25">
      <c r="D261" s="8"/>
      <c r="E261" s="8"/>
      <c r="F261" s="3"/>
      <c r="G261" s="9"/>
      <c r="O261" s="3"/>
    </row>
    <row r="262" spans="4:15" x14ac:dyDescent="0.25">
      <c r="D262" s="8"/>
      <c r="E262" s="8"/>
      <c r="F262" s="3"/>
      <c r="G262" s="9"/>
      <c r="O262" s="3"/>
    </row>
    <row r="263" spans="4:15" x14ac:dyDescent="0.25">
      <c r="D263" s="8"/>
      <c r="E263" s="8"/>
      <c r="F263" s="3"/>
      <c r="G263" s="9"/>
      <c r="O263" s="3"/>
    </row>
    <row r="264" spans="4:15" x14ac:dyDescent="0.25">
      <c r="D264" s="8"/>
      <c r="E264" s="8"/>
      <c r="F264" s="3"/>
      <c r="G264" s="9"/>
      <c r="O264" s="3"/>
    </row>
    <row r="265" spans="4:15" x14ac:dyDescent="0.25">
      <c r="D265" s="8"/>
      <c r="E265" s="8"/>
      <c r="F265" s="3"/>
      <c r="G265" s="9"/>
      <c r="O265" s="3"/>
    </row>
    <row r="266" spans="4:15" x14ac:dyDescent="0.25">
      <c r="D266" s="8"/>
      <c r="E266" s="8"/>
      <c r="F266" s="3"/>
      <c r="G266" s="9"/>
      <c r="O266" s="3"/>
    </row>
    <row r="267" spans="4:15" x14ac:dyDescent="0.25">
      <c r="D267" s="8"/>
      <c r="E267" s="8"/>
      <c r="F267" s="3"/>
      <c r="G267" s="9"/>
      <c r="O267" s="3"/>
    </row>
    <row r="268" spans="4:15" x14ac:dyDescent="0.25">
      <c r="D268" s="8"/>
      <c r="E268" s="8"/>
      <c r="F268" s="3"/>
      <c r="G268" s="9"/>
      <c r="O268" s="3"/>
    </row>
    <row r="269" spans="4:15" x14ac:dyDescent="0.25">
      <c r="D269" s="8"/>
      <c r="E269" s="8"/>
      <c r="F269" s="3"/>
      <c r="G269" s="9"/>
      <c r="O269" s="3"/>
    </row>
    <row r="270" spans="4:15" x14ac:dyDescent="0.25">
      <c r="D270" s="8"/>
      <c r="E270" s="8"/>
      <c r="F270" s="3"/>
      <c r="G270" s="9"/>
      <c r="O270" s="3"/>
    </row>
    <row r="271" spans="4:15" x14ac:dyDescent="0.25">
      <c r="D271" s="8"/>
      <c r="E271" s="8"/>
      <c r="F271" s="3"/>
      <c r="G271" s="9"/>
      <c r="O271" s="3"/>
    </row>
    <row r="272" spans="4:15" x14ac:dyDescent="0.25">
      <c r="D272" s="8"/>
      <c r="E272" s="8"/>
      <c r="F272" s="3"/>
      <c r="G272" s="9"/>
      <c r="O272" s="3"/>
    </row>
    <row r="273" spans="4:15" x14ac:dyDescent="0.25">
      <c r="D273" s="8"/>
      <c r="E273" s="8"/>
      <c r="F273" s="3"/>
      <c r="G273" s="9"/>
      <c r="O273" s="3"/>
    </row>
    <row r="274" spans="4:15" x14ac:dyDescent="0.25">
      <c r="D274" s="8"/>
      <c r="E274" s="8"/>
      <c r="F274" s="3"/>
      <c r="G274" s="9"/>
      <c r="O274" s="3"/>
    </row>
    <row r="275" spans="4:15" x14ac:dyDescent="0.25">
      <c r="D275" s="8"/>
      <c r="E275" s="8"/>
      <c r="F275" s="3"/>
      <c r="G275" s="9"/>
      <c r="O275" s="3"/>
    </row>
    <row r="276" spans="4:15" x14ac:dyDescent="0.25">
      <c r="D276" s="8"/>
      <c r="E276" s="8"/>
      <c r="F276" s="3"/>
      <c r="G276" s="9"/>
      <c r="O276" s="3"/>
    </row>
    <row r="277" spans="4:15" x14ac:dyDescent="0.25">
      <c r="D277" s="8"/>
      <c r="E277" s="8"/>
      <c r="F277" s="3"/>
      <c r="O277" s="3"/>
    </row>
    <row r="278" spans="4:15" x14ac:dyDescent="0.25">
      <c r="D278" s="8"/>
      <c r="E278" s="8"/>
      <c r="F278" s="3"/>
      <c r="G278" s="9"/>
      <c r="O278" s="3"/>
    </row>
    <row r="279" spans="4:15" x14ac:dyDescent="0.25">
      <c r="D279" s="8"/>
      <c r="E279" s="8"/>
      <c r="F279" s="3"/>
      <c r="G279" s="9"/>
      <c r="O279" s="3"/>
    </row>
    <row r="280" spans="4:15" x14ac:dyDescent="0.25">
      <c r="D280" s="8"/>
      <c r="E280" s="8"/>
      <c r="F280" s="3"/>
      <c r="G280" s="9"/>
      <c r="O280" s="3"/>
    </row>
    <row r="281" spans="4:15" x14ac:dyDescent="0.25">
      <c r="D281" s="8"/>
      <c r="E281" s="8"/>
      <c r="F281" s="3"/>
      <c r="G281" s="9"/>
      <c r="O281" s="3"/>
    </row>
    <row r="282" spans="4:15" x14ac:dyDescent="0.25">
      <c r="D282" s="8"/>
      <c r="E282" s="8"/>
      <c r="F282" s="3"/>
      <c r="G282" s="9"/>
      <c r="O282" s="3"/>
    </row>
    <row r="283" spans="4:15" x14ac:dyDescent="0.25">
      <c r="D283" s="8"/>
      <c r="E283" s="8"/>
      <c r="F283" s="3"/>
      <c r="G283" s="9"/>
      <c r="O283" s="3"/>
    </row>
    <row r="284" spans="4:15" x14ac:dyDescent="0.25">
      <c r="D284" s="8"/>
      <c r="E284" s="8"/>
      <c r="F284" s="3"/>
      <c r="G284" s="9"/>
      <c r="O284" s="3"/>
    </row>
    <row r="285" spans="4:15" x14ac:dyDescent="0.25">
      <c r="D285" s="8"/>
      <c r="E285" s="8"/>
      <c r="F285" s="3"/>
      <c r="G285" s="9"/>
      <c r="O285" s="3"/>
    </row>
    <row r="286" spans="4:15" x14ac:dyDescent="0.25">
      <c r="D286" s="8"/>
      <c r="E286" s="8"/>
      <c r="F286" s="3"/>
      <c r="G286" s="9"/>
      <c r="O286" s="3"/>
    </row>
    <row r="287" spans="4:15" x14ac:dyDescent="0.25">
      <c r="D287" s="8"/>
      <c r="E287" s="8"/>
      <c r="F287" s="3"/>
      <c r="G287" s="9"/>
      <c r="O287" s="3"/>
    </row>
    <row r="288" spans="4:15" x14ac:dyDescent="0.25">
      <c r="D288" s="8"/>
      <c r="E288" s="8"/>
      <c r="F288" s="3"/>
      <c r="G288" s="9"/>
      <c r="O288" s="3"/>
    </row>
    <row r="289" spans="4:15" x14ac:dyDescent="0.25">
      <c r="D289" s="8"/>
      <c r="E289" s="8"/>
      <c r="F289" s="3"/>
      <c r="G289" s="9"/>
      <c r="O289" s="3"/>
    </row>
    <row r="290" spans="4:15" x14ac:dyDescent="0.25">
      <c r="D290" s="8"/>
      <c r="E290" s="8"/>
      <c r="F290" s="3"/>
      <c r="G290" s="9"/>
      <c r="O290" s="3"/>
    </row>
    <row r="291" spans="4:15" x14ac:dyDescent="0.25">
      <c r="D291" s="8"/>
      <c r="E291" s="8"/>
      <c r="F291" s="3"/>
      <c r="G291" s="9"/>
      <c r="O291" s="3"/>
    </row>
    <row r="292" spans="4:15" x14ac:dyDescent="0.25">
      <c r="D292" s="8"/>
      <c r="E292" s="8"/>
      <c r="F292" s="3"/>
      <c r="G292" s="9"/>
      <c r="O292" s="3"/>
    </row>
    <row r="293" spans="4:15" x14ac:dyDescent="0.25">
      <c r="D293" s="8"/>
      <c r="E293" s="8"/>
      <c r="F293" s="3"/>
      <c r="G293" s="9"/>
      <c r="O293" s="3"/>
    </row>
    <row r="294" spans="4:15" x14ac:dyDescent="0.25">
      <c r="D294" s="8"/>
      <c r="E294" s="8"/>
      <c r="F294" s="3"/>
      <c r="G294" s="9"/>
      <c r="O294" s="3"/>
    </row>
    <row r="295" spans="4:15" x14ac:dyDescent="0.25">
      <c r="D295" s="8"/>
      <c r="E295" s="8"/>
      <c r="F295" s="3"/>
      <c r="G295" s="9"/>
      <c r="O295" s="3"/>
    </row>
    <row r="296" spans="4:15" x14ac:dyDescent="0.25">
      <c r="D296" s="8"/>
      <c r="E296" s="8"/>
      <c r="F296" s="3"/>
      <c r="G296" s="9"/>
      <c r="O296" s="3"/>
    </row>
    <row r="297" spans="4:15" x14ac:dyDescent="0.25">
      <c r="D297" s="8"/>
      <c r="E297" s="8"/>
      <c r="F297" s="3"/>
      <c r="G297" s="9"/>
      <c r="O297" s="3"/>
    </row>
    <row r="298" spans="4:15" x14ac:dyDescent="0.25">
      <c r="D298" s="8"/>
      <c r="E298" s="8"/>
      <c r="F298" s="3"/>
      <c r="G298" s="9"/>
      <c r="O298" s="3"/>
    </row>
    <row r="299" spans="4:15" x14ac:dyDescent="0.25">
      <c r="D299" s="8"/>
      <c r="E299" s="8"/>
      <c r="F299" s="3"/>
      <c r="G299" s="9"/>
      <c r="O299" s="3"/>
    </row>
    <row r="300" spans="4:15" x14ac:dyDescent="0.25">
      <c r="D300" s="8"/>
      <c r="E300" s="8"/>
      <c r="F300" s="3"/>
      <c r="G300" s="9"/>
      <c r="O300" s="3"/>
    </row>
    <row r="301" spans="4:15" x14ac:dyDescent="0.25">
      <c r="D301" s="8"/>
      <c r="E301" s="8"/>
      <c r="F301" s="3"/>
      <c r="G301" s="9"/>
      <c r="O301" s="3"/>
    </row>
    <row r="302" spans="4:15" x14ac:dyDescent="0.25">
      <c r="D302" s="8"/>
      <c r="E302" s="8"/>
      <c r="F302" s="3"/>
      <c r="O302" s="3"/>
    </row>
    <row r="303" spans="4:15" x14ac:dyDescent="0.25">
      <c r="D303" s="8"/>
      <c r="E303" s="8"/>
      <c r="F303" s="3"/>
      <c r="G303" s="9"/>
      <c r="O303" s="3"/>
    </row>
    <row r="304" spans="4:15" x14ac:dyDescent="0.25">
      <c r="D304" s="8"/>
      <c r="E304" s="8"/>
      <c r="F304" s="3"/>
      <c r="G304" s="9"/>
      <c r="O304" s="3"/>
    </row>
    <row r="305" spans="4:15" x14ac:dyDescent="0.25">
      <c r="D305" s="8"/>
      <c r="E305" s="8"/>
      <c r="F305" s="3"/>
      <c r="G305" s="9"/>
      <c r="O305" s="3"/>
    </row>
    <row r="306" spans="4:15" x14ac:dyDescent="0.25">
      <c r="D306" s="8"/>
      <c r="E306" s="8"/>
      <c r="F306" s="3"/>
      <c r="G306" s="9"/>
      <c r="O306" s="3"/>
    </row>
    <row r="307" spans="4:15" x14ac:dyDescent="0.25">
      <c r="D307" s="8"/>
      <c r="E307" s="8"/>
      <c r="F307" s="3"/>
      <c r="G307" s="9"/>
      <c r="O307" s="3"/>
    </row>
    <row r="308" spans="4:15" x14ac:dyDescent="0.25">
      <c r="D308" s="8"/>
      <c r="E308" s="8"/>
      <c r="F308" s="3"/>
      <c r="G308" s="9"/>
      <c r="O308" s="3"/>
    </row>
    <row r="309" spans="4:15" x14ac:dyDescent="0.25">
      <c r="D309" s="8"/>
      <c r="E309" s="8"/>
      <c r="F309" s="3"/>
      <c r="G309" s="9"/>
      <c r="O309" s="3"/>
    </row>
    <row r="310" spans="4:15" x14ac:dyDescent="0.25">
      <c r="D310" s="8"/>
      <c r="E310" s="8"/>
      <c r="F310" s="3"/>
      <c r="G310" s="9"/>
      <c r="O310" s="3"/>
    </row>
    <row r="311" spans="4:15" x14ac:dyDescent="0.25">
      <c r="D311" s="8"/>
      <c r="E311" s="8"/>
      <c r="F311" s="3"/>
      <c r="G311" s="9"/>
      <c r="O311" s="3"/>
    </row>
    <row r="312" spans="4:15" x14ac:dyDescent="0.25">
      <c r="D312" s="8"/>
      <c r="E312" s="8"/>
      <c r="F312" s="3"/>
      <c r="G312" s="9"/>
      <c r="O312" s="3"/>
    </row>
    <row r="313" spans="4:15" x14ac:dyDescent="0.25">
      <c r="D313" s="8"/>
      <c r="E313" s="8"/>
      <c r="F313" s="3"/>
      <c r="G313" s="9"/>
      <c r="O313" s="3"/>
    </row>
    <row r="314" spans="4:15" x14ac:dyDescent="0.25">
      <c r="D314" s="8"/>
      <c r="E314" s="8"/>
      <c r="F314" s="3"/>
      <c r="G314" s="9"/>
      <c r="O314" s="3"/>
    </row>
    <row r="315" spans="4:15" x14ac:dyDescent="0.25">
      <c r="D315" s="8"/>
      <c r="E315" s="8"/>
      <c r="F315" s="3"/>
      <c r="G315" s="9"/>
      <c r="O315" s="3"/>
    </row>
    <row r="316" spans="4:15" x14ac:dyDescent="0.25">
      <c r="D316" s="8"/>
      <c r="E316" s="8"/>
      <c r="F316" s="3"/>
      <c r="G316" s="9"/>
      <c r="O316" s="3"/>
    </row>
    <row r="317" spans="4:15" x14ac:dyDescent="0.25">
      <c r="D317" s="8"/>
      <c r="E317" s="8"/>
      <c r="F317" s="3"/>
      <c r="G317" s="9"/>
      <c r="O317" s="3"/>
    </row>
    <row r="318" spans="4:15" x14ac:dyDescent="0.25">
      <c r="D318" s="8"/>
      <c r="E318" s="8"/>
      <c r="F318" s="3"/>
      <c r="G318" s="9"/>
      <c r="O318" s="3"/>
    </row>
    <row r="319" spans="4:15" x14ac:dyDescent="0.25">
      <c r="D319" s="8"/>
      <c r="E319" s="8"/>
      <c r="F319" s="3"/>
      <c r="G319" s="9"/>
      <c r="O319" s="3"/>
    </row>
    <row r="320" spans="4:15" x14ac:dyDescent="0.25">
      <c r="D320" s="8"/>
      <c r="E320" s="8"/>
      <c r="F320" s="3"/>
      <c r="G320" s="9"/>
      <c r="O320" s="3"/>
    </row>
    <row r="321" spans="4:15" x14ac:dyDescent="0.25">
      <c r="D321" s="8"/>
      <c r="E321" s="8"/>
      <c r="F321" s="3"/>
      <c r="G321" s="9"/>
      <c r="O321" s="3"/>
    </row>
    <row r="322" spans="4:15" x14ac:dyDescent="0.25">
      <c r="D322" s="8"/>
      <c r="E322" s="8"/>
      <c r="F322" s="3"/>
      <c r="G322" s="9"/>
      <c r="O322" s="3"/>
    </row>
    <row r="323" spans="4:15" x14ac:dyDescent="0.25">
      <c r="D323" s="8"/>
      <c r="E323" s="8"/>
      <c r="F323" s="3"/>
      <c r="G323" s="9"/>
      <c r="O323" s="3"/>
    </row>
    <row r="324" spans="4:15" x14ac:dyDescent="0.25">
      <c r="D324" s="8"/>
      <c r="E324" s="8"/>
      <c r="F324" s="3"/>
      <c r="G324" s="9"/>
      <c r="O324" s="3"/>
    </row>
    <row r="325" spans="4:15" x14ac:dyDescent="0.25">
      <c r="D325" s="8"/>
      <c r="E325" s="8"/>
      <c r="F325" s="3"/>
      <c r="G325" s="9"/>
      <c r="O325" s="3"/>
    </row>
    <row r="326" spans="4:15" x14ac:dyDescent="0.25">
      <c r="D326" s="8"/>
      <c r="E326" s="8"/>
      <c r="F326" s="3"/>
      <c r="G326" s="9"/>
      <c r="O326" s="3"/>
    </row>
    <row r="327" spans="4:15" x14ac:dyDescent="0.25">
      <c r="D327" s="8"/>
      <c r="E327" s="8"/>
      <c r="F327" s="3"/>
      <c r="O327" s="3"/>
    </row>
    <row r="328" spans="4:15" x14ac:dyDescent="0.25">
      <c r="D328" s="8"/>
      <c r="E328" s="8"/>
      <c r="F328" s="3"/>
      <c r="G328" s="9"/>
      <c r="O328" s="3"/>
    </row>
    <row r="329" spans="4:15" x14ac:dyDescent="0.25">
      <c r="D329" s="8"/>
      <c r="E329" s="8"/>
      <c r="F329" s="3"/>
      <c r="G329" s="9"/>
      <c r="O329" s="3"/>
    </row>
    <row r="330" spans="4:15" x14ac:dyDescent="0.25">
      <c r="D330" s="8"/>
      <c r="E330" s="8"/>
      <c r="F330" s="3"/>
      <c r="G330" s="9"/>
      <c r="O330" s="3"/>
    </row>
    <row r="331" spans="4:15" x14ac:dyDescent="0.25">
      <c r="D331" s="8"/>
      <c r="E331" s="8"/>
      <c r="F331" s="3"/>
      <c r="G331" s="9"/>
      <c r="O331" s="3"/>
    </row>
    <row r="332" spans="4:15" x14ac:dyDescent="0.25">
      <c r="D332" s="8"/>
      <c r="E332" s="8"/>
      <c r="F332" s="3"/>
      <c r="G332" s="9"/>
      <c r="O332" s="3"/>
    </row>
    <row r="333" spans="4:15" x14ac:dyDescent="0.25">
      <c r="D333" s="8"/>
      <c r="E333" s="8"/>
      <c r="F333" s="3"/>
      <c r="G333" s="9"/>
      <c r="O333" s="3"/>
    </row>
    <row r="334" spans="4:15" x14ac:dyDescent="0.25">
      <c r="D334" s="8"/>
      <c r="E334" s="8"/>
      <c r="F334" s="3"/>
      <c r="G334" s="9"/>
      <c r="O334" s="3"/>
    </row>
    <row r="335" spans="4:15" x14ac:dyDescent="0.25">
      <c r="D335" s="8"/>
      <c r="E335" s="8"/>
      <c r="F335" s="3"/>
      <c r="G335" s="9"/>
      <c r="O335" s="3"/>
    </row>
    <row r="336" spans="4:15" x14ac:dyDescent="0.25">
      <c r="D336" s="8"/>
      <c r="E336" s="8"/>
      <c r="F336" s="3"/>
      <c r="G336" s="9"/>
      <c r="O336" s="3"/>
    </row>
    <row r="337" spans="4:15" x14ac:dyDescent="0.25">
      <c r="D337" s="8"/>
      <c r="E337" s="8"/>
      <c r="F337" s="3"/>
      <c r="G337" s="9"/>
      <c r="O337" s="3"/>
    </row>
    <row r="338" spans="4:15" x14ac:dyDescent="0.25">
      <c r="D338" s="8"/>
      <c r="E338" s="8"/>
      <c r="F338" s="3"/>
      <c r="G338" s="9"/>
      <c r="O338" s="3"/>
    </row>
    <row r="339" spans="4:15" x14ac:dyDescent="0.25">
      <c r="D339" s="8"/>
      <c r="E339" s="8"/>
      <c r="F339" s="3"/>
      <c r="G339" s="9"/>
      <c r="O339" s="3"/>
    </row>
    <row r="340" spans="4:15" x14ac:dyDescent="0.25">
      <c r="D340" s="8"/>
      <c r="E340" s="8"/>
      <c r="F340" s="3"/>
      <c r="G340" s="9"/>
      <c r="O340" s="3"/>
    </row>
    <row r="341" spans="4:15" x14ac:dyDescent="0.25">
      <c r="D341" s="8"/>
      <c r="E341" s="8"/>
      <c r="F341" s="3"/>
      <c r="G341" s="9"/>
      <c r="O341" s="3"/>
    </row>
    <row r="342" spans="4:15" x14ac:dyDescent="0.25">
      <c r="D342" s="8"/>
      <c r="E342" s="8"/>
      <c r="F342" s="3"/>
      <c r="G342" s="9"/>
      <c r="O342" s="3"/>
    </row>
    <row r="343" spans="4:15" x14ac:dyDescent="0.25">
      <c r="D343" s="8"/>
      <c r="E343" s="8"/>
      <c r="F343" s="3"/>
      <c r="G343" s="9"/>
      <c r="O343" s="3"/>
    </row>
    <row r="344" spans="4:15" x14ac:dyDescent="0.25">
      <c r="D344" s="8"/>
      <c r="E344" s="8"/>
      <c r="F344" s="3"/>
      <c r="G344" s="9"/>
      <c r="O344" s="3"/>
    </row>
    <row r="345" spans="4:15" x14ac:dyDescent="0.25">
      <c r="D345" s="8"/>
      <c r="E345" s="8"/>
      <c r="F345" s="3"/>
      <c r="G345" s="9"/>
      <c r="O345" s="3"/>
    </row>
    <row r="346" spans="4:15" x14ac:dyDescent="0.25">
      <c r="D346" s="8"/>
      <c r="E346" s="8"/>
      <c r="F346" s="3"/>
      <c r="G346" s="9"/>
      <c r="O346" s="3"/>
    </row>
    <row r="347" spans="4:15" x14ac:dyDescent="0.25">
      <c r="D347" s="8"/>
      <c r="E347" s="8"/>
      <c r="F347" s="3"/>
      <c r="G347" s="9"/>
      <c r="O347" s="3"/>
    </row>
    <row r="348" spans="4:15" x14ac:dyDescent="0.25">
      <c r="D348" s="8"/>
      <c r="E348" s="8"/>
      <c r="F348" s="3"/>
      <c r="G348" s="9"/>
      <c r="O348" s="3"/>
    </row>
    <row r="349" spans="4:15" x14ac:dyDescent="0.25">
      <c r="D349" s="8"/>
      <c r="E349" s="8"/>
      <c r="F349" s="3"/>
      <c r="G349" s="9"/>
      <c r="O349" s="3"/>
    </row>
    <row r="350" spans="4:15" x14ac:dyDescent="0.25">
      <c r="D350" s="8"/>
      <c r="E350" s="8"/>
      <c r="F350" s="3"/>
      <c r="G350" s="9"/>
      <c r="O350" s="3"/>
    </row>
    <row r="351" spans="4:15" x14ac:dyDescent="0.25">
      <c r="D351" s="8"/>
      <c r="E351" s="8"/>
      <c r="F351" s="3"/>
      <c r="G351" s="9"/>
      <c r="O351" s="3"/>
    </row>
    <row r="352" spans="4:15" x14ac:dyDescent="0.25">
      <c r="D352" s="8"/>
      <c r="E352" s="8"/>
      <c r="F352" s="3"/>
      <c r="O352" s="3"/>
    </row>
    <row r="353" spans="4:15" x14ac:dyDescent="0.25">
      <c r="D353" s="8"/>
      <c r="E353" s="8"/>
      <c r="F353" s="3"/>
      <c r="G353" s="9"/>
      <c r="O353" s="3"/>
    </row>
    <row r="354" spans="4:15" x14ac:dyDescent="0.25">
      <c r="D354" s="8"/>
      <c r="E354" s="8"/>
      <c r="F354" s="3"/>
      <c r="G354" s="9"/>
      <c r="O354" s="3"/>
    </row>
    <row r="355" spans="4:15" x14ac:dyDescent="0.25">
      <c r="D355" s="8"/>
      <c r="E355" s="8"/>
      <c r="F355" s="3"/>
      <c r="G355" s="9"/>
      <c r="O355" s="3"/>
    </row>
    <row r="356" spans="4:15" x14ac:dyDescent="0.25">
      <c r="D356" s="8"/>
      <c r="E356" s="8"/>
      <c r="F356" s="3"/>
      <c r="G356" s="9"/>
      <c r="O356" s="3"/>
    </row>
    <row r="357" spans="4:15" x14ac:dyDescent="0.25">
      <c r="D357" s="8"/>
      <c r="E357" s="8"/>
      <c r="F357" s="3"/>
      <c r="G357" s="9"/>
      <c r="O357" s="3"/>
    </row>
    <row r="358" spans="4:15" x14ac:dyDescent="0.25">
      <c r="D358" s="8"/>
      <c r="E358" s="8"/>
      <c r="F358" s="3"/>
      <c r="G358" s="9"/>
      <c r="O358" s="3"/>
    </row>
    <row r="359" spans="4:15" x14ac:dyDescent="0.25">
      <c r="D359" s="8"/>
      <c r="E359" s="8"/>
      <c r="F359" s="3"/>
      <c r="G359" s="9"/>
      <c r="O359" s="3"/>
    </row>
    <row r="360" spans="4:15" x14ac:dyDescent="0.25">
      <c r="D360" s="8"/>
      <c r="E360" s="8"/>
      <c r="F360" s="3"/>
      <c r="G360" s="9"/>
      <c r="O360" s="3"/>
    </row>
    <row r="361" spans="4:15" x14ac:dyDescent="0.25">
      <c r="D361" s="8"/>
      <c r="E361" s="8"/>
      <c r="F361" s="3"/>
      <c r="G361" s="9"/>
      <c r="O361" s="3"/>
    </row>
    <row r="362" spans="4:15" x14ac:dyDescent="0.25">
      <c r="D362" s="8"/>
      <c r="E362" s="8"/>
      <c r="F362" s="3"/>
      <c r="G362" s="9"/>
      <c r="O362" s="3"/>
    </row>
    <row r="363" spans="4:15" x14ac:dyDescent="0.25">
      <c r="D363" s="8"/>
      <c r="E363" s="8"/>
      <c r="F363" s="3"/>
      <c r="G363" s="9"/>
      <c r="O363" s="3"/>
    </row>
    <row r="364" spans="4:15" x14ac:dyDescent="0.25">
      <c r="D364" s="8"/>
      <c r="E364" s="8"/>
      <c r="F364" s="3"/>
      <c r="G364" s="9"/>
      <c r="O364" s="3"/>
    </row>
    <row r="365" spans="4:15" x14ac:dyDescent="0.25">
      <c r="D365" s="8"/>
      <c r="E365" s="8"/>
      <c r="F365" s="3"/>
      <c r="G365" s="9"/>
      <c r="O365" s="3"/>
    </row>
    <row r="366" spans="4:15" x14ac:dyDescent="0.25">
      <c r="D366" s="8"/>
      <c r="E366" s="8"/>
      <c r="F366" s="3"/>
      <c r="G366" s="9"/>
      <c r="O366" s="3"/>
    </row>
    <row r="367" spans="4:15" x14ac:dyDescent="0.25">
      <c r="D367" s="8"/>
      <c r="E367" s="8"/>
      <c r="F367" s="3"/>
      <c r="G367" s="9"/>
      <c r="O367" s="3"/>
    </row>
    <row r="368" spans="4:15" x14ac:dyDescent="0.25">
      <c r="D368" s="8"/>
      <c r="E368" s="8"/>
      <c r="F368" s="3"/>
      <c r="G368" s="9"/>
      <c r="O368" s="3"/>
    </row>
    <row r="369" spans="4:15" x14ac:dyDescent="0.25">
      <c r="D369" s="8"/>
      <c r="E369" s="8"/>
      <c r="F369" s="3"/>
      <c r="G369" s="9"/>
      <c r="O369" s="3"/>
    </row>
    <row r="370" spans="4:15" x14ac:dyDescent="0.25">
      <c r="D370" s="8"/>
      <c r="E370" s="8"/>
      <c r="F370" s="3"/>
      <c r="G370" s="9"/>
      <c r="O370" s="3"/>
    </row>
    <row r="371" spans="4:15" x14ac:dyDescent="0.25">
      <c r="D371" s="8"/>
      <c r="E371" s="8"/>
      <c r="F371" s="3"/>
      <c r="G371" s="9"/>
      <c r="O371" s="3"/>
    </row>
    <row r="372" spans="4:15" x14ac:dyDescent="0.25">
      <c r="D372" s="8"/>
      <c r="E372" s="8"/>
      <c r="F372" s="3"/>
      <c r="G372" s="9"/>
      <c r="O372" s="3"/>
    </row>
    <row r="373" spans="4:15" x14ac:dyDescent="0.25">
      <c r="D373" s="8"/>
      <c r="E373" s="8"/>
      <c r="F373" s="3"/>
      <c r="G373" s="9"/>
      <c r="O373" s="3"/>
    </row>
    <row r="374" spans="4:15" x14ac:dyDescent="0.25">
      <c r="D374" s="8"/>
      <c r="E374" s="8"/>
      <c r="F374" s="3"/>
      <c r="G374" s="9"/>
      <c r="O374" s="3"/>
    </row>
    <row r="375" spans="4:15" x14ac:dyDescent="0.25">
      <c r="D375" s="8"/>
      <c r="E375" s="8"/>
      <c r="F375" s="3"/>
      <c r="G375" s="9"/>
      <c r="O375" s="3"/>
    </row>
    <row r="376" spans="4:15" x14ac:dyDescent="0.25">
      <c r="D376" s="8"/>
      <c r="E376" s="8"/>
      <c r="F376" s="3"/>
      <c r="G376" s="9"/>
      <c r="O376" s="3"/>
    </row>
    <row r="377" spans="4:15" x14ac:dyDescent="0.25">
      <c r="D377" s="8"/>
      <c r="E377" s="8"/>
      <c r="F377" s="3"/>
      <c r="O377" s="3"/>
    </row>
    <row r="378" spans="4:15" x14ac:dyDescent="0.25">
      <c r="D378" s="8"/>
      <c r="E378" s="8"/>
      <c r="F378" s="3"/>
      <c r="G378" s="9"/>
      <c r="O378" s="3"/>
    </row>
    <row r="379" spans="4:15" x14ac:dyDescent="0.25">
      <c r="D379" s="8"/>
      <c r="E379" s="8"/>
      <c r="F379" s="3"/>
      <c r="G379" s="9"/>
      <c r="O379" s="3"/>
    </row>
    <row r="380" spans="4:15" x14ac:dyDescent="0.25">
      <c r="D380" s="8"/>
      <c r="E380" s="8"/>
      <c r="F380" s="3"/>
      <c r="G380" s="9"/>
      <c r="O380" s="3"/>
    </row>
    <row r="381" spans="4:15" x14ac:dyDescent="0.25">
      <c r="D381" s="8"/>
      <c r="E381" s="8"/>
      <c r="F381" s="3"/>
      <c r="G381" s="9"/>
      <c r="O381" s="3"/>
    </row>
    <row r="382" spans="4:15" x14ac:dyDescent="0.25">
      <c r="D382" s="8"/>
      <c r="E382" s="8"/>
      <c r="F382" s="3"/>
      <c r="G382" s="9"/>
      <c r="O382" s="3"/>
    </row>
    <row r="383" spans="4:15" x14ac:dyDescent="0.25">
      <c r="D383" s="8"/>
      <c r="E383" s="8"/>
      <c r="F383" s="3"/>
      <c r="G383" s="9"/>
      <c r="O383" s="3"/>
    </row>
    <row r="384" spans="4:15" x14ac:dyDescent="0.25">
      <c r="D384" s="8"/>
      <c r="E384" s="8"/>
      <c r="F384" s="3"/>
      <c r="G384" s="9"/>
      <c r="O384" s="3"/>
    </row>
    <row r="385" spans="4:15" x14ac:dyDescent="0.25">
      <c r="D385" s="8"/>
      <c r="E385" s="8"/>
      <c r="F385" s="3"/>
      <c r="G385" s="9"/>
      <c r="O385" s="3"/>
    </row>
    <row r="386" spans="4:15" x14ac:dyDescent="0.25">
      <c r="D386" s="8"/>
      <c r="E386" s="8"/>
      <c r="F386" s="3"/>
      <c r="G386" s="9"/>
      <c r="O386" s="3"/>
    </row>
    <row r="387" spans="4:15" x14ac:dyDescent="0.25">
      <c r="D387" s="8"/>
      <c r="E387" s="8"/>
      <c r="F387" s="3"/>
      <c r="G387" s="9"/>
      <c r="O387" s="3"/>
    </row>
    <row r="388" spans="4:15" x14ac:dyDescent="0.25">
      <c r="D388" s="8"/>
      <c r="E388" s="8"/>
      <c r="F388" s="3"/>
      <c r="G388" s="9"/>
      <c r="O388" s="3"/>
    </row>
    <row r="389" spans="4:15" x14ac:dyDescent="0.25">
      <c r="D389" s="8"/>
      <c r="E389" s="8"/>
      <c r="F389" s="3"/>
      <c r="G389" s="9"/>
      <c r="O389" s="3"/>
    </row>
    <row r="390" spans="4:15" x14ac:dyDescent="0.25">
      <c r="D390" s="8"/>
      <c r="E390" s="8"/>
      <c r="F390" s="3"/>
      <c r="G390" s="9"/>
      <c r="O390" s="3"/>
    </row>
    <row r="391" spans="4:15" x14ac:dyDescent="0.25">
      <c r="D391" s="8"/>
      <c r="E391" s="8"/>
      <c r="F391" s="3"/>
      <c r="G391" s="9"/>
      <c r="O391" s="3"/>
    </row>
    <row r="392" spans="4:15" x14ac:dyDescent="0.25">
      <c r="D392" s="8"/>
      <c r="E392" s="8"/>
      <c r="F392" s="3"/>
      <c r="G392" s="9"/>
      <c r="O392" s="3"/>
    </row>
    <row r="393" spans="4:15" x14ac:dyDescent="0.25">
      <c r="D393" s="8"/>
      <c r="E393" s="8"/>
      <c r="F393" s="3"/>
      <c r="G393" s="9"/>
      <c r="O393" s="3"/>
    </row>
    <row r="394" spans="4:15" x14ac:dyDescent="0.25">
      <c r="D394" s="8"/>
      <c r="E394" s="8"/>
      <c r="F394" s="3"/>
      <c r="G394" s="9"/>
      <c r="O394" s="3"/>
    </row>
    <row r="395" spans="4:15" x14ac:dyDescent="0.25">
      <c r="D395" s="8"/>
      <c r="E395" s="8"/>
      <c r="F395" s="3"/>
      <c r="G395" s="9"/>
      <c r="O395" s="3"/>
    </row>
    <row r="396" spans="4:15" x14ac:dyDescent="0.25">
      <c r="D396" s="8"/>
      <c r="E396" s="8"/>
      <c r="F396" s="3"/>
      <c r="G396" s="9"/>
      <c r="O396" s="3"/>
    </row>
    <row r="397" spans="4:15" x14ac:dyDescent="0.25">
      <c r="D397" s="8"/>
      <c r="E397" s="8"/>
      <c r="F397" s="3"/>
      <c r="G397" s="9"/>
      <c r="O397" s="3"/>
    </row>
    <row r="398" spans="4:15" x14ac:dyDescent="0.25">
      <c r="D398" s="8"/>
      <c r="E398" s="8"/>
      <c r="F398" s="3"/>
      <c r="G398" s="9"/>
      <c r="O398" s="3"/>
    </row>
    <row r="399" spans="4:15" x14ac:dyDescent="0.25">
      <c r="D399" s="8"/>
      <c r="E399" s="8"/>
      <c r="F399" s="3"/>
      <c r="G399" s="9"/>
      <c r="O399" s="3"/>
    </row>
    <row r="400" spans="4:15" x14ac:dyDescent="0.25">
      <c r="D400" s="8"/>
      <c r="E400" s="8"/>
      <c r="F400" s="3"/>
      <c r="G400" s="9"/>
      <c r="O400" s="3"/>
    </row>
    <row r="401" spans="4:15" x14ac:dyDescent="0.25">
      <c r="D401" s="8"/>
      <c r="E401" s="8"/>
      <c r="F401" s="3"/>
      <c r="G401" s="9"/>
      <c r="O401" s="3"/>
    </row>
    <row r="402" spans="4:15" x14ac:dyDescent="0.25">
      <c r="D402" s="8"/>
      <c r="E402" s="8"/>
      <c r="F402" s="3"/>
      <c r="O402" s="3"/>
    </row>
    <row r="403" spans="4:15" x14ac:dyDescent="0.25">
      <c r="D403" s="8"/>
      <c r="E403" s="8"/>
      <c r="F403" s="3"/>
      <c r="G403" s="9"/>
      <c r="O403" s="3"/>
    </row>
    <row r="404" spans="4:15" x14ac:dyDescent="0.25">
      <c r="D404" s="8"/>
      <c r="E404" s="8"/>
      <c r="F404" s="3"/>
      <c r="G404" s="9"/>
      <c r="O404" s="3"/>
    </row>
    <row r="405" spans="4:15" x14ac:dyDescent="0.25">
      <c r="D405" s="8"/>
      <c r="E405" s="8"/>
      <c r="F405" s="3"/>
      <c r="G405" s="9"/>
      <c r="O405" s="3"/>
    </row>
    <row r="406" spans="4:15" x14ac:dyDescent="0.25">
      <c r="D406" s="8"/>
      <c r="E406" s="8"/>
      <c r="F406" s="3"/>
      <c r="G406" s="9"/>
      <c r="O406" s="3"/>
    </row>
    <row r="407" spans="4:15" x14ac:dyDescent="0.25">
      <c r="D407" s="8"/>
      <c r="E407" s="8"/>
      <c r="F407" s="3"/>
      <c r="G407" s="9"/>
      <c r="O407" s="3"/>
    </row>
    <row r="408" spans="4:15" x14ac:dyDescent="0.25">
      <c r="D408" s="8"/>
      <c r="E408" s="8"/>
      <c r="F408" s="3"/>
      <c r="G408" s="9"/>
      <c r="O408" s="3"/>
    </row>
    <row r="409" spans="4:15" x14ac:dyDescent="0.25">
      <c r="D409" s="8"/>
      <c r="E409" s="8"/>
      <c r="F409" s="3"/>
      <c r="G409" s="9"/>
      <c r="O409" s="3"/>
    </row>
    <row r="410" spans="4:15" x14ac:dyDescent="0.25">
      <c r="D410" s="8"/>
      <c r="E410" s="8"/>
      <c r="F410" s="3"/>
      <c r="G410" s="9"/>
      <c r="O410" s="3"/>
    </row>
    <row r="411" spans="4:15" x14ac:dyDescent="0.25">
      <c r="D411" s="8"/>
      <c r="E411" s="8"/>
      <c r="F411" s="3"/>
      <c r="G411" s="9"/>
      <c r="O411" s="3"/>
    </row>
    <row r="412" spans="4:15" x14ac:dyDescent="0.25">
      <c r="D412" s="8"/>
      <c r="E412" s="8"/>
      <c r="F412" s="3"/>
      <c r="G412" s="9"/>
      <c r="O412" s="3"/>
    </row>
    <row r="413" spans="4:15" x14ac:dyDescent="0.25">
      <c r="D413" s="8"/>
      <c r="E413" s="8"/>
      <c r="F413" s="3"/>
      <c r="G413" s="9"/>
      <c r="O413" s="3"/>
    </row>
    <row r="414" spans="4:15" x14ac:dyDescent="0.25">
      <c r="D414" s="8"/>
      <c r="E414" s="8"/>
      <c r="F414" s="3"/>
      <c r="G414" s="9"/>
      <c r="O414" s="3"/>
    </row>
    <row r="415" spans="4:15" x14ac:dyDescent="0.25">
      <c r="D415" s="8"/>
      <c r="E415" s="8"/>
      <c r="F415" s="3"/>
      <c r="G415" s="9"/>
      <c r="O415" s="3"/>
    </row>
    <row r="416" spans="4:15" x14ac:dyDescent="0.25">
      <c r="D416" s="8"/>
      <c r="E416" s="8"/>
      <c r="F416" s="3"/>
      <c r="G416" s="9"/>
      <c r="O416" s="3"/>
    </row>
    <row r="417" spans="4:15" x14ac:dyDescent="0.25">
      <c r="D417" s="8"/>
      <c r="E417" s="8"/>
      <c r="F417" s="3"/>
      <c r="G417" s="9"/>
      <c r="O417" s="3"/>
    </row>
    <row r="418" spans="4:15" x14ac:dyDescent="0.25">
      <c r="D418" s="8"/>
      <c r="E418" s="8"/>
      <c r="F418" s="3"/>
      <c r="G418" s="9"/>
      <c r="O418" s="3"/>
    </row>
    <row r="419" spans="4:15" x14ac:dyDescent="0.25">
      <c r="D419" s="8"/>
      <c r="E419" s="8"/>
      <c r="F419" s="3"/>
      <c r="G419" s="9"/>
      <c r="O419" s="3"/>
    </row>
    <row r="420" spans="4:15" x14ac:dyDescent="0.25">
      <c r="D420" s="8"/>
      <c r="E420" s="8"/>
      <c r="F420" s="3"/>
      <c r="G420" s="9"/>
      <c r="O420" s="3"/>
    </row>
    <row r="421" spans="4:15" x14ac:dyDescent="0.25">
      <c r="D421" s="8"/>
      <c r="E421" s="8"/>
      <c r="F421" s="3"/>
      <c r="G421" s="9"/>
      <c r="O421" s="3"/>
    </row>
    <row r="422" spans="4:15" x14ac:dyDescent="0.25">
      <c r="D422" s="8"/>
      <c r="E422" s="8"/>
      <c r="F422" s="3"/>
      <c r="G422" s="9"/>
      <c r="O422" s="3"/>
    </row>
    <row r="423" spans="4:15" x14ac:dyDescent="0.25">
      <c r="D423" s="8"/>
      <c r="E423" s="8"/>
      <c r="F423" s="3"/>
      <c r="G423" s="9"/>
      <c r="O423" s="3"/>
    </row>
    <row r="424" spans="4:15" x14ac:dyDescent="0.25">
      <c r="D424" s="8"/>
      <c r="E424" s="8"/>
      <c r="F424" s="3"/>
      <c r="G424" s="9"/>
      <c r="O424" s="3"/>
    </row>
    <row r="425" spans="4:15" x14ac:dyDescent="0.25">
      <c r="D425" s="8"/>
      <c r="E425" s="8"/>
      <c r="F425" s="3"/>
      <c r="G425" s="9"/>
      <c r="O425" s="3"/>
    </row>
    <row r="426" spans="4:15" x14ac:dyDescent="0.25">
      <c r="D426" s="8"/>
      <c r="E426" s="8"/>
      <c r="F426" s="3"/>
      <c r="G426" s="9"/>
      <c r="O426" s="3"/>
    </row>
    <row r="427" spans="4:15" x14ac:dyDescent="0.25">
      <c r="D427" s="8"/>
      <c r="E427" s="8"/>
      <c r="F427" s="3"/>
      <c r="O427" s="3"/>
    </row>
    <row r="428" spans="4:15" x14ac:dyDescent="0.25">
      <c r="D428" s="8"/>
      <c r="E428" s="8"/>
      <c r="F428" s="3"/>
      <c r="G428" s="9"/>
      <c r="O428" s="3"/>
    </row>
    <row r="429" spans="4:15" x14ac:dyDescent="0.25">
      <c r="D429" s="8"/>
      <c r="E429" s="8"/>
      <c r="F429" s="3"/>
      <c r="G429" s="9"/>
      <c r="O429" s="3"/>
    </row>
    <row r="430" spans="4:15" x14ac:dyDescent="0.25">
      <c r="D430" s="8"/>
      <c r="E430" s="8"/>
      <c r="F430" s="3"/>
      <c r="G430" s="9"/>
      <c r="O430" s="3"/>
    </row>
    <row r="431" spans="4:15" x14ac:dyDescent="0.25">
      <c r="D431" s="8"/>
      <c r="E431" s="8"/>
      <c r="F431" s="3"/>
      <c r="G431" s="9"/>
      <c r="O431" s="3"/>
    </row>
    <row r="432" spans="4:15" x14ac:dyDescent="0.25">
      <c r="D432" s="8"/>
      <c r="E432" s="8"/>
      <c r="F432" s="3"/>
      <c r="G432" s="9"/>
      <c r="O432" s="3"/>
    </row>
    <row r="433" spans="4:15" x14ac:dyDescent="0.25">
      <c r="D433" s="8"/>
      <c r="E433" s="8"/>
      <c r="F433" s="3"/>
      <c r="G433" s="9"/>
      <c r="O433" s="3"/>
    </row>
    <row r="434" spans="4:15" x14ac:dyDescent="0.25">
      <c r="D434" s="8"/>
      <c r="E434" s="8"/>
      <c r="F434" s="3"/>
      <c r="G434" s="9"/>
      <c r="O434" s="3"/>
    </row>
    <row r="435" spans="4:15" x14ac:dyDescent="0.25">
      <c r="D435" s="8"/>
      <c r="E435" s="8"/>
      <c r="F435" s="3"/>
      <c r="G435" s="9"/>
      <c r="O435" s="3"/>
    </row>
    <row r="436" spans="4:15" x14ac:dyDescent="0.25">
      <c r="D436" s="8"/>
      <c r="E436" s="8"/>
      <c r="F436" s="3"/>
      <c r="G436" s="9"/>
      <c r="O436" s="3"/>
    </row>
    <row r="437" spans="4:15" x14ac:dyDescent="0.25">
      <c r="D437" s="8"/>
      <c r="E437" s="8"/>
      <c r="F437" s="3"/>
      <c r="G437" s="9"/>
      <c r="O437" s="3"/>
    </row>
    <row r="438" spans="4:15" x14ac:dyDescent="0.25">
      <c r="D438" s="8"/>
      <c r="E438" s="8"/>
      <c r="F438" s="3"/>
      <c r="G438" s="9"/>
      <c r="O438" s="3"/>
    </row>
    <row r="439" spans="4:15" x14ac:dyDescent="0.25">
      <c r="D439" s="8"/>
      <c r="E439" s="8"/>
      <c r="F439" s="3"/>
      <c r="G439" s="9"/>
      <c r="O439" s="3"/>
    </row>
    <row r="440" spans="4:15" x14ac:dyDescent="0.25">
      <c r="D440" s="8"/>
      <c r="E440" s="8"/>
      <c r="F440" s="3"/>
      <c r="G440" s="9"/>
      <c r="O440" s="3"/>
    </row>
    <row r="441" spans="4:15" x14ac:dyDescent="0.25">
      <c r="D441" s="8"/>
      <c r="E441" s="8"/>
      <c r="F441" s="3"/>
      <c r="G441" s="9"/>
      <c r="O441" s="3"/>
    </row>
    <row r="442" spans="4:15" x14ac:dyDescent="0.25">
      <c r="D442" s="8"/>
      <c r="E442" s="8"/>
      <c r="F442" s="3"/>
      <c r="G442" s="9"/>
      <c r="O442" s="3"/>
    </row>
    <row r="443" spans="4:15" x14ac:dyDescent="0.25">
      <c r="D443" s="8"/>
      <c r="E443" s="8"/>
      <c r="F443" s="3"/>
      <c r="G443" s="9"/>
      <c r="O443" s="3"/>
    </row>
    <row r="444" spans="4:15" x14ac:dyDescent="0.25">
      <c r="D444" s="8"/>
      <c r="E444" s="8"/>
      <c r="F444" s="3"/>
      <c r="G444" s="9"/>
      <c r="O444" s="3"/>
    </row>
    <row r="445" spans="4:15" x14ac:dyDescent="0.25">
      <c r="D445" s="8"/>
      <c r="E445" s="8"/>
      <c r="F445" s="3"/>
      <c r="G445" s="9"/>
      <c r="O445" s="3"/>
    </row>
    <row r="446" spans="4:15" x14ac:dyDescent="0.25">
      <c r="D446" s="8"/>
      <c r="E446" s="8"/>
      <c r="F446" s="3"/>
      <c r="G446" s="9"/>
      <c r="O446" s="3"/>
    </row>
    <row r="447" spans="4:15" x14ac:dyDescent="0.25">
      <c r="D447" s="8"/>
      <c r="E447" s="8"/>
      <c r="F447" s="3"/>
      <c r="G447" s="9"/>
      <c r="O447" s="3"/>
    </row>
    <row r="448" spans="4:15" x14ac:dyDescent="0.25">
      <c r="D448" s="8"/>
      <c r="E448" s="8"/>
      <c r="F448" s="3"/>
      <c r="G448" s="9"/>
      <c r="O448" s="3"/>
    </row>
    <row r="449" spans="4:15" x14ac:dyDescent="0.25">
      <c r="D449" s="8"/>
      <c r="E449" s="8"/>
      <c r="F449" s="3"/>
      <c r="G449" s="9"/>
      <c r="O449" s="3"/>
    </row>
    <row r="450" spans="4:15" x14ac:dyDescent="0.25">
      <c r="D450" s="8"/>
      <c r="E450" s="8"/>
      <c r="F450" s="3"/>
      <c r="G450" s="9"/>
      <c r="O450" s="3"/>
    </row>
    <row r="451" spans="4:15" x14ac:dyDescent="0.25">
      <c r="D451" s="8"/>
      <c r="E451" s="8"/>
      <c r="F451" s="3"/>
      <c r="G451" s="9"/>
      <c r="O451" s="3"/>
    </row>
    <row r="452" spans="4:15" x14ac:dyDescent="0.25">
      <c r="D452" s="8"/>
      <c r="E452" s="8"/>
      <c r="F452" s="3"/>
      <c r="O452" s="3"/>
    </row>
    <row r="453" spans="4:15" x14ac:dyDescent="0.25">
      <c r="D453" s="8"/>
      <c r="E453" s="8"/>
      <c r="F453" s="3"/>
      <c r="G453" s="9"/>
      <c r="O453" s="3"/>
    </row>
    <row r="454" spans="4:15" x14ac:dyDescent="0.25">
      <c r="D454" s="8"/>
      <c r="E454" s="8"/>
      <c r="F454" s="3"/>
      <c r="G454" s="9"/>
      <c r="O454" s="3"/>
    </row>
    <row r="455" spans="4:15" x14ac:dyDescent="0.25">
      <c r="D455" s="8"/>
      <c r="E455" s="8"/>
      <c r="F455" s="3"/>
      <c r="G455" s="9"/>
      <c r="O455" s="3"/>
    </row>
    <row r="456" spans="4:15" x14ac:dyDescent="0.25">
      <c r="D456" s="8"/>
      <c r="E456" s="8"/>
      <c r="F456" s="3"/>
      <c r="G456" s="9"/>
      <c r="O456" s="3"/>
    </row>
    <row r="457" spans="4:15" x14ac:dyDescent="0.25">
      <c r="D457" s="8"/>
      <c r="E457" s="8"/>
      <c r="F457" s="3"/>
      <c r="G457" s="9"/>
      <c r="O457" s="3"/>
    </row>
    <row r="458" spans="4:15" x14ac:dyDescent="0.25">
      <c r="D458" s="8"/>
      <c r="E458" s="8"/>
      <c r="F458" s="3"/>
      <c r="G458" s="9"/>
      <c r="O458" s="3"/>
    </row>
    <row r="459" spans="4:15" x14ac:dyDescent="0.25">
      <c r="D459" s="8"/>
      <c r="E459" s="8"/>
      <c r="F459" s="3"/>
      <c r="G459" s="9"/>
      <c r="O459" s="3"/>
    </row>
    <row r="460" spans="4:15" x14ac:dyDescent="0.25">
      <c r="D460" s="8"/>
      <c r="E460" s="8"/>
      <c r="F460" s="3"/>
      <c r="G460" s="9"/>
      <c r="O460" s="3"/>
    </row>
    <row r="461" spans="4:15" x14ac:dyDescent="0.25">
      <c r="D461" s="8"/>
      <c r="E461" s="8"/>
      <c r="F461" s="3"/>
      <c r="G461" s="9"/>
      <c r="O461" s="3"/>
    </row>
    <row r="462" spans="4:15" x14ac:dyDescent="0.25">
      <c r="D462" s="8"/>
      <c r="E462" s="8"/>
      <c r="F462" s="3"/>
      <c r="G462" s="9"/>
      <c r="O462" s="3"/>
    </row>
    <row r="463" spans="4:15" x14ac:dyDescent="0.25">
      <c r="D463" s="8"/>
      <c r="E463" s="8"/>
      <c r="F463" s="3"/>
      <c r="G463" s="9"/>
      <c r="O463" s="3"/>
    </row>
    <row r="464" spans="4:15" x14ac:dyDescent="0.25">
      <c r="D464" s="8"/>
      <c r="E464" s="8"/>
      <c r="F464" s="3"/>
      <c r="G464" s="9"/>
      <c r="O464" s="3"/>
    </row>
    <row r="465" spans="4:15" x14ac:dyDescent="0.25">
      <c r="D465" s="8"/>
      <c r="E465" s="8"/>
      <c r="F465" s="3"/>
      <c r="G465" s="9"/>
      <c r="O465" s="3"/>
    </row>
    <row r="466" spans="4:15" x14ac:dyDescent="0.25">
      <c r="D466" s="8"/>
      <c r="E466" s="8"/>
      <c r="F466" s="3"/>
      <c r="G466" s="9"/>
      <c r="O466" s="3"/>
    </row>
    <row r="467" spans="4:15" x14ac:dyDescent="0.25">
      <c r="D467" s="8"/>
      <c r="E467" s="8"/>
      <c r="F467" s="3"/>
      <c r="G467" s="9"/>
      <c r="O467" s="3"/>
    </row>
    <row r="468" spans="4:15" x14ac:dyDescent="0.25">
      <c r="D468" s="8"/>
      <c r="E468" s="8"/>
      <c r="F468" s="3"/>
      <c r="G468" s="9"/>
      <c r="O468" s="3"/>
    </row>
    <row r="469" spans="4:15" x14ac:dyDescent="0.25">
      <c r="D469" s="8"/>
      <c r="E469" s="8"/>
      <c r="F469" s="3"/>
      <c r="G469" s="9"/>
      <c r="O469" s="3"/>
    </row>
    <row r="470" spans="4:15" x14ac:dyDescent="0.25">
      <c r="D470" s="8"/>
      <c r="E470" s="8"/>
      <c r="F470" s="3"/>
      <c r="G470" s="9"/>
      <c r="O470" s="3"/>
    </row>
    <row r="471" spans="4:15" x14ac:dyDescent="0.25">
      <c r="D471" s="8"/>
      <c r="E471" s="8"/>
      <c r="F471" s="3"/>
      <c r="G471" s="9"/>
      <c r="O471" s="3"/>
    </row>
    <row r="472" spans="4:15" x14ac:dyDescent="0.25">
      <c r="D472" s="8"/>
      <c r="E472" s="8"/>
      <c r="F472" s="3"/>
      <c r="G472" s="9"/>
      <c r="O472" s="3"/>
    </row>
    <row r="473" spans="4:15" x14ac:dyDescent="0.25">
      <c r="D473" s="8"/>
      <c r="E473" s="8"/>
      <c r="F473" s="3"/>
      <c r="G473" s="9"/>
      <c r="O473" s="3"/>
    </row>
    <row r="474" spans="4:15" x14ac:dyDescent="0.25">
      <c r="D474" s="8"/>
      <c r="E474" s="8"/>
      <c r="F474" s="3"/>
      <c r="G474" s="9"/>
      <c r="O474" s="3"/>
    </row>
    <row r="475" spans="4:15" x14ac:dyDescent="0.25">
      <c r="D475" s="8"/>
      <c r="E475" s="8"/>
      <c r="F475" s="3"/>
      <c r="G475" s="9"/>
      <c r="O475" s="3"/>
    </row>
    <row r="476" spans="4:15" x14ac:dyDescent="0.25">
      <c r="D476" s="8"/>
      <c r="E476" s="8"/>
      <c r="F476" s="3"/>
      <c r="G476" s="9"/>
      <c r="O476" s="3"/>
    </row>
    <row r="477" spans="4:15" x14ac:dyDescent="0.25">
      <c r="D477" s="8"/>
      <c r="E477" s="8"/>
      <c r="F477" s="3"/>
      <c r="O477" s="3"/>
    </row>
    <row r="478" spans="4:15" x14ac:dyDescent="0.25">
      <c r="D478" s="8"/>
      <c r="E478" s="8"/>
      <c r="F478" s="3"/>
      <c r="G478" s="9"/>
      <c r="O478" s="3"/>
    </row>
    <row r="479" spans="4:15" x14ac:dyDescent="0.25">
      <c r="D479" s="8"/>
      <c r="E479" s="8"/>
      <c r="F479" s="3"/>
      <c r="G479" s="9"/>
      <c r="O479" s="3"/>
    </row>
    <row r="480" spans="4:15" x14ac:dyDescent="0.25">
      <c r="D480" s="8"/>
      <c r="E480" s="8"/>
      <c r="F480" s="3"/>
      <c r="G480" s="9"/>
      <c r="O480" s="3"/>
    </row>
    <row r="481" spans="4:15" x14ac:dyDescent="0.25">
      <c r="D481" s="8"/>
      <c r="E481" s="8"/>
      <c r="F481" s="3"/>
      <c r="G481" s="9"/>
      <c r="O481" s="3"/>
    </row>
    <row r="482" spans="4:15" x14ac:dyDescent="0.25">
      <c r="D482" s="8"/>
      <c r="E482" s="8"/>
      <c r="F482" s="3"/>
      <c r="G482" s="9"/>
      <c r="O482" s="3"/>
    </row>
    <row r="483" spans="4:15" x14ac:dyDescent="0.25">
      <c r="D483" s="8"/>
      <c r="E483" s="8"/>
      <c r="F483" s="3"/>
      <c r="G483" s="9"/>
      <c r="O483" s="3"/>
    </row>
    <row r="484" spans="4:15" x14ac:dyDescent="0.25">
      <c r="D484" s="8"/>
      <c r="E484" s="8"/>
      <c r="F484" s="3"/>
      <c r="G484" s="9"/>
      <c r="O484" s="3"/>
    </row>
    <row r="485" spans="4:15" x14ac:dyDescent="0.25">
      <c r="D485" s="8"/>
      <c r="E485" s="8"/>
      <c r="F485" s="3"/>
      <c r="G485" s="9"/>
      <c r="O485" s="3"/>
    </row>
    <row r="486" spans="4:15" x14ac:dyDescent="0.25">
      <c r="D486" s="8"/>
      <c r="E486" s="8"/>
      <c r="F486" s="3"/>
      <c r="G486" s="9"/>
      <c r="O486" s="3"/>
    </row>
    <row r="487" spans="4:15" x14ac:dyDescent="0.25">
      <c r="D487" s="8"/>
      <c r="E487" s="8"/>
      <c r="F487" s="3"/>
      <c r="G487" s="9"/>
      <c r="O487" s="3"/>
    </row>
    <row r="488" spans="4:15" x14ac:dyDescent="0.25">
      <c r="D488" s="8"/>
      <c r="E488" s="8"/>
      <c r="F488" s="3"/>
      <c r="G488" s="9"/>
      <c r="O488" s="3"/>
    </row>
    <row r="489" spans="4:15" x14ac:dyDescent="0.25">
      <c r="D489" s="8"/>
      <c r="E489" s="8"/>
      <c r="F489" s="3"/>
      <c r="G489" s="9"/>
      <c r="O489" s="3"/>
    </row>
    <row r="490" spans="4:15" x14ac:dyDescent="0.25">
      <c r="D490" s="8"/>
      <c r="E490" s="8"/>
      <c r="F490" s="3"/>
      <c r="G490" s="9"/>
      <c r="O490" s="3"/>
    </row>
    <row r="491" spans="4:15" x14ac:dyDescent="0.25">
      <c r="D491" s="8"/>
      <c r="E491" s="8"/>
      <c r="F491" s="3"/>
      <c r="G491" s="9"/>
      <c r="O491" s="3"/>
    </row>
    <row r="492" spans="4:15" x14ac:dyDescent="0.25">
      <c r="D492" s="8"/>
      <c r="E492" s="8"/>
      <c r="F492" s="3"/>
      <c r="G492" s="9"/>
      <c r="O492" s="3"/>
    </row>
    <row r="493" spans="4:15" x14ac:dyDescent="0.25">
      <c r="D493" s="8"/>
      <c r="E493" s="8"/>
      <c r="F493" s="3"/>
      <c r="G493" s="9"/>
      <c r="O493" s="3"/>
    </row>
    <row r="494" spans="4:15" x14ac:dyDescent="0.25">
      <c r="D494" s="8"/>
      <c r="E494" s="8"/>
      <c r="F494" s="3"/>
      <c r="G494" s="9"/>
      <c r="O494" s="3"/>
    </row>
    <row r="495" spans="4:15" x14ac:dyDescent="0.25">
      <c r="D495" s="8"/>
      <c r="E495" s="8"/>
      <c r="F495" s="3"/>
      <c r="G495" s="9"/>
      <c r="O495" s="3"/>
    </row>
    <row r="496" spans="4:15" x14ac:dyDescent="0.25">
      <c r="D496" s="8"/>
      <c r="E496" s="8"/>
      <c r="F496" s="3"/>
      <c r="G496" s="9"/>
      <c r="O496" s="3"/>
    </row>
    <row r="497" spans="4:15" x14ac:dyDescent="0.25">
      <c r="D497" s="8"/>
      <c r="E497" s="8"/>
      <c r="F497" s="3"/>
      <c r="G497" s="9"/>
      <c r="O497" s="3"/>
    </row>
    <row r="498" spans="4:15" x14ac:dyDescent="0.25">
      <c r="D498" s="8"/>
      <c r="E498" s="8"/>
      <c r="F498" s="3"/>
      <c r="G498" s="9"/>
      <c r="O498" s="3"/>
    </row>
    <row r="499" spans="4:15" x14ac:dyDescent="0.25">
      <c r="D499" s="8"/>
      <c r="E499" s="8"/>
      <c r="F499" s="3"/>
      <c r="G499" s="9"/>
      <c r="O499" s="3"/>
    </row>
    <row r="500" spans="4:15" x14ac:dyDescent="0.25">
      <c r="D500" s="8"/>
      <c r="E500" s="8"/>
      <c r="F500" s="3"/>
      <c r="G500" s="9"/>
      <c r="O500" s="3"/>
    </row>
    <row r="501" spans="4:15" x14ac:dyDescent="0.25">
      <c r="D501" s="8"/>
      <c r="E501" s="8"/>
      <c r="F501" s="3"/>
      <c r="G501" s="9"/>
      <c r="O501" s="3"/>
    </row>
    <row r="502" spans="4:15" x14ac:dyDescent="0.25">
      <c r="D502" s="8"/>
      <c r="E502" s="8"/>
      <c r="F502" s="3"/>
      <c r="O502" s="3"/>
    </row>
    <row r="503" spans="4:15" x14ac:dyDescent="0.25">
      <c r="D503" s="8"/>
      <c r="E503" s="8"/>
      <c r="F503" s="3"/>
      <c r="G503" s="9"/>
      <c r="O503" s="3"/>
    </row>
    <row r="504" spans="4:15" x14ac:dyDescent="0.25">
      <c r="D504" s="8"/>
      <c r="E504" s="8"/>
      <c r="F504" s="3"/>
      <c r="G504" s="9"/>
      <c r="O504" s="3"/>
    </row>
    <row r="505" spans="4:15" x14ac:dyDescent="0.25">
      <c r="D505" s="8"/>
      <c r="E505" s="8"/>
      <c r="F505" s="3"/>
      <c r="G505" s="9"/>
      <c r="O505" s="3"/>
    </row>
    <row r="506" spans="4:15" x14ac:dyDescent="0.25">
      <c r="D506" s="8"/>
      <c r="E506" s="8"/>
      <c r="F506" s="3"/>
      <c r="G506" s="9"/>
      <c r="O506" s="3"/>
    </row>
    <row r="507" spans="4:15" x14ac:dyDescent="0.25">
      <c r="D507" s="8"/>
      <c r="E507" s="8"/>
      <c r="F507" s="3"/>
      <c r="G507" s="9"/>
      <c r="O507" s="3"/>
    </row>
    <row r="508" spans="4:15" x14ac:dyDescent="0.25">
      <c r="D508" s="8"/>
      <c r="E508" s="8"/>
      <c r="F508" s="3"/>
      <c r="G508" s="9"/>
      <c r="O508" s="3"/>
    </row>
    <row r="509" spans="4:15" x14ac:dyDescent="0.25">
      <c r="D509" s="8"/>
      <c r="E509" s="8"/>
      <c r="F509" s="3"/>
      <c r="G509" s="9"/>
      <c r="O509" s="3"/>
    </row>
    <row r="510" spans="4:15" x14ac:dyDescent="0.25">
      <c r="D510" s="8"/>
      <c r="E510" s="8"/>
      <c r="F510" s="3"/>
      <c r="G510" s="9"/>
      <c r="O510" s="3"/>
    </row>
    <row r="511" spans="4:15" x14ac:dyDescent="0.25">
      <c r="D511" s="8"/>
      <c r="E511" s="8"/>
      <c r="F511" s="3"/>
      <c r="G511" s="9"/>
      <c r="O511" s="3"/>
    </row>
    <row r="512" spans="4:15" x14ac:dyDescent="0.25">
      <c r="D512" s="8"/>
      <c r="E512" s="8"/>
      <c r="F512" s="3"/>
      <c r="G512" s="9"/>
      <c r="O512" s="3"/>
    </row>
    <row r="513" spans="4:15" x14ac:dyDescent="0.25">
      <c r="D513" s="8"/>
      <c r="E513" s="8"/>
      <c r="F513" s="3"/>
      <c r="G513" s="9"/>
      <c r="O513" s="3"/>
    </row>
    <row r="514" spans="4:15" x14ac:dyDescent="0.25">
      <c r="D514" s="8"/>
      <c r="E514" s="8"/>
      <c r="F514" s="3"/>
      <c r="G514" s="9"/>
      <c r="O514" s="3"/>
    </row>
    <row r="515" spans="4:15" x14ac:dyDescent="0.25">
      <c r="D515" s="8"/>
      <c r="E515" s="8"/>
      <c r="F515" s="3"/>
      <c r="G515" s="9"/>
      <c r="O515" s="3"/>
    </row>
    <row r="516" spans="4:15" x14ac:dyDescent="0.25">
      <c r="D516" s="8"/>
      <c r="E516" s="8"/>
      <c r="F516" s="3"/>
      <c r="G516" s="9"/>
      <c r="O516" s="3"/>
    </row>
    <row r="517" spans="4:15" x14ac:dyDescent="0.25">
      <c r="D517" s="8"/>
      <c r="E517" s="8"/>
      <c r="F517" s="3"/>
      <c r="G517" s="9"/>
      <c r="O517" s="3"/>
    </row>
    <row r="518" spans="4:15" x14ac:dyDescent="0.25">
      <c r="D518" s="8"/>
      <c r="E518" s="8"/>
      <c r="F518" s="3"/>
      <c r="G518" s="9"/>
      <c r="O518" s="3"/>
    </row>
    <row r="519" spans="4:15" x14ac:dyDescent="0.25">
      <c r="D519" s="8"/>
      <c r="E519" s="8"/>
      <c r="F519" s="3"/>
      <c r="G519" s="9"/>
      <c r="O519" s="3"/>
    </row>
    <row r="520" spans="4:15" x14ac:dyDescent="0.25">
      <c r="D520" s="8"/>
      <c r="E520" s="8"/>
      <c r="F520" s="3"/>
      <c r="G520" s="9"/>
      <c r="O520" s="3"/>
    </row>
    <row r="521" spans="4:15" x14ac:dyDescent="0.25">
      <c r="D521" s="8"/>
      <c r="E521" s="8"/>
      <c r="F521" s="3"/>
      <c r="G521" s="9"/>
      <c r="O521" s="3"/>
    </row>
    <row r="522" spans="4:15" x14ac:dyDescent="0.25">
      <c r="D522" s="8"/>
      <c r="E522" s="8"/>
      <c r="F522" s="3"/>
      <c r="G522" s="9"/>
      <c r="O522" s="3"/>
    </row>
    <row r="523" spans="4:15" x14ac:dyDescent="0.25">
      <c r="D523" s="8"/>
      <c r="E523" s="8"/>
      <c r="F523" s="3"/>
      <c r="G523" s="9"/>
      <c r="O523" s="3"/>
    </row>
    <row r="524" spans="4:15" x14ac:dyDescent="0.25">
      <c r="D524" s="8"/>
      <c r="E524" s="8"/>
      <c r="F524" s="3"/>
      <c r="G524" s="9"/>
      <c r="O524" s="3"/>
    </row>
    <row r="525" spans="4:15" x14ac:dyDescent="0.25">
      <c r="D525" s="8"/>
      <c r="E525" s="8"/>
      <c r="F525" s="3"/>
      <c r="G525" s="9"/>
      <c r="O525" s="3"/>
    </row>
    <row r="526" spans="4:15" x14ac:dyDescent="0.25">
      <c r="D526" s="8"/>
      <c r="E526" s="8"/>
      <c r="F526" s="3"/>
      <c r="G526" s="9"/>
      <c r="O526" s="3"/>
    </row>
    <row r="527" spans="4:15" x14ac:dyDescent="0.25">
      <c r="D527" s="8"/>
      <c r="E527" s="8"/>
      <c r="F527" s="3"/>
      <c r="O527" s="3"/>
    </row>
    <row r="528" spans="4:15" x14ac:dyDescent="0.25">
      <c r="D528" s="8"/>
      <c r="E528" s="8"/>
      <c r="F528" s="3"/>
      <c r="G528" s="9"/>
      <c r="O528" s="3"/>
    </row>
    <row r="529" spans="4:15" x14ac:dyDescent="0.25">
      <c r="D529" s="8"/>
      <c r="E529" s="8"/>
      <c r="F529" s="3"/>
      <c r="G529" s="9"/>
      <c r="O529" s="3"/>
    </row>
    <row r="530" spans="4:15" x14ac:dyDescent="0.25">
      <c r="D530" s="8"/>
      <c r="E530" s="8"/>
      <c r="F530" s="3"/>
      <c r="G530" s="9"/>
      <c r="O530" s="3"/>
    </row>
    <row r="531" spans="4:15" x14ac:dyDescent="0.25">
      <c r="D531" s="8"/>
      <c r="E531" s="8"/>
      <c r="F531" s="3"/>
      <c r="G531" s="9"/>
      <c r="O531" s="3"/>
    </row>
    <row r="532" spans="4:15" x14ac:dyDescent="0.25">
      <c r="D532" s="8"/>
      <c r="E532" s="8"/>
      <c r="F532" s="3"/>
      <c r="G532" s="9"/>
      <c r="O532" s="3"/>
    </row>
    <row r="533" spans="4:15" x14ac:dyDescent="0.25">
      <c r="D533" s="8"/>
      <c r="E533" s="8"/>
      <c r="F533" s="3"/>
      <c r="G533" s="9"/>
      <c r="O533" s="3"/>
    </row>
    <row r="534" spans="4:15" x14ac:dyDescent="0.25">
      <c r="D534" s="8"/>
      <c r="E534" s="8"/>
      <c r="F534" s="3"/>
      <c r="G534" s="9"/>
      <c r="O534" s="3"/>
    </row>
    <row r="535" spans="4:15" x14ac:dyDescent="0.25">
      <c r="D535" s="8"/>
      <c r="E535" s="8"/>
      <c r="F535" s="3"/>
      <c r="G535" s="9"/>
      <c r="O535" s="3"/>
    </row>
    <row r="536" spans="4:15" x14ac:dyDescent="0.25">
      <c r="D536" s="8"/>
      <c r="E536" s="8"/>
      <c r="F536" s="3"/>
      <c r="G536" s="9"/>
      <c r="O536" s="3"/>
    </row>
    <row r="537" spans="4:15" x14ac:dyDescent="0.25">
      <c r="D537" s="8"/>
      <c r="E537" s="8"/>
      <c r="F537" s="3"/>
      <c r="G537" s="9"/>
      <c r="O537" s="3"/>
    </row>
    <row r="538" spans="4:15" x14ac:dyDescent="0.25">
      <c r="D538" s="8"/>
      <c r="E538" s="8"/>
      <c r="F538" s="3"/>
      <c r="G538" s="9"/>
      <c r="O538" s="3"/>
    </row>
    <row r="539" spans="4:15" x14ac:dyDescent="0.25">
      <c r="D539" s="8"/>
      <c r="E539" s="8"/>
      <c r="F539" s="3"/>
      <c r="G539" s="9"/>
      <c r="O539" s="3"/>
    </row>
    <row r="540" spans="4:15" x14ac:dyDescent="0.25">
      <c r="D540" s="8"/>
      <c r="E540" s="8"/>
      <c r="F540" s="3"/>
      <c r="G540" s="9"/>
      <c r="O540" s="3"/>
    </row>
    <row r="541" spans="4:15" x14ac:dyDescent="0.25">
      <c r="D541" s="8"/>
      <c r="E541" s="8"/>
      <c r="F541" s="3"/>
      <c r="G541" s="9"/>
      <c r="O541" s="3"/>
    </row>
    <row r="542" spans="4:15" x14ac:dyDescent="0.25">
      <c r="D542" s="8"/>
      <c r="E542" s="8"/>
      <c r="F542" s="3"/>
      <c r="G542" s="9"/>
      <c r="O542" s="3"/>
    </row>
    <row r="543" spans="4:15" x14ac:dyDescent="0.25">
      <c r="D543" s="8"/>
      <c r="E543" s="8"/>
      <c r="F543" s="3"/>
      <c r="G543" s="9"/>
      <c r="O543" s="3"/>
    </row>
    <row r="544" spans="4:15" x14ac:dyDescent="0.25">
      <c r="D544" s="8"/>
      <c r="E544" s="8"/>
      <c r="F544" s="3"/>
      <c r="G544" s="9"/>
      <c r="O544" s="3"/>
    </row>
    <row r="545" spans="4:15" x14ac:dyDescent="0.25">
      <c r="D545" s="8"/>
      <c r="E545" s="8"/>
      <c r="F545" s="3"/>
      <c r="G545" s="9"/>
      <c r="O545" s="3"/>
    </row>
    <row r="546" spans="4:15" x14ac:dyDescent="0.25">
      <c r="D546" s="8"/>
      <c r="E546" s="8"/>
      <c r="F546" s="3"/>
      <c r="G546" s="9"/>
      <c r="O546" s="3"/>
    </row>
    <row r="547" spans="4:15" x14ac:dyDescent="0.25">
      <c r="D547" s="8"/>
      <c r="E547" s="8"/>
      <c r="F547" s="3"/>
      <c r="G547" s="9"/>
      <c r="O547" s="3"/>
    </row>
    <row r="548" spans="4:15" x14ac:dyDescent="0.25">
      <c r="D548" s="8"/>
      <c r="E548" s="8"/>
      <c r="F548" s="3"/>
      <c r="G548" s="9"/>
      <c r="O548" s="3"/>
    </row>
    <row r="549" spans="4:15" x14ac:dyDescent="0.25">
      <c r="D549" s="8"/>
      <c r="E549" s="8"/>
      <c r="F549" s="3"/>
      <c r="G549" s="9"/>
      <c r="O549" s="3"/>
    </row>
    <row r="550" spans="4:15" x14ac:dyDescent="0.25">
      <c r="D550" s="8"/>
      <c r="E550" s="8"/>
      <c r="F550" s="3"/>
      <c r="G550" s="9"/>
      <c r="O550" s="3"/>
    </row>
    <row r="551" spans="4:15" x14ac:dyDescent="0.25">
      <c r="D551" s="8"/>
      <c r="E551" s="8"/>
      <c r="F551" s="3"/>
      <c r="G551" s="9"/>
      <c r="O551" s="3"/>
    </row>
    <row r="552" spans="4:15" x14ac:dyDescent="0.25">
      <c r="D552" s="8"/>
      <c r="E552" s="8"/>
      <c r="F552" s="3"/>
      <c r="O552" s="3"/>
    </row>
    <row r="553" spans="4:15" x14ac:dyDescent="0.25">
      <c r="D553" s="8"/>
      <c r="E553" s="8"/>
      <c r="F553" s="3"/>
      <c r="G553" s="9"/>
      <c r="O553" s="3"/>
    </row>
    <row r="554" spans="4:15" x14ac:dyDescent="0.25">
      <c r="D554" s="8"/>
      <c r="E554" s="8"/>
      <c r="F554" s="3"/>
      <c r="G554" s="9"/>
      <c r="O554" s="3"/>
    </row>
    <row r="555" spans="4:15" x14ac:dyDescent="0.25">
      <c r="D555" s="8"/>
      <c r="E555" s="8"/>
      <c r="F555" s="3"/>
      <c r="G555" s="9"/>
      <c r="O555" s="3"/>
    </row>
    <row r="556" spans="4:15" x14ac:dyDescent="0.25">
      <c r="D556" s="8"/>
      <c r="E556" s="8"/>
      <c r="F556" s="3"/>
      <c r="G556" s="9"/>
      <c r="O556" s="3"/>
    </row>
    <row r="557" spans="4:15" x14ac:dyDescent="0.25">
      <c r="D557" s="8"/>
      <c r="E557" s="8"/>
      <c r="F557" s="3"/>
      <c r="G557" s="9"/>
      <c r="O557" s="3"/>
    </row>
    <row r="558" spans="4:15" x14ac:dyDescent="0.25">
      <c r="D558" s="8"/>
      <c r="E558" s="8"/>
      <c r="F558" s="3"/>
      <c r="G558" s="9"/>
      <c r="O558" s="3"/>
    </row>
    <row r="559" spans="4:15" x14ac:dyDescent="0.25">
      <c r="D559" s="8"/>
      <c r="E559" s="8"/>
      <c r="F559" s="3"/>
      <c r="G559" s="9"/>
      <c r="O559" s="3"/>
    </row>
    <row r="560" spans="4:15" x14ac:dyDescent="0.25">
      <c r="D560" s="8"/>
      <c r="E560" s="8"/>
      <c r="F560" s="3"/>
      <c r="G560" s="9"/>
      <c r="O560" s="3"/>
    </row>
    <row r="561" spans="4:15" x14ac:dyDescent="0.25">
      <c r="D561" s="8"/>
      <c r="E561" s="8"/>
      <c r="F561" s="3"/>
      <c r="G561" s="9"/>
      <c r="O561" s="3"/>
    </row>
    <row r="562" spans="4:15" x14ac:dyDescent="0.25">
      <c r="D562" s="8"/>
      <c r="E562" s="8"/>
      <c r="F562" s="3"/>
      <c r="G562" s="9"/>
      <c r="O562" s="3"/>
    </row>
    <row r="563" spans="4:15" x14ac:dyDescent="0.25">
      <c r="D563" s="8"/>
      <c r="E563" s="8"/>
      <c r="F563" s="3"/>
      <c r="G563" s="9"/>
      <c r="O563" s="3"/>
    </row>
    <row r="564" spans="4:15" x14ac:dyDescent="0.25">
      <c r="D564" s="8"/>
      <c r="E564" s="8"/>
      <c r="F564" s="3"/>
      <c r="G564" s="9"/>
      <c r="O564" s="3"/>
    </row>
    <row r="565" spans="4:15" x14ac:dyDescent="0.25">
      <c r="D565" s="8"/>
      <c r="E565" s="8"/>
      <c r="F565" s="3"/>
      <c r="G565" s="9"/>
      <c r="O565" s="3"/>
    </row>
    <row r="566" spans="4:15" x14ac:dyDescent="0.25">
      <c r="D566" s="8"/>
      <c r="E566" s="8"/>
      <c r="F566" s="3"/>
      <c r="G566" s="9"/>
      <c r="O566" s="3"/>
    </row>
    <row r="567" spans="4:15" x14ac:dyDescent="0.25">
      <c r="D567" s="8"/>
      <c r="E567" s="8"/>
      <c r="F567" s="3"/>
      <c r="G567" s="9"/>
      <c r="O567" s="3"/>
    </row>
    <row r="568" spans="4:15" x14ac:dyDescent="0.25">
      <c r="D568" s="8"/>
      <c r="E568" s="8"/>
      <c r="F568" s="3"/>
      <c r="G568" s="9"/>
      <c r="O568" s="3"/>
    </row>
    <row r="569" spans="4:15" x14ac:dyDescent="0.25">
      <c r="D569" s="8"/>
      <c r="E569" s="8"/>
      <c r="F569" s="3"/>
      <c r="G569" s="9"/>
      <c r="O569" s="3"/>
    </row>
    <row r="570" spans="4:15" x14ac:dyDescent="0.25">
      <c r="D570" s="8"/>
      <c r="E570" s="8"/>
      <c r="F570" s="3"/>
      <c r="G570" s="9"/>
      <c r="O570" s="3"/>
    </row>
    <row r="571" spans="4:15" x14ac:dyDescent="0.25">
      <c r="D571" s="8"/>
      <c r="E571" s="8"/>
      <c r="F571" s="3"/>
      <c r="G571" s="9"/>
      <c r="O571" s="3"/>
    </row>
    <row r="572" spans="4:15" x14ac:dyDescent="0.25">
      <c r="D572" s="8"/>
      <c r="E572" s="8"/>
      <c r="F572" s="3"/>
      <c r="G572" s="9"/>
      <c r="O572" s="3"/>
    </row>
    <row r="573" spans="4:15" x14ac:dyDescent="0.25">
      <c r="D573" s="8"/>
      <c r="E573" s="8"/>
      <c r="F573" s="3"/>
      <c r="G573" s="9"/>
      <c r="O573" s="3"/>
    </row>
    <row r="574" spans="4:15" x14ac:dyDescent="0.25">
      <c r="D574" s="8"/>
      <c r="E574" s="8"/>
      <c r="F574" s="3"/>
      <c r="G574" s="9"/>
      <c r="O574" s="3"/>
    </row>
    <row r="575" spans="4:15" x14ac:dyDescent="0.25">
      <c r="D575" s="8"/>
      <c r="E575" s="8"/>
      <c r="F575" s="3"/>
      <c r="G575" s="9"/>
      <c r="O575" s="3"/>
    </row>
    <row r="576" spans="4:15" x14ac:dyDescent="0.25">
      <c r="D576" s="8"/>
      <c r="E576" s="8"/>
      <c r="F576" s="3"/>
      <c r="G576" s="9"/>
      <c r="O576" s="3"/>
    </row>
    <row r="577" spans="4:15" x14ac:dyDescent="0.25">
      <c r="D577" s="8"/>
      <c r="E577" s="8"/>
      <c r="F577" s="3"/>
      <c r="O577" s="3"/>
    </row>
    <row r="578" spans="4:15" x14ac:dyDescent="0.25">
      <c r="D578" s="8"/>
      <c r="E578" s="8"/>
      <c r="F578" s="3"/>
      <c r="G578" s="9"/>
      <c r="O578" s="3"/>
    </row>
    <row r="579" spans="4:15" x14ac:dyDescent="0.25">
      <c r="D579" s="8"/>
      <c r="E579" s="8"/>
      <c r="F579" s="3"/>
      <c r="G579" s="9"/>
      <c r="O579" s="3"/>
    </row>
    <row r="580" spans="4:15" x14ac:dyDescent="0.25">
      <c r="D580" s="8"/>
      <c r="E580" s="8"/>
      <c r="F580" s="3"/>
      <c r="G580" s="9"/>
      <c r="O580" s="3"/>
    </row>
    <row r="581" spans="4:15" x14ac:dyDescent="0.25">
      <c r="D581" s="8"/>
      <c r="E581" s="8"/>
      <c r="F581" s="3"/>
      <c r="G581" s="9"/>
      <c r="O581" s="3"/>
    </row>
    <row r="582" spans="4:15" x14ac:dyDescent="0.25">
      <c r="D582" s="8"/>
      <c r="E582" s="8"/>
      <c r="F582" s="3"/>
      <c r="G582" s="9"/>
      <c r="O582" s="3"/>
    </row>
    <row r="583" spans="4:15" x14ac:dyDescent="0.25">
      <c r="D583" s="8"/>
      <c r="E583" s="8"/>
      <c r="F583" s="3"/>
      <c r="G583" s="9"/>
      <c r="O583" s="3"/>
    </row>
    <row r="584" spans="4:15" x14ac:dyDescent="0.25">
      <c r="D584" s="8"/>
      <c r="E584" s="8"/>
      <c r="F584" s="3"/>
      <c r="G584" s="9"/>
      <c r="O584" s="3"/>
    </row>
    <row r="585" spans="4:15" x14ac:dyDescent="0.25">
      <c r="D585" s="8"/>
      <c r="E585" s="8"/>
      <c r="F585" s="3"/>
      <c r="G585" s="9"/>
      <c r="O585" s="3"/>
    </row>
    <row r="586" spans="4:15" x14ac:dyDescent="0.25">
      <c r="D586" s="8"/>
      <c r="E586" s="8"/>
      <c r="F586" s="3"/>
      <c r="G586" s="9"/>
      <c r="O586" s="3"/>
    </row>
    <row r="587" spans="4:15" x14ac:dyDescent="0.25">
      <c r="D587" s="8"/>
      <c r="E587" s="8"/>
      <c r="F587" s="3"/>
      <c r="G587" s="9"/>
      <c r="O587" s="3"/>
    </row>
    <row r="588" spans="4:15" x14ac:dyDescent="0.25">
      <c r="D588" s="8"/>
      <c r="E588" s="8"/>
      <c r="F588" s="3"/>
      <c r="G588" s="9"/>
      <c r="O588" s="3"/>
    </row>
    <row r="589" spans="4:15" x14ac:dyDescent="0.25">
      <c r="D589" s="8"/>
      <c r="E589" s="8"/>
      <c r="F589" s="3"/>
      <c r="G589" s="9"/>
      <c r="O589" s="3"/>
    </row>
    <row r="590" spans="4:15" x14ac:dyDescent="0.25">
      <c r="D590" s="8"/>
      <c r="E590" s="8"/>
      <c r="F590" s="3"/>
      <c r="G590" s="9"/>
      <c r="O590" s="3"/>
    </row>
    <row r="591" spans="4:15" x14ac:dyDescent="0.25">
      <c r="D591" s="8"/>
      <c r="E591" s="8"/>
      <c r="F591" s="3"/>
      <c r="G591" s="9"/>
      <c r="O591" s="3"/>
    </row>
    <row r="592" spans="4:15" x14ac:dyDescent="0.25">
      <c r="D592" s="8"/>
      <c r="E592" s="8"/>
      <c r="F592" s="3"/>
      <c r="G592" s="9"/>
      <c r="O592" s="3"/>
    </row>
    <row r="593" spans="4:15" x14ac:dyDescent="0.25">
      <c r="D593" s="8"/>
      <c r="E593" s="8"/>
      <c r="F593" s="3"/>
      <c r="G593" s="9"/>
      <c r="O593" s="3"/>
    </row>
    <row r="594" spans="4:15" x14ac:dyDescent="0.25">
      <c r="D594" s="8"/>
      <c r="E594" s="8"/>
      <c r="F594" s="3"/>
      <c r="G594" s="9"/>
      <c r="O594" s="3"/>
    </row>
    <row r="595" spans="4:15" x14ac:dyDescent="0.25">
      <c r="D595" s="8"/>
      <c r="E595" s="8"/>
      <c r="F595" s="3"/>
      <c r="G595" s="9"/>
      <c r="O595" s="3"/>
    </row>
    <row r="596" spans="4:15" x14ac:dyDescent="0.25">
      <c r="D596" s="8"/>
      <c r="E596" s="8"/>
      <c r="F596" s="3"/>
      <c r="G596" s="9"/>
      <c r="O596" s="3"/>
    </row>
    <row r="597" spans="4:15" x14ac:dyDescent="0.25">
      <c r="D597" s="8"/>
      <c r="E597" s="8"/>
      <c r="F597" s="3"/>
      <c r="G597" s="9"/>
      <c r="O597" s="3"/>
    </row>
    <row r="598" spans="4:15" x14ac:dyDescent="0.25">
      <c r="D598" s="8"/>
      <c r="E598" s="8"/>
      <c r="F598" s="3"/>
      <c r="G598" s="9"/>
      <c r="O598" s="3"/>
    </row>
    <row r="599" spans="4:15" x14ac:dyDescent="0.25">
      <c r="D599" s="8"/>
      <c r="E599" s="8"/>
      <c r="F599" s="3"/>
      <c r="G599" s="9"/>
      <c r="O599" s="3"/>
    </row>
    <row r="600" spans="4:15" x14ac:dyDescent="0.25">
      <c r="D600" s="8"/>
      <c r="E600" s="8"/>
      <c r="F600" s="3"/>
      <c r="G600" s="9"/>
      <c r="O600" s="3"/>
    </row>
    <row r="601" spans="4:15" x14ac:dyDescent="0.25">
      <c r="D601" s="8"/>
      <c r="E601" s="8"/>
      <c r="F601" s="3"/>
      <c r="G601" s="9"/>
      <c r="O601" s="3"/>
    </row>
    <row r="602" spans="4:15" x14ac:dyDescent="0.25">
      <c r="D602" s="8"/>
      <c r="E602" s="8"/>
      <c r="F602" s="3"/>
      <c r="O602" s="3"/>
    </row>
    <row r="603" spans="4:15" x14ac:dyDescent="0.25">
      <c r="D603" s="8"/>
      <c r="E603" s="8"/>
      <c r="F603" s="3"/>
      <c r="G603" s="9"/>
      <c r="O603" s="3"/>
    </row>
    <row r="604" spans="4:15" x14ac:dyDescent="0.25">
      <c r="D604" s="8"/>
      <c r="E604" s="8"/>
      <c r="F604" s="3"/>
      <c r="G604" s="9"/>
      <c r="O604" s="3"/>
    </row>
    <row r="605" spans="4:15" x14ac:dyDescent="0.25">
      <c r="D605" s="8"/>
      <c r="E605" s="8"/>
      <c r="F605" s="3"/>
      <c r="G605" s="9"/>
      <c r="O605" s="3"/>
    </row>
    <row r="606" spans="4:15" x14ac:dyDescent="0.25">
      <c r="D606" s="8"/>
      <c r="E606" s="8"/>
      <c r="F606" s="3"/>
      <c r="G606" s="9"/>
      <c r="O606" s="3"/>
    </row>
    <row r="607" spans="4:15" x14ac:dyDescent="0.25">
      <c r="D607" s="8"/>
      <c r="E607" s="8"/>
      <c r="F607" s="3"/>
      <c r="G607" s="9"/>
      <c r="O607" s="3"/>
    </row>
    <row r="608" spans="4:15" x14ac:dyDescent="0.25">
      <c r="D608" s="8"/>
      <c r="E608" s="8"/>
      <c r="F608" s="3"/>
      <c r="G608" s="9"/>
      <c r="O608" s="3"/>
    </row>
    <row r="609" spans="4:15" x14ac:dyDescent="0.25">
      <c r="D609" s="8"/>
      <c r="E609" s="8"/>
      <c r="F609" s="3"/>
      <c r="G609" s="9"/>
      <c r="O609" s="3"/>
    </row>
    <row r="610" spans="4:15" x14ac:dyDescent="0.25">
      <c r="D610" s="8"/>
      <c r="E610" s="8"/>
      <c r="F610" s="3"/>
      <c r="G610" s="9"/>
      <c r="O610" s="3"/>
    </row>
    <row r="611" spans="4:15" x14ac:dyDescent="0.25">
      <c r="D611" s="8"/>
      <c r="E611" s="8"/>
      <c r="F611" s="3"/>
      <c r="G611" s="9"/>
      <c r="O611" s="3"/>
    </row>
    <row r="612" spans="4:15" x14ac:dyDescent="0.25">
      <c r="D612" s="8"/>
      <c r="E612" s="8"/>
      <c r="F612" s="3"/>
      <c r="G612" s="9"/>
      <c r="O612" s="3"/>
    </row>
    <row r="613" spans="4:15" x14ac:dyDescent="0.25">
      <c r="D613" s="8"/>
      <c r="E613" s="8"/>
      <c r="F613" s="3"/>
      <c r="G613" s="9"/>
      <c r="O613" s="3"/>
    </row>
    <row r="614" spans="4:15" x14ac:dyDescent="0.25">
      <c r="D614" s="8"/>
      <c r="E614" s="8"/>
      <c r="F614" s="3"/>
      <c r="G614" s="9"/>
      <c r="O614" s="3"/>
    </row>
    <row r="615" spans="4:15" x14ac:dyDescent="0.25">
      <c r="D615" s="8"/>
      <c r="E615" s="8"/>
      <c r="F615" s="3"/>
      <c r="G615" s="9"/>
      <c r="O615" s="3"/>
    </row>
    <row r="616" spans="4:15" x14ac:dyDescent="0.25">
      <c r="D616" s="8"/>
      <c r="E616" s="8"/>
      <c r="F616" s="3"/>
      <c r="G616" s="9"/>
      <c r="O616" s="3"/>
    </row>
    <row r="617" spans="4:15" x14ac:dyDescent="0.25">
      <c r="D617" s="8"/>
      <c r="E617" s="8"/>
      <c r="F617" s="3"/>
      <c r="G617" s="9"/>
      <c r="O617" s="3"/>
    </row>
    <row r="618" spans="4:15" x14ac:dyDescent="0.25">
      <c r="D618" s="8"/>
      <c r="E618" s="8"/>
      <c r="F618" s="3"/>
      <c r="G618" s="9"/>
      <c r="O618" s="3"/>
    </row>
    <row r="619" spans="4:15" x14ac:dyDescent="0.25">
      <c r="D619" s="8"/>
      <c r="E619" s="8"/>
      <c r="F619" s="3"/>
      <c r="G619" s="9"/>
      <c r="O619" s="3"/>
    </row>
    <row r="620" spans="4:15" x14ac:dyDescent="0.25">
      <c r="D620" s="8"/>
      <c r="E620" s="8"/>
      <c r="F620" s="3"/>
      <c r="G620" s="9"/>
      <c r="O620" s="3"/>
    </row>
    <row r="621" spans="4:15" x14ac:dyDescent="0.25">
      <c r="D621" s="8"/>
      <c r="E621" s="8"/>
      <c r="F621" s="3"/>
      <c r="G621" s="9"/>
      <c r="O621" s="3"/>
    </row>
    <row r="622" spans="4:15" x14ac:dyDescent="0.25">
      <c r="D622" s="8"/>
      <c r="E622" s="8"/>
      <c r="F622" s="3"/>
      <c r="G622" s="9"/>
      <c r="O622" s="3"/>
    </row>
    <row r="623" spans="4:15" x14ac:dyDescent="0.25">
      <c r="D623" s="8"/>
      <c r="E623" s="8"/>
      <c r="F623" s="3"/>
      <c r="G623" s="9"/>
      <c r="O623" s="3"/>
    </row>
    <row r="624" spans="4:15" x14ac:dyDescent="0.25">
      <c r="D624" s="8"/>
      <c r="E624" s="8"/>
      <c r="F624" s="3"/>
      <c r="G624" s="9"/>
      <c r="O624" s="3"/>
    </row>
    <row r="625" spans="4:15" x14ac:dyDescent="0.25">
      <c r="D625" s="8"/>
      <c r="E625" s="8"/>
      <c r="F625" s="3"/>
      <c r="G625" s="9"/>
      <c r="O625" s="3"/>
    </row>
    <row r="626" spans="4:15" x14ac:dyDescent="0.25">
      <c r="D626" s="8"/>
      <c r="E626" s="8"/>
      <c r="F626" s="3"/>
      <c r="G626" s="9"/>
      <c r="O626" s="3"/>
    </row>
    <row r="627" spans="4:15" x14ac:dyDescent="0.25">
      <c r="D627" s="8"/>
      <c r="E627" s="8"/>
      <c r="F627" s="3"/>
      <c r="O627" s="3"/>
    </row>
    <row r="628" spans="4:15" x14ac:dyDescent="0.25">
      <c r="D628" s="8"/>
      <c r="E628" s="8"/>
      <c r="F628" s="3"/>
      <c r="G628" s="9"/>
      <c r="O628" s="3"/>
    </row>
    <row r="629" spans="4:15" x14ac:dyDescent="0.25">
      <c r="D629" s="8"/>
      <c r="E629" s="8"/>
      <c r="F629" s="3"/>
      <c r="G629" s="9"/>
      <c r="O629" s="3"/>
    </row>
    <row r="630" spans="4:15" x14ac:dyDescent="0.25">
      <c r="D630" s="8"/>
      <c r="E630" s="8"/>
      <c r="F630" s="3"/>
      <c r="G630" s="9"/>
      <c r="O630" s="3"/>
    </row>
    <row r="631" spans="4:15" x14ac:dyDescent="0.25">
      <c r="D631" s="8"/>
      <c r="E631" s="8"/>
      <c r="F631" s="3"/>
      <c r="G631" s="9"/>
      <c r="O631" s="3"/>
    </row>
    <row r="632" spans="4:15" x14ac:dyDescent="0.25">
      <c r="D632" s="8"/>
      <c r="E632" s="8"/>
      <c r="F632" s="3"/>
      <c r="G632" s="9"/>
      <c r="O632" s="3"/>
    </row>
    <row r="633" spans="4:15" x14ac:dyDescent="0.25">
      <c r="D633" s="8"/>
      <c r="E633" s="8"/>
      <c r="F633" s="3"/>
      <c r="G633" s="9"/>
      <c r="O633" s="3"/>
    </row>
    <row r="634" spans="4:15" x14ac:dyDescent="0.25">
      <c r="D634" s="8"/>
      <c r="E634" s="8"/>
      <c r="F634" s="3"/>
      <c r="G634" s="9"/>
      <c r="O634" s="3"/>
    </row>
    <row r="635" spans="4:15" x14ac:dyDescent="0.25">
      <c r="D635" s="8"/>
      <c r="E635" s="8"/>
      <c r="F635" s="3"/>
      <c r="G635" s="9"/>
      <c r="O635" s="3"/>
    </row>
    <row r="636" spans="4:15" x14ac:dyDescent="0.25">
      <c r="D636" s="8"/>
      <c r="E636" s="8"/>
      <c r="F636" s="3"/>
      <c r="G636" s="9"/>
      <c r="O636" s="3"/>
    </row>
    <row r="637" spans="4:15" x14ac:dyDescent="0.25">
      <c r="D637" s="8"/>
      <c r="E637" s="8"/>
      <c r="F637" s="3"/>
      <c r="G637" s="9"/>
      <c r="O637" s="3"/>
    </row>
    <row r="638" spans="4:15" x14ac:dyDescent="0.25">
      <c r="D638" s="8"/>
      <c r="E638" s="8"/>
      <c r="F638" s="3"/>
      <c r="G638" s="9"/>
      <c r="O638" s="3"/>
    </row>
    <row r="639" spans="4:15" x14ac:dyDescent="0.25">
      <c r="D639" s="8"/>
      <c r="E639" s="8"/>
      <c r="F639" s="3"/>
      <c r="G639" s="9"/>
      <c r="O639" s="3"/>
    </row>
    <row r="640" spans="4:15" x14ac:dyDescent="0.25">
      <c r="D640" s="8"/>
      <c r="E640" s="8"/>
      <c r="F640" s="3"/>
      <c r="G640" s="9"/>
      <c r="O640" s="3"/>
    </row>
    <row r="641" spans="4:15" x14ac:dyDescent="0.25">
      <c r="D641" s="8"/>
      <c r="E641" s="8"/>
      <c r="F641" s="3"/>
      <c r="G641" s="9"/>
      <c r="O641" s="3"/>
    </row>
    <row r="642" spans="4:15" x14ac:dyDescent="0.25">
      <c r="D642" s="8"/>
      <c r="E642" s="8"/>
      <c r="F642" s="3"/>
      <c r="G642" s="9"/>
      <c r="O642" s="3"/>
    </row>
    <row r="643" spans="4:15" x14ac:dyDescent="0.25">
      <c r="D643" s="8"/>
      <c r="E643" s="8"/>
      <c r="F643" s="3"/>
      <c r="G643" s="9"/>
      <c r="O643" s="3"/>
    </row>
    <row r="644" spans="4:15" x14ac:dyDescent="0.25">
      <c r="D644" s="8"/>
      <c r="E644" s="8"/>
      <c r="F644" s="3"/>
      <c r="G644" s="9"/>
      <c r="O644" s="3"/>
    </row>
    <row r="645" spans="4:15" x14ac:dyDescent="0.25">
      <c r="D645" s="8"/>
      <c r="E645" s="8"/>
      <c r="F645" s="3"/>
      <c r="G645" s="9"/>
      <c r="O645" s="3"/>
    </row>
    <row r="646" spans="4:15" x14ac:dyDescent="0.25">
      <c r="D646" s="8"/>
      <c r="E646" s="8"/>
      <c r="F646" s="3"/>
      <c r="G646" s="9"/>
      <c r="O646" s="3"/>
    </row>
    <row r="647" spans="4:15" x14ac:dyDescent="0.25">
      <c r="D647" s="8"/>
      <c r="E647" s="8"/>
      <c r="F647" s="3"/>
      <c r="G647" s="9"/>
      <c r="O647" s="3"/>
    </row>
    <row r="648" spans="4:15" x14ac:dyDescent="0.25">
      <c r="D648" s="8"/>
      <c r="E648" s="8"/>
      <c r="F648" s="3"/>
      <c r="G648" s="9"/>
      <c r="O648" s="3"/>
    </row>
    <row r="649" spans="4:15" x14ac:dyDescent="0.25">
      <c r="D649" s="8"/>
      <c r="E649" s="8"/>
      <c r="F649" s="3"/>
      <c r="G649" s="9"/>
      <c r="O649" s="3"/>
    </row>
    <row r="650" spans="4:15" x14ac:dyDescent="0.25">
      <c r="D650" s="8"/>
      <c r="E650" s="8"/>
      <c r="F650" s="3"/>
      <c r="G650" s="9"/>
      <c r="O650" s="3"/>
    </row>
    <row r="651" spans="4:15" x14ac:dyDescent="0.25">
      <c r="D651" s="8"/>
      <c r="E651" s="8"/>
      <c r="F651" s="3"/>
      <c r="G651" s="9"/>
      <c r="O651" s="3"/>
    </row>
    <row r="652" spans="4:15" x14ac:dyDescent="0.25">
      <c r="D652" s="8"/>
      <c r="E652" s="8"/>
      <c r="F652" s="3"/>
      <c r="O652" s="3"/>
    </row>
    <row r="653" spans="4:15" x14ac:dyDescent="0.25">
      <c r="D653" s="8"/>
      <c r="E653" s="8"/>
      <c r="F653" s="3"/>
      <c r="G653" s="9"/>
      <c r="O653" s="3"/>
    </row>
    <row r="654" spans="4:15" x14ac:dyDescent="0.25">
      <c r="D654" s="8"/>
      <c r="E654" s="8"/>
      <c r="F654" s="3"/>
      <c r="G654" s="9"/>
      <c r="O654" s="3"/>
    </row>
    <row r="655" spans="4:15" x14ac:dyDescent="0.25">
      <c r="D655" s="8"/>
      <c r="E655" s="8"/>
      <c r="F655" s="3"/>
      <c r="G655" s="9"/>
      <c r="O655" s="3"/>
    </row>
    <row r="656" spans="4:15" x14ac:dyDescent="0.25">
      <c r="D656" s="8"/>
      <c r="E656" s="8"/>
      <c r="F656" s="3"/>
      <c r="G656" s="9"/>
      <c r="O656" s="3"/>
    </row>
    <row r="657" spans="4:15" x14ac:dyDescent="0.25">
      <c r="D657" s="8"/>
      <c r="E657" s="8"/>
      <c r="F657" s="3"/>
      <c r="G657" s="9"/>
      <c r="O657" s="3"/>
    </row>
    <row r="658" spans="4:15" x14ac:dyDescent="0.25">
      <c r="D658" s="8"/>
      <c r="E658" s="8"/>
      <c r="F658" s="3"/>
      <c r="G658" s="9"/>
      <c r="O658" s="3"/>
    </row>
    <row r="659" spans="4:15" x14ac:dyDescent="0.25">
      <c r="D659" s="8"/>
      <c r="E659" s="8"/>
      <c r="F659" s="3"/>
      <c r="G659" s="9"/>
      <c r="O659" s="3"/>
    </row>
    <row r="660" spans="4:15" x14ac:dyDescent="0.25">
      <c r="D660" s="8"/>
      <c r="E660" s="8"/>
      <c r="F660" s="3"/>
      <c r="G660" s="9"/>
      <c r="O660" s="3"/>
    </row>
    <row r="661" spans="4:15" x14ac:dyDescent="0.25">
      <c r="D661" s="8"/>
      <c r="E661" s="8"/>
      <c r="F661" s="3"/>
      <c r="G661" s="9"/>
      <c r="O661" s="3"/>
    </row>
    <row r="662" spans="4:15" x14ac:dyDescent="0.25">
      <c r="D662" s="8"/>
      <c r="E662" s="8"/>
      <c r="F662" s="3"/>
      <c r="G662" s="9"/>
      <c r="O662" s="3"/>
    </row>
    <row r="663" spans="4:15" x14ac:dyDescent="0.25">
      <c r="D663" s="8"/>
      <c r="E663" s="8"/>
      <c r="F663" s="3"/>
      <c r="G663" s="9"/>
      <c r="O663" s="3"/>
    </row>
    <row r="664" spans="4:15" x14ac:dyDescent="0.25">
      <c r="D664" s="8"/>
      <c r="E664" s="8"/>
      <c r="F664" s="3"/>
      <c r="G664" s="9"/>
      <c r="O664" s="3"/>
    </row>
    <row r="665" spans="4:15" x14ac:dyDescent="0.25">
      <c r="D665" s="8"/>
      <c r="E665" s="8"/>
      <c r="F665" s="3"/>
      <c r="G665" s="9"/>
      <c r="O665" s="3"/>
    </row>
    <row r="666" spans="4:15" x14ac:dyDescent="0.25">
      <c r="D666" s="8"/>
      <c r="E666" s="8"/>
      <c r="F666" s="3"/>
      <c r="G666" s="9"/>
      <c r="O666" s="3"/>
    </row>
    <row r="667" spans="4:15" x14ac:dyDescent="0.25">
      <c r="D667" s="8"/>
      <c r="E667" s="8"/>
      <c r="F667" s="3"/>
      <c r="G667" s="9"/>
      <c r="O667" s="3"/>
    </row>
    <row r="668" spans="4:15" x14ac:dyDescent="0.25">
      <c r="D668" s="8"/>
      <c r="E668" s="8"/>
      <c r="F668" s="3"/>
      <c r="G668" s="9"/>
      <c r="O668" s="3"/>
    </row>
    <row r="669" spans="4:15" x14ac:dyDescent="0.25">
      <c r="D669" s="8"/>
      <c r="E669" s="8"/>
      <c r="F669" s="3"/>
      <c r="G669" s="9"/>
      <c r="O669" s="3"/>
    </row>
    <row r="670" spans="4:15" x14ac:dyDescent="0.25">
      <c r="D670" s="8"/>
      <c r="E670" s="8"/>
      <c r="F670" s="3"/>
      <c r="G670" s="9"/>
      <c r="O670" s="3"/>
    </row>
    <row r="671" spans="4:15" x14ac:dyDescent="0.25">
      <c r="D671" s="8"/>
      <c r="E671" s="8"/>
      <c r="F671" s="3"/>
      <c r="G671" s="9"/>
      <c r="O671" s="3"/>
    </row>
    <row r="672" spans="4:15" x14ac:dyDescent="0.25">
      <c r="D672" s="8"/>
      <c r="E672" s="8"/>
      <c r="F672" s="3"/>
      <c r="G672" s="9"/>
      <c r="O672" s="3"/>
    </row>
    <row r="673" spans="4:15" x14ac:dyDescent="0.25">
      <c r="D673" s="8"/>
      <c r="E673" s="8"/>
      <c r="F673" s="3"/>
      <c r="G673" s="9"/>
      <c r="O673" s="3"/>
    </row>
    <row r="674" spans="4:15" x14ac:dyDescent="0.25">
      <c r="D674" s="8"/>
      <c r="E674" s="8"/>
      <c r="F674" s="3"/>
      <c r="G674" s="9"/>
      <c r="O674" s="3"/>
    </row>
    <row r="675" spans="4:15" x14ac:dyDescent="0.25">
      <c r="D675" s="8"/>
      <c r="E675" s="8"/>
      <c r="F675" s="3"/>
      <c r="G675" s="9"/>
      <c r="O675" s="3"/>
    </row>
    <row r="676" spans="4:15" x14ac:dyDescent="0.25">
      <c r="D676" s="8"/>
      <c r="E676" s="8"/>
      <c r="F676" s="3"/>
      <c r="G676" s="9"/>
      <c r="O676" s="3"/>
    </row>
    <row r="677" spans="4:15" x14ac:dyDescent="0.25">
      <c r="D677" s="8"/>
      <c r="E677" s="8"/>
      <c r="F677" s="3"/>
      <c r="O677" s="3"/>
    </row>
    <row r="678" spans="4:15" x14ac:dyDescent="0.25">
      <c r="D678" s="8"/>
      <c r="E678" s="8"/>
      <c r="F678" s="3"/>
      <c r="G678" s="9"/>
      <c r="O678" s="3"/>
    </row>
    <row r="679" spans="4:15" x14ac:dyDescent="0.25">
      <c r="D679" s="8"/>
      <c r="E679" s="8"/>
      <c r="F679" s="3"/>
      <c r="G679" s="9"/>
      <c r="O679" s="3"/>
    </row>
    <row r="680" spans="4:15" x14ac:dyDescent="0.25">
      <c r="D680" s="8"/>
      <c r="E680" s="8"/>
      <c r="F680" s="3"/>
      <c r="G680" s="9"/>
      <c r="O680" s="3"/>
    </row>
    <row r="681" spans="4:15" x14ac:dyDescent="0.25">
      <c r="D681" s="8"/>
      <c r="E681" s="8"/>
      <c r="F681" s="3"/>
      <c r="G681" s="9"/>
      <c r="O681" s="3"/>
    </row>
    <row r="682" spans="4:15" x14ac:dyDescent="0.25">
      <c r="D682" s="8"/>
      <c r="E682" s="8"/>
      <c r="F682" s="3"/>
      <c r="G682" s="9"/>
      <c r="O682" s="3"/>
    </row>
    <row r="683" spans="4:15" x14ac:dyDescent="0.25">
      <c r="D683" s="8"/>
      <c r="E683" s="8"/>
      <c r="F683" s="3"/>
      <c r="G683" s="9"/>
      <c r="O683" s="3"/>
    </row>
    <row r="684" spans="4:15" x14ac:dyDescent="0.25">
      <c r="D684" s="8"/>
      <c r="E684" s="8"/>
      <c r="F684" s="3"/>
      <c r="G684" s="9"/>
      <c r="O684" s="3"/>
    </row>
    <row r="685" spans="4:15" x14ac:dyDescent="0.25">
      <c r="D685" s="8"/>
      <c r="E685" s="8"/>
      <c r="F685" s="3"/>
      <c r="G685" s="9"/>
      <c r="O685" s="3"/>
    </row>
    <row r="686" spans="4:15" x14ac:dyDescent="0.25">
      <c r="D686" s="8"/>
      <c r="E686" s="8"/>
      <c r="F686" s="3"/>
      <c r="G686" s="9"/>
      <c r="O686" s="3"/>
    </row>
    <row r="687" spans="4:15" x14ac:dyDescent="0.25">
      <c r="D687" s="8"/>
      <c r="E687" s="8"/>
      <c r="F687" s="3"/>
      <c r="G687" s="9"/>
      <c r="O687" s="3"/>
    </row>
    <row r="688" spans="4:15" x14ac:dyDescent="0.25">
      <c r="D688" s="8"/>
      <c r="E688" s="8"/>
      <c r="F688" s="3"/>
      <c r="G688" s="9"/>
      <c r="O688" s="3"/>
    </row>
    <row r="689" spans="4:15" x14ac:dyDescent="0.25">
      <c r="D689" s="8"/>
      <c r="E689" s="8"/>
      <c r="F689" s="3"/>
      <c r="G689" s="9"/>
      <c r="O689" s="3"/>
    </row>
    <row r="690" spans="4:15" x14ac:dyDescent="0.25">
      <c r="D690" s="8"/>
      <c r="E690" s="8"/>
      <c r="F690" s="3"/>
      <c r="G690" s="9"/>
      <c r="O690" s="3"/>
    </row>
    <row r="691" spans="4:15" x14ac:dyDescent="0.25">
      <c r="D691" s="8"/>
      <c r="E691" s="8"/>
      <c r="F691" s="3"/>
      <c r="G691" s="9"/>
      <c r="O691" s="3"/>
    </row>
    <row r="692" spans="4:15" x14ac:dyDescent="0.25">
      <c r="D692" s="8"/>
      <c r="E692" s="8"/>
      <c r="F692" s="3"/>
      <c r="G692" s="9"/>
      <c r="O692" s="3"/>
    </row>
    <row r="693" spans="4:15" x14ac:dyDescent="0.25">
      <c r="D693" s="8"/>
      <c r="E693" s="8"/>
      <c r="F693" s="3"/>
      <c r="G693" s="9"/>
      <c r="O693" s="3"/>
    </row>
    <row r="694" spans="4:15" x14ac:dyDescent="0.25">
      <c r="D694" s="8"/>
      <c r="E694" s="8"/>
      <c r="F694" s="3"/>
      <c r="G694" s="9"/>
      <c r="O694" s="3"/>
    </row>
    <row r="695" spans="4:15" x14ac:dyDescent="0.25">
      <c r="D695" s="8"/>
      <c r="E695" s="8"/>
      <c r="F695" s="3"/>
      <c r="G695" s="9"/>
      <c r="O695" s="3"/>
    </row>
    <row r="696" spans="4:15" x14ac:dyDescent="0.25">
      <c r="D696" s="8"/>
      <c r="E696" s="8"/>
      <c r="F696" s="3"/>
      <c r="G696" s="9"/>
      <c r="O696" s="3"/>
    </row>
    <row r="697" spans="4:15" x14ac:dyDescent="0.25">
      <c r="D697" s="8"/>
      <c r="E697" s="8"/>
      <c r="F697" s="3"/>
      <c r="G697" s="9"/>
      <c r="O697" s="3"/>
    </row>
    <row r="698" spans="4:15" x14ac:dyDescent="0.25">
      <c r="D698" s="8"/>
      <c r="E698" s="8"/>
      <c r="F698" s="3"/>
      <c r="G698" s="9"/>
      <c r="O698" s="3"/>
    </row>
    <row r="699" spans="4:15" x14ac:dyDescent="0.25">
      <c r="D699" s="8"/>
      <c r="E699" s="8"/>
      <c r="F699" s="3"/>
      <c r="G699" s="9"/>
      <c r="O699" s="3"/>
    </row>
    <row r="700" spans="4:15" x14ac:dyDescent="0.25">
      <c r="D700" s="8"/>
      <c r="E700" s="8"/>
      <c r="F700" s="3"/>
      <c r="G700" s="9"/>
      <c r="O700" s="3"/>
    </row>
    <row r="701" spans="4:15" x14ac:dyDescent="0.25">
      <c r="D701" s="8"/>
      <c r="E701" s="8"/>
      <c r="F701" s="3"/>
      <c r="G701" s="9"/>
      <c r="O701" s="3"/>
    </row>
    <row r="702" spans="4:15" x14ac:dyDescent="0.25">
      <c r="D702" s="8"/>
      <c r="E702" s="8"/>
      <c r="F702" s="3"/>
      <c r="O702" s="3"/>
    </row>
    <row r="703" spans="4:15" x14ac:dyDescent="0.25">
      <c r="D703" s="8"/>
      <c r="E703" s="8"/>
      <c r="F703" s="3"/>
      <c r="G703" s="9"/>
      <c r="O703" s="3"/>
    </row>
    <row r="704" spans="4:15" x14ac:dyDescent="0.25">
      <c r="D704" s="8"/>
      <c r="E704" s="8"/>
      <c r="F704" s="3"/>
      <c r="G704" s="9"/>
      <c r="O704" s="3"/>
    </row>
    <row r="705" spans="4:15" x14ac:dyDescent="0.25">
      <c r="D705" s="8"/>
      <c r="E705" s="8"/>
      <c r="F705" s="3"/>
      <c r="G705" s="9"/>
      <c r="O705" s="3"/>
    </row>
    <row r="706" spans="4:15" x14ac:dyDescent="0.25">
      <c r="D706" s="8"/>
      <c r="E706" s="8"/>
      <c r="F706" s="3"/>
      <c r="G706" s="9"/>
      <c r="O706" s="3"/>
    </row>
    <row r="707" spans="4:15" x14ac:dyDescent="0.25">
      <c r="D707" s="8"/>
      <c r="E707" s="8"/>
      <c r="F707" s="3"/>
      <c r="G707" s="9"/>
      <c r="O707" s="3"/>
    </row>
    <row r="708" spans="4:15" x14ac:dyDescent="0.25">
      <c r="D708" s="8"/>
      <c r="E708" s="8"/>
      <c r="F708" s="3"/>
      <c r="G708" s="9"/>
      <c r="O708" s="3"/>
    </row>
    <row r="709" spans="4:15" x14ac:dyDescent="0.25">
      <c r="D709" s="8"/>
      <c r="E709" s="8"/>
      <c r="F709" s="3"/>
      <c r="G709" s="9"/>
      <c r="O709" s="3"/>
    </row>
    <row r="710" spans="4:15" x14ac:dyDescent="0.25">
      <c r="D710" s="8"/>
      <c r="E710" s="8"/>
      <c r="F710" s="3"/>
      <c r="G710" s="9"/>
      <c r="O710" s="3"/>
    </row>
    <row r="711" spans="4:15" x14ac:dyDescent="0.25">
      <c r="D711" s="8"/>
      <c r="E711" s="8"/>
      <c r="F711" s="3"/>
      <c r="G711" s="9"/>
      <c r="O711" s="3"/>
    </row>
    <row r="712" spans="4:15" x14ac:dyDescent="0.25">
      <c r="D712" s="8"/>
      <c r="E712" s="8"/>
      <c r="F712" s="3"/>
      <c r="G712" s="9"/>
      <c r="O712" s="3"/>
    </row>
    <row r="713" spans="4:15" x14ac:dyDescent="0.25">
      <c r="D713" s="8"/>
      <c r="E713" s="8"/>
      <c r="F713" s="3"/>
      <c r="G713" s="9"/>
      <c r="O713" s="3"/>
    </row>
    <row r="714" spans="4:15" x14ac:dyDescent="0.25">
      <c r="D714" s="8"/>
      <c r="E714" s="8"/>
      <c r="F714" s="3"/>
      <c r="G714" s="9"/>
      <c r="O714" s="3"/>
    </row>
    <row r="715" spans="4:15" x14ac:dyDescent="0.25">
      <c r="D715" s="8"/>
      <c r="E715" s="8"/>
      <c r="F715" s="3"/>
      <c r="G715" s="9"/>
      <c r="O715" s="3"/>
    </row>
    <row r="716" spans="4:15" x14ac:dyDescent="0.25">
      <c r="D716" s="8"/>
      <c r="E716" s="8"/>
      <c r="F716" s="3"/>
      <c r="G716" s="9"/>
      <c r="O716" s="3"/>
    </row>
    <row r="717" spans="4:15" x14ac:dyDescent="0.25">
      <c r="D717" s="8"/>
      <c r="E717" s="8"/>
      <c r="F717" s="3"/>
      <c r="G717" s="9"/>
      <c r="O717" s="3"/>
    </row>
    <row r="718" spans="4:15" x14ac:dyDescent="0.25">
      <c r="D718" s="3"/>
      <c r="F718" s="3"/>
      <c r="G718" s="9"/>
      <c r="O718" s="3"/>
    </row>
    <row r="719" spans="4:15" x14ac:dyDescent="0.25">
      <c r="F719" s="3"/>
      <c r="G719" s="9"/>
      <c r="O719" s="3"/>
    </row>
    <row r="720" spans="4:15" x14ac:dyDescent="0.25">
      <c r="F720" s="3"/>
      <c r="G720" s="9"/>
      <c r="O720" s="3"/>
    </row>
    <row r="721" spans="6:15" x14ac:dyDescent="0.25">
      <c r="F721" s="3"/>
      <c r="G721" s="9"/>
      <c r="O721" s="3"/>
    </row>
    <row r="722" spans="6:15" x14ac:dyDescent="0.25">
      <c r="F722" s="3"/>
      <c r="G722" s="9"/>
      <c r="O722" s="3"/>
    </row>
    <row r="723" spans="6:15" x14ac:dyDescent="0.25">
      <c r="F723" s="3"/>
      <c r="G723" s="9"/>
      <c r="O723" s="3"/>
    </row>
    <row r="724" spans="6:15" x14ac:dyDescent="0.25">
      <c r="F724" s="3"/>
      <c r="G724" s="9"/>
      <c r="O724" s="3"/>
    </row>
    <row r="725" spans="6:15" x14ac:dyDescent="0.25">
      <c r="F725" s="3"/>
      <c r="G725" s="9"/>
      <c r="O725" s="3"/>
    </row>
    <row r="726" spans="6:15" x14ac:dyDescent="0.25">
      <c r="F726" s="3"/>
      <c r="G726" s="9"/>
      <c r="O726" s="3"/>
    </row>
    <row r="727" spans="6:15" x14ac:dyDescent="0.25">
      <c r="F727" s="3"/>
      <c r="O727" s="3"/>
    </row>
    <row r="728" spans="6:15" x14ac:dyDescent="0.25">
      <c r="F728" s="3"/>
      <c r="G728" s="9"/>
      <c r="O728" s="3"/>
    </row>
    <row r="729" spans="6:15" x14ac:dyDescent="0.25">
      <c r="F729" s="3"/>
      <c r="G729" s="9"/>
      <c r="O729" s="3"/>
    </row>
    <row r="730" spans="6:15" x14ac:dyDescent="0.25">
      <c r="F730" s="3"/>
      <c r="G730" s="9"/>
      <c r="O730" s="3"/>
    </row>
    <row r="731" spans="6:15" x14ac:dyDescent="0.25">
      <c r="F731" s="3"/>
      <c r="G731" s="9"/>
      <c r="O731" s="3"/>
    </row>
    <row r="732" spans="6:15" x14ac:dyDescent="0.25">
      <c r="F732" s="3"/>
      <c r="G732" s="9"/>
      <c r="O732" s="3"/>
    </row>
    <row r="733" spans="6:15" x14ac:dyDescent="0.25">
      <c r="F733" s="3"/>
      <c r="G733" s="9"/>
      <c r="O733" s="3"/>
    </row>
    <row r="734" spans="6:15" x14ac:dyDescent="0.25">
      <c r="F734" s="3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4"/>
  <sheetViews>
    <sheetView zoomScale="80" zoomScaleNormal="80" workbookViewId="0">
      <selection activeCell="B1" sqref="B1:C1048576"/>
    </sheetView>
  </sheetViews>
  <sheetFormatPr defaultRowHeight="15" x14ac:dyDescent="0.25"/>
  <cols>
    <col min="1" max="1" width="7.140625" customWidth="1"/>
    <col min="11" max="11" width="11.85546875" bestFit="1" customWidth="1"/>
    <col min="12" max="12" width="12.42578125" bestFit="1" customWidth="1"/>
    <col min="14" max="14" width="12.28515625" bestFit="1" customWidth="1"/>
    <col min="15" max="15" width="9.5703125" customWidth="1"/>
  </cols>
  <sheetData>
    <row r="1" spans="1:15" x14ac:dyDescent="0.25">
      <c r="B1" s="2">
        <v>45132.5625</v>
      </c>
      <c r="C1" s="2">
        <v>45188.478260869568</v>
      </c>
      <c r="I1" s="5"/>
      <c r="K1" t="s">
        <v>17</v>
      </c>
      <c r="L1" s="9">
        <f>C1-B1</f>
        <v>55.915760869567748</v>
      </c>
      <c r="M1" s="9"/>
    </row>
    <row r="2" spans="1:15" x14ac:dyDescent="0.25">
      <c r="A2" t="s">
        <v>0</v>
      </c>
      <c r="B2" t="s">
        <v>1</v>
      </c>
      <c r="C2" t="s">
        <v>1</v>
      </c>
      <c r="D2" s="6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6" t="s">
        <v>10</v>
      </c>
      <c r="J2" s="6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15</v>
      </c>
    </row>
    <row r="3" spans="1:15" x14ac:dyDescent="0.25">
      <c r="A3">
        <v>0</v>
      </c>
      <c r="B3" s="3">
        <v>10.625243749999999</v>
      </c>
      <c r="C3" s="3">
        <v>10.898078260869566</v>
      </c>
      <c r="D3">
        <f>C3-B3</f>
        <v>0.27283451086956667</v>
      </c>
      <c r="E3">
        <f>(D3+D4)/2</f>
        <v>1.5884343750000012</v>
      </c>
      <c r="F3">
        <v>70</v>
      </c>
      <c r="G3">
        <v>7381</v>
      </c>
      <c r="H3">
        <f>E3*F3</f>
        <v>111.19040625000008</v>
      </c>
      <c r="I3">
        <f t="shared" ref="I3:I22" si="0">I4+H3</f>
        <v>830.57801766304374</v>
      </c>
      <c r="J3">
        <f t="shared" ref="J3:J23" si="1">(I3/G3)*1000</f>
        <v>112.52919897887058</v>
      </c>
    </row>
    <row r="4" spans="1:15" x14ac:dyDescent="0.25">
      <c r="A4">
        <v>10</v>
      </c>
      <c r="B4" s="3">
        <v>6.7565875000000002</v>
      </c>
      <c r="C4" s="3">
        <v>9.6606217391304359</v>
      </c>
      <c r="D4">
        <f t="shared" ref="D4:D38" si="2">C4-B4</f>
        <v>2.9040342391304357</v>
      </c>
      <c r="E4">
        <f t="shared" ref="E4:E38" si="3">(D4+D5)/2</f>
        <v>3.0118448369565227</v>
      </c>
      <c r="F4">
        <v>70</v>
      </c>
      <c r="G4">
        <v>7338</v>
      </c>
      <c r="H4">
        <f t="shared" ref="H4:H38" si="4">E4*F4</f>
        <v>210.82913858695659</v>
      </c>
      <c r="I4">
        <f t="shared" si="0"/>
        <v>719.38761141304371</v>
      </c>
      <c r="J4">
        <f t="shared" si="1"/>
        <v>98.035924150046853</v>
      </c>
      <c r="K4">
        <f>(B5-B3)/(A5-A3)</f>
        <v>-0.27932343749999988</v>
      </c>
      <c r="L4">
        <f>(C5-C3)/(A5-A3)</f>
        <v>-0.13698239130434775</v>
      </c>
      <c r="M4">
        <f>(K4+L4)/2</f>
        <v>-0.20815291440217382</v>
      </c>
      <c r="N4">
        <f>-J4/(M4*86400*$L$1)</f>
        <v>9.748881013972905E-5</v>
      </c>
      <c r="O4" s="3">
        <f>N4*10000</f>
        <v>0.97488810139729054</v>
      </c>
    </row>
    <row r="5" spans="1:15" x14ac:dyDescent="0.25">
      <c r="A5">
        <v>20</v>
      </c>
      <c r="B5" s="3">
        <v>5.0387750000000011</v>
      </c>
      <c r="C5" s="3">
        <v>8.1584304347826109</v>
      </c>
      <c r="D5">
        <f t="shared" si="2"/>
        <v>3.1196554347826098</v>
      </c>
      <c r="E5">
        <f t="shared" si="3"/>
        <v>2.6288362771739124</v>
      </c>
      <c r="F5">
        <v>70</v>
      </c>
      <c r="G5">
        <v>7252</v>
      </c>
      <c r="H5">
        <f t="shared" si="4"/>
        <v>184.01853940217387</v>
      </c>
      <c r="I5">
        <f t="shared" si="0"/>
        <v>508.5584728260871</v>
      </c>
      <c r="J5">
        <f t="shared" si="1"/>
        <v>70.126650968848196</v>
      </c>
      <c r="K5">
        <f t="shared" ref="K5:K38" si="5">(B6-B4)/(A6-A4)</f>
        <v>-0.10996718749999998</v>
      </c>
      <c r="L5">
        <f t="shared" ref="L5:L38" si="6">(C6-C4)/(A6-A4)</f>
        <v>-0.148268043478261</v>
      </c>
      <c r="M5">
        <f t="shared" ref="M5:M38" si="7">(K5+L5)/2</f>
        <v>-0.12911761548913048</v>
      </c>
      <c r="N5">
        <f t="shared" ref="N5:N38" si="8">-J5/(M5*86400*$L$1)</f>
        <v>1.1242156337123485E-4</v>
      </c>
      <c r="O5" s="3">
        <f t="shared" ref="O5:O38" si="9">N5*10000</f>
        <v>1.1242156337123486</v>
      </c>
    </row>
    <row r="6" spans="1:15" x14ac:dyDescent="0.25">
      <c r="A6">
        <v>30</v>
      </c>
      <c r="B6" s="3">
        <v>4.5572437500000005</v>
      </c>
      <c r="C6" s="3">
        <v>6.6952608695652156</v>
      </c>
      <c r="D6">
        <f t="shared" si="2"/>
        <v>2.1380171195652151</v>
      </c>
      <c r="E6">
        <f t="shared" si="3"/>
        <v>1.9062222826086952</v>
      </c>
      <c r="F6">
        <v>70</v>
      </c>
      <c r="G6">
        <v>7218</v>
      </c>
      <c r="H6">
        <f t="shared" si="4"/>
        <v>133.43555978260866</v>
      </c>
      <c r="I6">
        <f t="shared" si="0"/>
        <v>324.53993342391323</v>
      </c>
      <c r="J6">
        <f t="shared" si="1"/>
        <v>44.96258429258981</v>
      </c>
      <c r="K6">
        <f t="shared" si="5"/>
        <v>-3.8559687500000051E-2</v>
      </c>
      <c r="L6">
        <f t="shared" si="6"/>
        <v>-0.11082108695652178</v>
      </c>
      <c r="M6">
        <f t="shared" si="7"/>
        <v>-7.4690387228260907E-2</v>
      </c>
      <c r="N6">
        <f t="shared" si="8"/>
        <v>1.2460589032077472E-4</v>
      </c>
      <c r="O6" s="3">
        <f t="shared" si="9"/>
        <v>1.2460589032077471</v>
      </c>
    </row>
    <row r="7" spans="1:15" x14ac:dyDescent="0.25">
      <c r="A7">
        <v>40</v>
      </c>
      <c r="B7" s="3">
        <v>4.2675812500000001</v>
      </c>
      <c r="C7" s="3">
        <v>5.9420086956521754</v>
      </c>
      <c r="D7">
        <f t="shared" si="2"/>
        <v>1.6744274456521753</v>
      </c>
      <c r="E7">
        <f t="shared" si="3"/>
        <v>1.4420423913043479</v>
      </c>
      <c r="F7">
        <v>70</v>
      </c>
      <c r="G7">
        <v>7128.25</v>
      </c>
      <c r="H7">
        <f t="shared" si="4"/>
        <v>100.94296739130435</v>
      </c>
      <c r="I7">
        <f t="shared" si="0"/>
        <v>191.10437364130456</v>
      </c>
      <c r="J7">
        <f t="shared" si="1"/>
        <v>26.809437609694463</v>
      </c>
      <c r="K7">
        <f t="shared" si="5"/>
        <v>-2.2203749999999987E-2</v>
      </c>
      <c r="L7">
        <f t="shared" si="6"/>
        <v>-6.862173913043472E-2</v>
      </c>
      <c r="M7">
        <f t="shared" si="7"/>
        <v>-4.541274456521735E-2</v>
      </c>
      <c r="N7">
        <f t="shared" si="8"/>
        <v>1.2219740200811397E-4</v>
      </c>
      <c r="O7" s="3">
        <f t="shared" si="9"/>
        <v>1.2219740200811398</v>
      </c>
    </row>
    <row r="8" spans="1:15" x14ac:dyDescent="0.25">
      <c r="A8">
        <v>50</v>
      </c>
      <c r="B8" s="3">
        <v>4.1131687500000007</v>
      </c>
      <c r="C8" s="3">
        <v>5.3228260869565212</v>
      </c>
      <c r="D8">
        <f t="shared" si="2"/>
        <v>1.2096573369565204</v>
      </c>
      <c r="E8">
        <f t="shared" si="3"/>
        <v>0.80092880434782554</v>
      </c>
      <c r="F8">
        <v>65</v>
      </c>
      <c r="G8">
        <v>6875.5</v>
      </c>
      <c r="H8">
        <f t="shared" si="4"/>
        <v>52.060372282608661</v>
      </c>
      <c r="I8">
        <f t="shared" si="0"/>
        <v>90.161406250000198</v>
      </c>
      <c r="J8">
        <f t="shared" si="1"/>
        <v>13.11343265944298</v>
      </c>
      <c r="K8">
        <f t="shared" si="5"/>
        <v>-1.105624999999999E-2</v>
      </c>
      <c r="L8">
        <f t="shared" si="6"/>
        <v>-7.5167608695652227E-2</v>
      </c>
      <c r="M8">
        <f t="shared" si="7"/>
        <v>-4.3111929347826108E-2</v>
      </c>
      <c r="N8">
        <f t="shared" si="8"/>
        <v>6.2960903288723774E-5</v>
      </c>
      <c r="O8" s="3">
        <f t="shared" si="9"/>
        <v>0.6296090328872378</v>
      </c>
    </row>
    <row r="9" spans="1:15" x14ac:dyDescent="0.25">
      <c r="A9">
        <v>60</v>
      </c>
      <c r="B9" s="3">
        <v>4.0464562500000003</v>
      </c>
      <c r="C9" s="3">
        <v>4.4386565217391309</v>
      </c>
      <c r="D9">
        <f t="shared" si="2"/>
        <v>0.39220027173913063</v>
      </c>
      <c r="E9">
        <f t="shared" si="3"/>
        <v>0.26191345108695607</v>
      </c>
      <c r="F9">
        <v>65</v>
      </c>
      <c r="G9">
        <v>6622.75</v>
      </c>
      <c r="H9">
        <f t="shared" si="4"/>
        <v>17.024374320652143</v>
      </c>
      <c r="I9">
        <f>I10+H9</f>
        <v>38.101033967391537</v>
      </c>
      <c r="J9">
        <f>(I9/G9)*1000</f>
        <v>5.7530533339461005</v>
      </c>
      <c r="K9">
        <f t="shared" si="5"/>
        <v>-5.4078125000000202E-3</v>
      </c>
      <c r="L9">
        <f t="shared" si="6"/>
        <v>-5.9309347826086968E-2</v>
      </c>
      <c r="M9">
        <f t="shared" si="7"/>
        <v>-3.2358580163043493E-2</v>
      </c>
      <c r="N9">
        <f t="shared" si="8"/>
        <v>3.680111367758395E-5</v>
      </c>
      <c r="O9" s="3">
        <f>N9*10000</f>
        <v>0.36801113677583952</v>
      </c>
    </row>
    <row r="10" spans="1:15" x14ac:dyDescent="0.25">
      <c r="A10">
        <v>70</v>
      </c>
      <c r="B10" s="3">
        <v>4.0050125000000003</v>
      </c>
      <c r="C10" s="3">
        <v>4.1366391304347818</v>
      </c>
      <c r="D10">
        <f t="shared" si="2"/>
        <v>0.13162663043478151</v>
      </c>
      <c r="E10">
        <f t="shared" si="3"/>
        <v>7.8255434782608324E-2</v>
      </c>
      <c r="F10">
        <v>65</v>
      </c>
      <c r="G10">
        <v>6370</v>
      </c>
      <c r="H10">
        <f>E10*F10</f>
        <v>5.0866032608695413</v>
      </c>
      <c r="I10">
        <f t="shared" si="0"/>
        <v>21.076659646739394</v>
      </c>
      <c r="J10">
        <f t="shared" si="1"/>
        <v>3.308737778138052</v>
      </c>
      <c r="K10">
        <f t="shared" si="5"/>
        <v>-3.9459375000000076E-3</v>
      </c>
      <c r="L10">
        <f t="shared" si="6"/>
        <v>-2.2311739130434782E-2</v>
      </c>
      <c r="M10">
        <f t="shared" si="7"/>
        <v>-1.3128838315217394E-2</v>
      </c>
      <c r="N10">
        <f t="shared" si="8"/>
        <v>5.2166063874241516E-5</v>
      </c>
      <c r="O10" s="3">
        <f t="shared" si="9"/>
        <v>0.52166063874241519</v>
      </c>
    </row>
    <row r="11" spans="1:15" x14ac:dyDescent="0.25">
      <c r="A11">
        <v>80</v>
      </c>
      <c r="B11" s="3">
        <v>3.9675375000000002</v>
      </c>
      <c r="C11" s="3">
        <v>3.9924217391304353</v>
      </c>
      <c r="D11">
        <f t="shared" si="2"/>
        <v>2.4884239130435137E-2</v>
      </c>
      <c r="E11">
        <f>(D11+D12)/2</f>
        <v>1.0673641304348891E-2</v>
      </c>
      <c r="F11">
        <v>65</v>
      </c>
      <c r="G11">
        <v>6223</v>
      </c>
      <c r="H11">
        <f t="shared" si="4"/>
        <v>0.69378668478267791</v>
      </c>
      <c r="I11">
        <f t="shared" si="0"/>
        <v>15.990056385869851</v>
      </c>
      <c r="J11">
        <f t="shared" si="1"/>
        <v>2.5695093019234854</v>
      </c>
      <c r="K11">
        <f t="shared" si="5"/>
        <v>-3.6681250000000442E-3</v>
      </c>
      <c r="L11">
        <f t="shared" si="6"/>
        <v>-1.0426304347825988E-2</v>
      </c>
      <c r="M11">
        <f t="shared" si="7"/>
        <v>-7.0472146739130161E-3</v>
      </c>
      <c r="N11">
        <f t="shared" si="8"/>
        <v>7.547180061401864E-5</v>
      </c>
      <c r="O11" s="3">
        <f t="shared" si="9"/>
        <v>0.75471800614018636</v>
      </c>
    </row>
    <row r="12" spans="1:15" x14ac:dyDescent="0.25">
      <c r="A12">
        <v>90</v>
      </c>
      <c r="B12" s="3">
        <v>3.9316499999999994</v>
      </c>
      <c r="C12" s="3">
        <v>3.9281130434782621</v>
      </c>
      <c r="D12">
        <f t="shared" si="2"/>
        <v>-3.5369565217373555E-3</v>
      </c>
      <c r="E12">
        <f t="shared" si="3"/>
        <v>-6.3576086956507183E-3</v>
      </c>
      <c r="F12">
        <v>65</v>
      </c>
      <c r="G12">
        <v>6076</v>
      </c>
      <c r="H12">
        <f t="shared" si="4"/>
        <v>-0.41324456521729669</v>
      </c>
      <c r="I12">
        <f t="shared" si="0"/>
        <v>15.296269701087173</v>
      </c>
      <c r="J12">
        <f t="shared" si="1"/>
        <v>2.5174900758866317</v>
      </c>
      <c r="K12">
        <f t="shared" si="5"/>
        <v>-3.2718750000000352E-3</v>
      </c>
      <c r="L12">
        <f t="shared" si="6"/>
        <v>-4.9749999999999959E-3</v>
      </c>
      <c r="M12">
        <f t="shared" si="7"/>
        <v>-4.123437500000016E-3</v>
      </c>
      <c r="N12">
        <f t="shared" si="8"/>
        <v>1.2637476749767425E-4</v>
      </c>
      <c r="O12" s="3">
        <f t="shared" si="9"/>
        <v>1.2637476749767425</v>
      </c>
    </row>
    <row r="13" spans="1:15" x14ac:dyDescent="0.25">
      <c r="A13">
        <v>100</v>
      </c>
      <c r="B13" s="3">
        <v>3.9020999999999995</v>
      </c>
      <c r="C13" s="3">
        <v>3.8929217391304354</v>
      </c>
      <c r="D13">
        <f t="shared" si="2"/>
        <v>-9.178260869564081E-3</v>
      </c>
      <c r="E13">
        <f t="shared" si="3"/>
        <v>-2.7929347826083362E-3</v>
      </c>
      <c r="F13">
        <v>315</v>
      </c>
      <c r="G13">
        <v>5919</v>
      </c>
      <c r="H13">
        <f t="shared" si="4"/>
        <v>-0.87977445652162589</v>
      </c>
      <c r="I13">
        <f t="shared" si="0"/>
        <v>15.709514266304469</v>
      </c>
      <c r="J13">
        <f t="shared" si="1"/>
        <v>2.6540824913506449</v>
      </c>
      <c r="K13">
        <f t="shared" si="5"/>
        <v>-2.5254166666666576E-3</v>
      </c>
      <c r="L13">
        <f t="shared" si="6"/>
        <v>-2.4065942028985783E-3</v>
      </c>
      <c r="M13">
        <f t="shared" si="7"/>
        <v>-2.4660054347826182E-3</v>
      </c>
      <c r="N13">
        <f t="shared" si="8"/>
        <v>2.2277805412222664E-4</v>
      </c>
      <c r="O13" s="3">
        <f t="shared" si="9"/>
        <v>2.2277805412222662</v>
      </c>
    </row>
    <row r="14" spans="1:15" x14ac:dyDescent="0.25">
      <c r="A14">
        <v>150</v>
      </c>
      <c r="B14" s="3">
        <v>3.780125</v>
      </c>
      <c r="C14" s="3">
        <v>3.7837173913043474</v>
      </c>
      <c r="D14">
        <f t="shared" si="2"/>
        <v>3.5923913043474087E-3</v>
      </c>
      <c r="E14">
        <f t="shared" si="3"/>
        <v>7.6838315217391262E-3</v>
      </c>
      <c r="F14">
        <v>311</v>
      </c>
      <c r="G14">
        <v>5762</v>
      </c>
      <c r="H14">
        <f t="shared" si="4"/>
        <v>2.3896716032608682</v>
      </c>
      <c r="I14">
        <f t="shared" si="0"/>
        <v>16.589288722826094</v>
      </c>
      <c r="J14">
        <f t="shared" si="1"/>
        <v>2.879085165363779</v>
      </c>
      <c r="K14">
        <f t="shared" si="5"/>
        <v>-2.3251875000000009E-3</v>
      </c>
      <c r="L14">
        <f t="shared" si="6"/>
        <v>-2.1156521739130519E-3</v>
      </c>
      <c r="M14">
        <f t="shared" si="7"/>
        <v>-2.2204198369565262E-3</v>
      </c>
      <c r="N14">
        <f t="shared" si="8"/>
        <v>2.6839315268767047E-4</v>
      </c>
      <c r="O14" s="3">
        <f t="shared" si="9"/>
        <v>2.6839315268767048</v>
      </c>
    </row>
    <row r="15" spans="1:15" x14ac:dyDescent="0.25">
      <c r="A15">
        <v>200</v>
      </c>
      <c r="B15" s="3">
        <v>3.6695812499999994</v>
      </c>
      <c r="C15" s="3">
        <v>3.6813565217391302</v>
      </c>
      <c r="D15">
        <f t="shared" si="2"/>
        <v>1.1775271739130844E-2</v>
      </c>
      <c r="E15">
        <f t="shared" si="3"/>
        <v>1.2510054347826483E-2</v>
      </c>
      <c r="F15">
        <v>305</v>
      </c>
      <c r="G15">
        <v>5461</v>
      </c>
      <c r="H15">
        <f t="shared" si="4"/>
        <v>3.8155665760870772</v>
      </c>
      <c r="I15">
        <f t="shared" si="0"/>
        <v>14.199617119565225</v>
      </c>
      <c r="J15">
        <f t="shared" si="1"/>
        <v>2.6001862515226559</v>
      </c>
      <c r="K15">
        <f t="shared" si="5"/>
        <v>-1.852437500000006E-3</v>
      </c>
      <c r="L15">
        <f t="shared" si="6"/>
        <v>-1.7559130434782588E-3</v>
      </c>
      <c r="M15">
        <f t="shared" si="7"/>
        <v>-1.8041752717391324E-3</v>
      </c>
      <c r="N15">
        <f t="shared" si="8"/>
        <v>2.9831682641224085E-4</v>
      </c>
      <c r="O15" s="3">
        <f t="shared" si="9"/>
        <v>2.9831682641224084</v>
      </c>
    </row>
    <row r="16" spans="1:15" x14ac:dyDescent="0.25">
      <c r="A16">
        <v>250</v>
      </c>
      <c r="B16" s="3">
        <v>3.5948812499999994</v>
      </c>
      <c r="C16" s="3">
        <v>3.6081260869565215</v>
      </c>
      <c r="D16">
        <f t="shared" si="2"/>
        <v>1.3244836956522121E-2</v>
      </c>
      <c r="E16">
        <f t="shared" si="3"/>
        <v>8.4884510869567276E-3</v>
      </c>
      <c r="F16">
        <v>298</v>
      </c>
      <c r="G16">
        <v>5186</v>
      </c>
      <c r="H16">
        <f t="shared" si="4"/>
        <v>2.5295584239131048</v>
      </c>
      <c r="I16">
        <f t="shared" si="0"/>
        <v>10.384050543478148</v>
      </c>
      <c r="J16">
        <f t="shared" si="1"/>
        <v>2.0023236682372056</v>
      </c>
      <c r="K16">
        <f t="shared" si="5"/>
        <v>-1.1764374999999915E-3</v>
      </c>
      <c r="L16">
        <f t="shared" si="6"/>
        <v>-1.2568695652173867E-3</v>
      </c>
      <c r="M16">
        <f t="shared" si="7"/>
        <v>-1.2166535326086892E-3</v>
      </c>
      <c r="N16">
        <f t="shared" si="8"/>
        <v>3.4065861632467546E-4</v>
      </c>
      <c r="O16" s="3">
        <f t="shared" si="9"/>
        <v>3.4065861632467547</v>
      </c>
    </row>
    <row r="17" spans="1:15" x14ac:dyDescent="0.25">
      <c r="A17">
        <v>300</v>
      </c>
      <c r="B17" s="3">
        <v>3.5519375000000002</v>
      </c>
      <c r="C17" s="3">
        <v>3.5556695652173915</v>
      </c>
      <c r="D17">
        <f t="shared" si="2"/>
        <v>3.7320652173913338E-3</v>
      </c>
      <c r="E17">
        <f t="shared" si="3"/>
        <v>2.4724184782609626E-3</v>
      </c>
      <c r="F17">
        <v>289</v>
      </c>
      <c r="G17">
        <v>4893</v>
      </c>
      <c r="H17">
        <f t="shared" si="4"/>
        <v>0.7145289402174182</v>
      </c>
      <c r="I17">
        <f t="shared" si="0"/>
        <v>7.8544921195650428</v>
      </c>
      <c r="J17">
        <f t="shared" si="1"/>
        <v>1.6052507908369187</v>
      </c>
      <c r="K17">
        <f t="shared" si="5"/>
        <v>-7.3937499999999102E-4</v>
      </c>
      <c r="L17">
        <f t="shared" si="6"/>
        <v>-8.596956521739063E-4</v>
      </c>
      <c r="M17">
        <f t="shared" si="7"/>
        <v>-7.9953532608694866E-4</v>
      </c>
      <c r="N17">
        <f t="shared" si="8"/>
        <v>4.1558250266863058E-4</v>
      </c>
      <c r="O17" s="3">
        <f t="shared" si="9"/>
        <v>4.1558250266863057</v>
      </c>
    </row>
    <row r="18" spans="1:15" x14ac:dyDescent="0.25">
      <c r="A18">
        <v>350</v>
      </c>
      <c r="B18" s="3">
        <v>3.5209437500000003</v>
      </c>
      <c r="C18" s="3">
        <v>3.5221565217391309</v>
      </c>
      <c r="D18">
        <f t="shared" si="2"/>
        <v>1.2127717391305914E-3</v>
      </c>
      <c r="E18">
        <f t="shared" si="3"/>
        <v>2.2797554347826487E-3</v>
      </c>
      <c r="F18">
        <v>284</v>
      </c>
      <c r="G18">
        <v>4615</v>
      </c>
      <c r="H18">
        <f t="shared" si="4"/>
        <v>0.64745054347827224</v>
      </c>
      <c r="I18">
        <f t="shared" si="0"/>
        <v>7.1399631793476246</v>
      </c>
      <c r="J18">
        <f t="shared" si="1"/>
        <v>1.5471209489377302</v>
      </c>
      <c r="K18">
        <f t="shared" si="5"/>
        <v>-5.9262499999999994E-4</v>
      </c>
      <c r="L18">
        <f t="shared" si="6"/>
        <v>-5.9647826086956619E-4</v>
      </c>
      <c r="M18">
        <f t="shared" si="7"/>
        <v>-5.9455163043478307E-4</v>
      </c>
      <c r="N18">
        <f t="shared" si="8"/>
        <v>5.3862525285797342E-4</v>
      </c>
      <c r="O18" s="3">
        <f t="shared" si="9"/>
        <v>5.3862525285797345</v>
      </c>
    </row>
    <row r="19" spans="1:15" x14ac:dyDescent="0.25">
      <c r="A19">
        <v>400</v>
      </c>
      <c r="B19" s="3">
        <v>3.4926750000000002</v>
      </c>
      <c r="C19" s="3">
        <v>3.4960217391304349</v>
      </c>
      <c r="D19">
        <f t="shared" si="2"/>
        <v>3.3467391304347061E-3</v>
      </c>
      <c r="E19">
        <f t="shared" si="3"/>
        <v>3.4281250000003372E-3</v>
      </c>
      <c r="F19">
        <v>279</v>
      </c>
      <c r="G19">
        <v>4306</v>
      </c>
      <c r="H19">
        <f t="shared" si="4"/>
        <v>0.95644687500009407</v>
      </c>
      <c r="I19">
        <f t="shared" si="0"/>
        <v>6.4925126358693523</v>
      </c>
      <c r="J19">
        <f t="shared" si="1"/>
        <v>1.5077827765604628</v>
      </c>
      <c r="K19">
        <f t="shared" si="5"/>
        <v>-5.0075000000000087E-4</v>
      </c>
      <c r="L19">
        <f t="shared" si="6"/>
        <v>-4.7778260869564716E-4</v>
      </c>
      <c r="M19">
        <f t="shared" si="7"/>
        <v>-4.8926630434782399E-4</v>
      </c>
      <c r="N19">
        <f t="shared" si="8"/>
        <v>6.3788955308121612E-4</v>
      </c>
      <c r="O19" s="3">
        <f t="shared" si="9"/>
        <v>6.3788955308121613</v>
      </c>
    </row>
    <row r="20" spans="1:15" x14ac:dyDescent="0.25">
      <c r="A20">
        <v>450</v>
      </c>
      <c r="B20" s="3">
        <v>3.4708687500000002</v>
      </c>
      <c r="C20" s="3">
        <v>3.4743782608695661</v>
      </c>
      <c r="D20">
        <f t="shared" si="2"/>
        <v>3.5095108695659682E-3</v>
      </c>
      <c r="E20">
        <f t="shared" si="3"/>
        <v>4.2805706521740206E-3</v>
      </c>
      <c r="F20">
        <v>271</v>
      </c>
      <c r="G20">
        <v>3966</v>
      </c>
      <c r="H20">
        <f t="shared" si="4"/>
        <v>1.1600346467391596</v>
      </c>
      <c r="I20">
        <f t="shared" si="0"/>
        <v>5.5360657608692581</v>
      </c>
      <c r="J20">
        <f t="shared" si="1"/>
        <v>1.3958814323926521</v>
      </c>
      <c r="K20">
        <f t="shared" si="5"/>
        <v>-4.3187500000000154E-4</v>
      </c>
      <c r="L20">
        <f t="shared" si="6"/>
        <v>-4.1482608695652789E-4</v>
      </c>
      <c r="M20">
        <f t="shared" si="7"/>
        <v>-4.2335054347826474E-4</v>
      </c>
      <c r="N20">
        <f t="shared" si="8"/>
        <v>6.8249649820511713E-4</v>
      </c>
      <c r="O20" s="3">
        <f t="shared" si="9"/>
        <v>6.8249649820511715</v>
      </c>
    </row>
    <row r="21" spans="1:15" x14ac:dyDescent="0.25">
      <c r="A21">
        <v>500</v>
      </c>
      <c r="B21" s="3">
        <v>3.4494875</v>
      </c>
      <c r="C21" s="3">
        <v>3.4545391304347821</v>
      </c>
      <c r="D21">
        <f t="shared" si="2"/>
        <v>5.0516304347820729E-3</v>
      </c>
      <c r="E21">
        <f t="shared" si="3"/>
        <v>4.7517663043470382E-3</v>
      </c>
      <c r="F21">
        <v>262</v>
      </c>
      <c r="G21">
        <v>3571</v>
      </c>
      <c r="H21">
        <f t="shared" si="4"/>
        <v>1.244962771738924</v>
      </c>
      <c r="I21">
        <f t="shared" si="0"/>
        <v>4.3760311141300985</v>
      </c>
      <c r="J21">
        <f t="shared" si="1"/>
        <v>1.2254357642481375</v>
      </c>
      <c r="K21">
        <f t="shared" si="5"/>
        <v>-3.722499999999984E-4</v>
      </c>
      <c r="L21">
        <f t="shared" si="6"/>
        <v>-3.6282608695653807E-4</v>
      </c>
      <c r="M21">
        <f t="shared" si="7"/>
        <v>-3.6753804347826823E-4</v>
      </c>
      <c r="N21">
        <f t="shared" si="8"/>
        <v>6.9014488018433965E-4</v>
      </c>
      <c r="O21" s="3">
        <f t="shared" si="9"/>
        <v>6.9014488018433964</v>
      </c>
    </row>
    <row r="22" spans="1:15" x14ac:dyDescent="0.25">
      <c r="A22">
        <v>550</v>
      </c>
      <c r="B22" s="3">
        <v>3.4336437500000003</v>
      </c>
      <c r="C22" s="3">
        <v>3.4380956521739123</v>
      </c>
      <c r="D22">
        <f t="shared" si="2"/>
        <v>4.4519021739120035E-3</v>
      </c>
      <c r="E22">
        <f t="shared" si="3"/>
        <v>4.210733695651836E-3</v>
      </c>
      <c r="F22">
        <v>251</v>
      </c>
      <c r="G22">
        <v>3239</v>
      </c>
      <c r="H22">
        <f t="shared" si="4"/>
        <v>1.0568941576086108</v>
      </c>
      <c r="I22">
        <f t="shared" si="0"/>
        <v>3.1310683423911749</v>
      </c>
      <c r="J22">
        <f t="shared" si="1"/>
        <v>0.96667747526742043</v>
      </c>
      <c r="K22">
        <f t="shared" si="5"/>
        <v>-2.8587499999999989E-4</v>
      </c>
      <c r="L22">
        <f t="shared" si="6"/>
        <v>-2.9669565217390394E-4</v>
      </c>
      <c r="M22">
        <f t="shared" si="7"/>
        <v>-2.9128532608695189E-4</v>
      </c>
      <c r="N22">
        <f t="shared" si="8"/>
        <v>6.869339973635827E-4</v>
      </c>
      <c r="O22" s="3">
        <f t="shared" si="9"/>
        <v>6.8693399736358272</v>
      </c>
    </row>
    <row r="23" spans="1:15" x14ac:dyDescent="0.25">
      <c r="A23">
        <v>600</v>
      </c>
      <c r="B23" s="3">
        <v>3.4209000000000001</v>
      </c>
      <c r="C23" s="3">
        <v>3.4248695652173917</v>
      </c>
      <c r="D23">
        <f t="shared" si="2"/>
        <v>3.9695652173916685E-3</v>
      </c>
      <c r="E23">
        <f t="shared" si="3"/>
        <v>4.3203804347826669E-3</v>
      </c>
      <c r="F23">
        <v>240</v>
      </c>
      <c r="G23">
        <v>2767</v>
      </c>
      <c r="H23">
        <f t="shared" si="4"/>
        <v>1.03689130434784</v>
      </c>
      <c r="I23">
        <f>I24+H23</f>
        <v>2.0741741847825641</v>
      </c>
      <c r="J23">
        <f t="shared" si="1"/>
        <v>0.7496111979698461</v>
      </c>
      <c r="K23">
        <f t="shared" si="5"/>
        <v>-2.4506249999999507E-4</v>
      </c>
      <c r="L23">
        <f t="shared" si="6"/>
        <v>-2.4286956521737846E-4</v>
      </c>
      <c r="M23">
        <f t="shared" si="7"/>
        <v>-2.4396603260868678E-4</v>
      </c>
      <c r="N23">
        <f t="shared" si="8"/>
        <v>6.3600235017671053E-4</v>
      </c>
      <c r="O23" s="3">
        <f t="shared" si="9"/>
        <v>6.3600235017671052</v>
      </c>
    </row>
    <row r="24" spans="1:15" x14ac:dyDescent="0.25">
      <c r="A24">
        <v>650</v>
      </c>
      <c r="B24" s="3">
        <v>3.4091375000000008</v>
      </c>
      <c r="C24" s="3">
        <v>3.4138086956521745</v>
      </c>
      <c r="D24">
        <f t="shared" si="2"/>
        <v>4.6711956521736653E-3</v>
      </c>
      <c r="E24">
        <f t="shared" si="3"/>
        <v>4.5296195652171356E-3</v>
      </c>
      <c r="F24">
        <v>229</v>
      </c>
      <c r="G24">
        <v>2129</v>
      </c>
      <c r="H24">
        <f t="shared" si="4"/>
        <v>1.0372828804347241</v>
      </c>
      <c r="I24">
        <f>H24</f>
        <v>1.0372828804347241</v>
      </c>
      <c r="J24">
        <f>(I24/G24)*1000</f>
        <v>0.487216007719457</v>
      </c>
      <c r="K24">
        <f t="shared" si="5"/>
        <v>-2.0774999999999987E-4</v>
      </c>
      <c r="L24">
        <f t="shared" si="6"/>
        <v>-2.035652173913105E-4</v>
      </c>
      <c r="M24">
        <f t="shared" si="7"/>
        <v>-2.0565760869565517E-4</v>
      </c>
      <c r="N24">
        <f t="shared" si="8"/>
        <v>4.9037552459364243E-4</v>
      </c>
      <c r="O24" s="3">
        <f t="shared" si="9"/>
        <v>4.9037552459364244</v>
      </c>
    </row>
    <row r="25" spans="1:15" x14ac:dyDescent="0.25">
      <c r="A25">
        <v>700</v>
      </c>
      <c r="B25" s="3">
        <v>3.4001250000000001</v>
      </c>
      <c r="C25" s="3">
        <v>3.4045130434782607</v>
      </c>
      <c r="D25">
        <f t="shared" si="2"/>
        <v>4.3880434782606059E-3</v>
      </c>
      <c r="E25">
        <f t="shared" si="3"/>
        <v>3.8796195652173182E-3</v>
      </c>
      <c r="F25" s="3">
        <v>216</v>
      </c>
      <c r="G25">
        <v>2130</v>
      </c>
      <c r="H25">
        <f t="shared" si="4"/>
        <v>0.83799782608694073</v>
      </c>
      <c r="I25">
        <f t="shared" ref="I25:I38" si="10">H25</f>
        <v>0.83799782608694073</v>
      </c>
      <c r="J25">
        <f t="shared" ref="J25:J38" si="11">(I25/G25)*1000</f>
        <v>0.39342620943048862</v>
      </c>
      <c r="K25">
        <f t="shared" si="5"/>
        <v>-1.680000000000037E-4</v>
      </c>
      <c r="L25">
        <f t="shared" si="6"/>
        <v>-1.8100000000000006E-4</v>
      </c>
      <c r="M25">
        <f t="shared" si="7"/>
        <v>-1.7450000000000188E-4</v>
      </c>
      <c r="N25">
        <f t="shared" si="8"/>
        <v>4.6668073789009074E-4</v>
      </c>
      <c r="O25" s="3">
        <f t="shared" si="9"/>
        <v>4.6668073789009075</v>
      </c>
    </row>
    <row r="26" spans="1:15" x14ac:dyDescent="0.25">
      <c r="A26">
        <v>750</v>
      </c>
      <c r="B26" s="3">
        <v>3.3923375000000004</v>
      </c>
      <c r="C26" s="3">
        <v>3.3957086956521745</v>
      </c>
      <c r="D26">
        <f t="shared" si="2"/>
        <v>3.3711956521740305E-3</v>
      </c>
      <c r="E26">
        <f t="shared" si="3"/>
        <v>3.3853260869567414E-3</v>
      </c>
      <c r="F26" s="3">
        <v>205</v>
      </c>
      <c r="G26">
        <v>2131</v>
      </c>
      <c r="H26">
        <f t="shared" si="4"/>
        <v>0.69399184782613199</v>
      </c>
      <c r="I26">
        <f t="shared" si="10"/>
        <v>0.69399184782613199</v>
      </c>
      <c r="J26">
        <f t="shared" si="11"/>
        <v>0.32566487462512056</v>
      </c>
      <c r="K26">
        <f t="shared" si="5"/>
        <v>-1.5037500000000036E-4</v>
      </c>
      <c r="L26">
        <f t="shared" si="6"/>
        <v>-1.602608695652119E-4</v>
      </c>
      <c r="M26">
        <f t="shared" si="7"/>
        <v>-1.5531793478260612E-4</v>
      </c>
      <c r="N26">
        <f t="shared" si="8"/>
        <v>4.3401159337360886E-4</v>
      </c>
      <c r="O26" s="3">
        <f t="shared" si="9"/>
        <v>4.3401159337360884</v>
      </c>
    </row>
    <row r="27" spans="1:15" x14ac:dyDescent="0.25">
      <c r="A27">
        <v>800</v>
      </c>
      <c r="B27" s="3">
        <v>3.3850875</v>
      </c>
      <c r="C27" s="3">
        <v>3.3884869565217395</v>
      </c>
      <c r="D27">
        <f t="shared" si="2"/>
        <v>3.3994565217394523E-3</v>
      </c>
      <c r="E27">
        <f t="shared" si="3"/>
        <v>2.9138586956523049E-3</v>
      </c>
      <c r="F27" s="3">
        <v>192</v>
      </c>
      <c r="G27">
        <v>2132</v>
      </c>
      <c r="H27">
        <f t="shared" si="4"/>
        <v>0.55946086956524255</v>
      </c>
      <c r="I27">
        <f t="shared" si="10"/>
        <v>0.55946086956524255</v>
      </c>
      <c r="J27">
        <f t="shared" si="11"/>
        <v>0.26241128966474792</v>
      </c>
      <c r="K27">
        <f t="shared" si="5"/>
        <v>-1.3287500000000563E-4</v>
      </c>
      <c r="L27">
        <f t="shared" si="6"/>
        <v>-1.4230434782609437E-4</v>
      </c>
      <c r="M27">
        <f t="shared" si="7"/>
        <v>-1.3758967391305001E-4</v>
      </c>
      <c r="N27">
        <f t="shared" si="8"/>
        <v>3.9477413707714605E-4</v>
      </c>
      <c r="O27" s="3">
        <f t="shared" si="9"/>
        <v>3.9477413707714604</v>
      </c>
    </row>
    <row r="28" spans="1:15" x14ac:dyDescent="0.25">
      <c r="A28">
        <v>850</v>
      </c>
      <c r="B28" s="3">
        <v>3.3790499999999999</v>
      </c>
      <c r="C28" s="3">
        <v>3.381478260869565</v>
      </c>
      <c r="D28">
        <f t="shared" si="2"/>
        <v>2.4282608695651575E-3</v>
      </c>
      <c r="E28">
        <f t="shared" si="3"/>
        <v>1.3277667984190611E-3</v>
      </c>
      <c r="F28" s="3">
        <v>181</v>
      </c>
      <c r="G28">
        <v>2133</v>
      </c>
      <c r="H28">
        <f t="shared" si="4"/>
        <v>0.24032579051385006</v>
      </c>
      <c r="I28">
        <f t="shared" si="10"/>
        <v>0.24032579051385006</v>
      </c>
      <c r="J28">
        <f t="shared" si="11"/>
        <v>0.11267031904071732</v>
      </c>
      <c r="K28">
        <f t="shared" si="5"/>
        <v>-1.0087500000000027E-4</v>
      </c>
      <c r="L28">
        <f t="shared" si="6"/>
        <v>-1.3259683794466514E-4</v>
      </c>
      <c r="M28">
        <f t="shared" si="7"/>
        <v>-1.1673591897233271E-4</v>
      </c>
      <c r="N28">
        <f t="shared" si="8"/>
        <v>1.9978231265890204E-4</v>
      </c>
      <c r="O28" s="3">
        <f t="shared" si="9"/>
        <v>1.9978231265890205</v>
      </c>
    </row>
    <row r="29" spans="1:15" x14ac:dyDescent="0.25">
      <c r="A29">
        <v>900</v>
      </c>
      <c r="B29" s="3">
        <v>3.375</v>
      </c>
      <c r="C29" s="3">
        <v>3.375227272727273</v>
      </c>
      <c r="D29">
        <f t="shared" si="2"/>
        <v>2.2727272727296466E-4</v>
      </c>
      <c r="E29">
        <f t="shared" si="3"/>
        <v>2.0675377254364413E-4</v>
      </c>
      <c r="F29" s="3">
        <v>177</v>
      </c>
      <c r="G29">
        <v>2134</v>
      </c>
      <c r="H29">
        <f t="shared" si="4"/>
        <v>3.6595417740225011E-2</v>
      </c>
      <c r="I29">
        <f t="shared" si="10"/>
        <v>3.6595417740225011E-2</v>
      </c>
      <c r="J29">
        <f t="shared" si="11"/>
        <v>1.7148743083516875E-2</v>
      </c>
      <c r="K29">
        <f t="shared" si="5"/>
        <v>-6.673076923077392E-5</v>
      </c>
      <c r="L29">
        <f t="shared" si="6"/>
        <v>-8.9151029748282262E-5</v>
      </c>
      <c r="M29">
        <f t="shared" si="7"/>
        <v>-7.7940899489528084E-5</v>
      </c>
      <c r="N29">
        <f t="shared" si="8"/>
        <v>4.5542713090650966E-5</v>
      </c>
      <c r="O29" s="3">
        <f t="shared" si="9"/>
        <v>0.45542713090650966</v>
      </c>
    </row>
    <row r="30" spans="1:15" x14ac:dyDescent="0.25">
      <c r="A30">
        <v>950</v>
      </c>
      <c r="B30" s="3">
        <v>3.3723769230769225</v>
      </c>
      <c r="C30" s="3">
        <v>3.3725631578947368</v>
      </c>
      <c r="D30">
        <f t="shared" si="2"/>
        <v>1.8623481781432361E-4</v>
      </c>
      <c r="E30">
        <f t="shared" si="3"/>
        <v>1.041986187187538E-3</v>
      </c>
      <c r="F30" s="3">
        <v>172</v>
      </c>
      <c r="G30">
        <v>2135</v>
      </c>
      <c r="H30">
        <f t="shared" si="4"/>
        <v>0.17922162419625653</v>
      </c>
      <c r="I30">
        <f t="shared" si="10"/>
        <v>0.17922162419625653</v>
      </c>
      <c r="J30">
        <f t="shared" si="11"/>
        <v>8.3944554658668166E-2</v>
      </c>
      <c r="K30">
        <f t="shared" si="5"/>
        <v>-6.8153846153844457E-5</v>
      </c>
      <c r="L30">
        <f t="shared" si="6"/>
        <v>-5.1449197860966579E-5</v>
      </c>
      <c r="M30">
        <f t="shared" si="7"/>
        <v>-5.9801522007405514E-5</v>
      </c>
      <c r="N30">
        <f t="shared" si="8"/>
        <v>2.9055764757747351E-4</v>
      </c>
      <c r="O30" s="3">
        <f t="shared" si="9"/>
        <v>2.9055764757747351</v>
      </c>
    </row>
    <row r="31" spans="1:15" x14ac:dyDescent="0.25">
      <c r="A31">
        <v>1000</v>
      </c>
      <c r="B31" s="3">
        <v>3.3681846153846156</v>
      </c>
      <c r="C31" s="3">
        <v>3.3700823529411763</v>
      </c>
      <c r="D31">
        <f t="shared" si="2"/>
        <v>1.8977375565607524E-3</v>
      </c>
      <c r="E31">
        <f t="shared" si="3"/>
        <v>2.4884615384612729E-3</v>
      </c>
      <c r="F31" s="3">
        <v>167</v>
      </c>
      <c r="G31">
        <v>2136</v>
      </c>
      <c r="H31">
        <f t="shared" si="4"/>
        <v>0.41557307692303258</v>
      </c>
      <c r="I31">
        <f t="shared" si="10"/>
        <v>0.41557307692303258</v>
      </c>
      <c r="J31">
        <f t="shared" si="11"/>
        <v>0.1945566839527306</v>
      </c>
      <c r="K31">
        <f t="shared" si="5"/>
        <v>-8.5384615384609394E-5</v>
      </c>
      <c r="L31">
        <f t="shared" si="6"/>
        <v>-5.6455108359134695E-5</v>
      </c>
      <c r="M31">
        <f t="shared" si="7"/>
        <v>-7.0919861871872038E-5</v>
      </c>
      <c r="N31">
        <f t="shared" si="8"/>
        <v>5.6784563670231726E-4</v>
      </c>
      <c r="O31" s="3">
        <f t="shared" si="9"/>
        <v>5.6784563670231725</v>
      </c>
    </row>
    <row r="32" spans="1:15" x14ac:dyDescent="0.25">
      <c r="A32">
        <v>1050</v>
      </c>
      <c r="B32" s="3">
        <v>3.3638384615384616</v>
      </c>
      <c r="C32" s="3">
        <v>3.3669176470588233</v>
      </c>
      <c r="D32">
        <f t="shared" si="2"/>
        <v>3.0791855203617935E-3</v>
      </c>
      <c r="E32">
        <f t="shared" si="3"/>
        <v>2.4929260935147024E-3</v>
      </c>
      <c r="F32" s="3">
        <v>160</v>
      </c>
      <c r="G32">
        <v>2137</v>
      </c>
      <c r="H32">
        <f t="shared" si="4"/>
        <v>0.39886817496235238</v>
      </c>
      <c r="I32">
        <f t="shared" si="10"/>
        <v>0.39886817496235238</v>
      </c>
      <c r="J32">
        <f t="shared" si="11"/>
        <v>0.18664865463844285</v>
      </c>
      <c r="K32">
        <f t="shared" si="5"/>
        <v>-6.5846153846162988E-5</v>
      </c>
      <c r="L32">
        <f t="shared" si="6"/>
        <v>-6.5756862745094399E-5</v>
      </c>
      <c r="M32">
        <f t="shared" si="7"/>
        <v>-6.5801508295628693E-5</v>
      </c>
      <c r="N32">
        <f t="shared" si="8"/>
        <v>5.8713914208052994E-4</v>
      </c>
      <c r="O32" s="3">
        <f t="shared" si="9"/>
        <v>5.8713914208052991</v>
      </c>
    </row>
    <row r="33" spans="1:15" x14ac:dyDescent="0.25">
      <c r="A33">
        <v>1100</v>
      </c>
      <c r="B33" s="3">
        <v>3.3615999999999993</v>
      </c>
      <c r="C33" s="3">
        <v>3.3635066666666669</v>
      </c>
      <c r="D33">
        <f t="shared" si="2"/>
        <v>1.9066666666676113E-3</v>
      </c>
      <c r="E33">
        <f t="shared" si="3"/>
        <v>1.5116666666674661E-3</v>
      </c>
      <c r="F33" s="3">
        <v>151</v>
      </c>
      <c r="G33">
        <v>2138</v>
      </c>
      <c r="H33">
        <f t="shared" si="4"/>
        <v>0.22826166666678738</v>
      </c>
      <c r="I33">
        <f t="shared" si="10"/>
        <v>0.22826166666678738</v>
      </c>
      <c r="J33">
        <f t="shared" si="11"/>
        <v>0.10676410975995668</v>
      </c>
      <c r="K33">
        <f t="shared" si="5"/>
        <v>-3.7551282051282442E-5</v>
      </c>
      <c r="L33">
        <f t="shared" si="6"/>
        <v>-5.7176470588227168E-5</v>
      </c>
      <c r="M33">
        <f t="shared" si="7"/>
        <v>-4.7363876319754805E-5</v>
      </c>
      <c r="N33">
        <f t="shared" si="8"/>
        <v>4.6658423781170889E-4</v>
      </c>
      <c r="O33" s="3">
        <f t="shared" si="9"/>
        <v>4.6658423781170892</v>
      </c>
    </row>
    <row r="34" spans="1:15" x14ac:dyDescent="0.25">
      <c r="A34">
        <v>1150</v>
      </c>
      <c r="B34" s="3">
        <v>3.3600833333333333</v>
      </c>
      <c r="C34" s="3">
        <v>3.3612000000000006</v>
      </c>
      <c r="D34">
        <f t="shared" si="2"/>
        <v>1.1166666666673208E-3</v>
      </c>
      <c r="E34">
        <f t="shared" si="3"/>
        <v>7.6645021645060929E-4</v>
      </c>
      <c r="F34" s="3">
        <v>145</v>
      </c>
      <c r="G34">
        <v>2139</v>
      </c>
      <c r="H34">
        <f t="shared" si="4"/>
        <v>0.11113528138533835</v>
      </c>
      <c r="I34">
        <f t="shared" si="10"/>
        <v>0.11113528138533835</v>
      </c>
      <c r="J34">
        <f t="shared" si="11"/>
        <v>5.1956653289078239E-2</v>
      </c>
      <c r="K34">
        <f t="shared" si="5"/>
        <v>-1.6090909090902271E-5</v>
      </c>
      <c r="L34">
        <f t="shared" si="6"/>
        <v>-3.099523809523941E-5</v>
      </c>
      <c r="M34">
        <f t="shared" si="7"/>
        <v>-2.3543073593070841E-5</v>
      </c>
      <c r="N34">
        <f t="shared" si="8"/>
        <v>4.5680413584600995E-4</v>
      </c>
      <c r="O34" s="3">
        <f t="shared" si="9"/>
        <v>4.5680413584600998</v>
      </c>
    </row>
    <row r="35" spans="1:15" x14ac:dyDescent="0.25">
      <c r="A35">
        <v>1200</v>
      </c>
      <c r="B35" s="3">
        <v>3.359990909090909</v>
      </c>
      <c r="C35" s="3">
        <v>3.3604071428571429</v>
      </c>
      <c r="D35">
        <f t="shared" si="2"/>
        <v>4.1623376623389774E-4</v>
      </c>
      <c r="E35">
        <f t="shared" si="3"/>
        <v>1.2772835497836255E-3</v>
      </c>
      <c r="F35" s="3">
        <v>137</v>
      </c>
      <c r="G35">
        <v>2140</v>
      </c>
      <c r="H35">
        <f t="shared" si="4"/>
        <v>0.17498784632035669</v>
      </c>
      <c r="I35">
        <f t="shared" si="10"/>
        <v>0.17498784632035669</v>
      </c>
      <c r="J35">
        <f t="shared" si="11"/>
        <v>8.1770021645026489E-2</v>
      </c>
      <c r="K35">
        <f t="shared" si="5"/>
        <v>-3.3633333333331628E-5</v>
      </c>
      <c r="L35">
        <f t="shared" si="6"/>
        <v>-2.3416666666671304E-5</v>
      </c>
      <c r="M35">
        <f t="shared" si="7"/>
        <v>-2.8525000000001466E-5</v>
      </c>
      <c r="N35">
        <f t="shared" si="8"/>
        <v>5.9336302250004194E-4</v>
      </c>
      <c r="O35" s="3">
        <f t="shared" si="9"/>
        <v>5.9336302250004191</v>
      </c>
    </row>
    <row r="36" spans="1:15" x14ac:dyDescent="0.25">
      <c r="A36">
        <v>1250</v>
      </c>
      <c r="B36" s="3">
        <v>3.3567200000000001</v>
      </c>
      <c r="C36" s="3">
        <v>3.3588583333333335</v>
      </c>
      <c r="D36">
        <f t="shared" si="2"/>
        <v>2.1383333333333532E-3</v>
      </c>
      <c r="E36">
        <f t="shared" si="3"/>
        <v>-1.9611111111106361E-4</v>
      </c>
      <c r="F36" s="3">
        <v>124</v>
      </c>
      <c r="G36">
        <v>2141</v>
      </c>
      <c r="H36">
        <f t="shared" si="4"/>
        <v>-2.4317777777771887E-2</v>
      </c>
      <c r="I36">
        <f t="shared" si="10"/>
        <v>-2.4317777777771887E-2</v>
      </c>
      <c r="J36">
        <f t="shared" si="11"/>
        <v>-1.135814001764217E-2</v>
      </c>
      <c r="K36">
        <f t="shared" si="5"/>
        <v>-5.5353535353539484E-5</v>
      </c>
      <c r="L36">
        <f t="shared" si="6"/>
        <v>-8.4821428571433272E-5</v>
      </c>
      <c r="M36">
        <f t="shared" si="7"/>
        <v>-7.0087481962486381E-5</v>
      </c>
      <c r="N36">
        <f t="shared" si="8"/>
        <v>-3.3544303549108798E-5</v>
      </c>
      <c r="O36" s="3">
        <f t="shared" si="9"/>
        <v>-0.335443035491088</v>
      </c>
    </row>
    <row r="37" spans="1:15" x14ac:dyDescent="0.25">
      <c r="A37">
        <v>1300</v>
      </c>
      <c r="B37" s="3">
        <v>3.3544555555555551</v>
      </c>
      <c r="C37" s="3">
        <v>3.3519249999999996</v>
      </c>
      <c r="D37">
        <f t="shared" si="2"/>
        <v>-2.5305555555554804E-3</v>
      </c>
      <c r="E37">
        <f t="shared" si="3"/>
        <v>-1.4355158730157136E-3</v>
      </c>
      <c r="F37" s="3">
        <v>101</v>
      </c>
      <c r="G37">
        <v>2142</v>
      </c>
      <c r="H37">
        <f t="shared" si="4"/>
        <v>-0.14498710317458707</v>
      </c>
      <c r="I37">
        <f t="shared" si="10"/>
        <v>-0.14498710317458707</v>
      </c>
      <c r="J37">
        <f t="shared" si="11"/>
        <v>-6.7687723237435604E-2</v>
      </c>
      <c r="K37">
        <f t="shared" si="5"/>
        <v>-1.2936666666667042E-4</v>
      </c>
      <c r="L37">
        <f t="shared" si="6"/>
        <v>-1.5415476190476342E-4</v>
      </c>
      <c r="M37">
        <f t="shared" si="7"/>
        <v>-1.4176071428571692E-4</v>
      </c>
      <c r="N37">
        <f t="shared" si="8"/>
        <v>-9.8833922545871043E-5</v>
      </c>
      <c r="O37" s="3">
        <f t="shared" si="9"/>
        <v>-0.98833922545871045</v>
      </c>
    </row>
    <row r="38" spans="1:15" x14ac:dyDescent="0.25">
      <c r="A38">
        <v>1350</v>
      </c>
      <c r="B38" s="3">
        <v>3.3437833333333331</v>
      </c>
      <c r="C38" s="3">
        <v>3.3434428571428572</v>
      </c>
      <c r="D38">
        <f t="shared" si="2"/>
        <v>-3.4047619047594679E-4</v>
      </c>
      <c r="E38">
        <f t="shared" si="3"/>
        <v>-1.702380952379734E-4</v>
      </c>
      <c r="F38" s="3">
        <v>67</v>
      </c>
      <c r="G38">
        <v>2143</v>
      </c>
      <c r="H38">
        <f t="shared" si="4"/>
        <v>-1.1405952380944218E-2</v>
      </c>
      <c r="I38">
        <f t="shared" si="10"/>
        <v>-1.1405952380944218E-2</v>
      </c>
      <c r="J38">
        <f t="shared" si="11"/>
        <v>-5.3224229495773294E-3</v>
      </c>
      <c r="K38">
        <f t="shared" si="5"/>
        <v>-2.0935555555555042E-4</v>
      </c>
      <c r="L38">
        <f t="shared" si="6"/>
        <v>-1.7224999999999825E-4</v>
      </c>
      <c r="M38">
        <f t="shared" si="7"/>
        <v>-1.9080277777777432E-4</v>
      </c>
      <c r="N38">
        <f t="shared" si="8"/>
        <v>-5.7739990573622417E-6</v>
      </c>
      <c r="O38" s="3">
        <f t="shared" si="9"/>
        <v>-5.7739990573622418E-2</v>
      </c>
    </row>
    <row r="39" spans="1:15" x14ac:dyDescent="0.25">
      <c r="A39">
        <v>1400</v>
      </c>
      <c r="B39" s="3">
        <v>3.33352</v>
      </c>
      <c r="C39" s="3">
        <v>3.3346999999999998</v>
      </c>
      <c r="F39" s="3">
        <v>25.9</v>
      </c>
      <c r="O39" s="3"/>
    </row>
    <row r="40" spans="1:15" x14ac:dyDescent="0.25">
      <c r="B40" s="3"/>
      <c r="C40" s="3"/>
      <c r="D40" s="8"/>
      <c r="E40" s="8"/>
      <c r="F40" s="3"/>
      <c r="G40" s="9"/>
      <c r="O40" s="3"/>
    </row>
    <row r="41" spans="1:15" x14ac:dyDescent="0.25">
      <c r="B41" s="3"/>
      <c r="C41" s="3"/>
      <c r="D41" s="8"/>
      <c r="E41" s="8"/>
      <c r="F41" s="3"/>
      <c r="G41" s="9"/>
      <c r="O41" s="3"/>
    </row>
    <row r="42" spans="1:15" x14ac:dyDescent="0.25">
      <c r="B42" s="3"/>
      <c r="C42" s="3"/>
      <c r="D42" s="8"/>
      <c r="E42" s="8"/>
      <c r="F42" s="3"/>
      <c r="G42" s="9"/>
      <c r="O42" s="3"/>
    </row>
    <row r="43" spans="1:15" x14ac:dyDescent="0.25">
      <c r="B43" s="3"/>
      <c r="C43" s="3"/>
      <c r="D43" s="8"/>
      <c r="E43" s="8"/>
      <c r="F43" s="3"/>
      <c r="G43" s="9"/>
      <c r="O43" s="3"/>
    </row>
    <row r="44" spans="1:15" x14ac:dyDescent="0.25">
      <c r="B44" s="3"/>
      <c r="C44" s="3"/>
      <c r="D44" s="8"/>
      <c r="E44" s="8"/>
      <c r="F44" s="3"/>
      <c r="G44" s="9"/>
      <c r="O44" s="3"/>
    </row>
    <row r="45" spans="1:15" x14ac:dyDescent="0.25">
      <c r="B45" s="3"/>
      <c r="C45" s="3"/>
      <c r="D45" s="8"/>
      <c r="E45" s="8"/>
      <c r="F45" s="3"/>
      <c r="G45" s="9"/>
      <c r="O45" s="3"/>
    </row>
    <row r="46" spans="1:15" x14ac:dyDescent="0.25">
      <c r="B46" s="3"/>
      <c r="C46" s="3"/>
      <c r="D46" s="8"/>
      <c r="E46" s="8"/>
      <c r="F46" s="3"/>
      <c r="G46" s="9"/>
      <c r="O46" s="3"/>
    </row>
    <row r="47" spans="1:15" x14ac:dyDescent="0.25">
      <c r="B47" s="3"/>
      <c r="C47" s="3"/>
      <c r="D47" s="8"/>
      <c r="E47" s="8"/>
      <c r="F47" s="3"/>
      <c r="G47" s="9"/>
      <c r="O47" s="3"/>
    </row>
    <row r="48" spans="1:15" x14ac:dyDescent="0.25">
      <c r="B48" s="3"/>
      <c r="C48" s="3"/>
      <c r="D48" s="8"/>
      <c r="E48" s="8"/>
      <c r="F48" s="3"/>
      <c r="G48" s="9"/>
      <c r="O48" s="3"/>
    </row>
    <row r="49" spans="2:15" x14ac:dyDescent="0.25">
      <c r="B49" s="3"/>
      <c r="C49" s="3"/>
      <c r="D49" s="8"/>
      <c r="E49" s="8"/>
      <c r="F49" s="3"/>
      <c r="G49" s="9"/>
      <c r="O49" s="3"/>
    </row>
    <row r="50" spans="2:15" x14ac:dyDescent="0.25">
      <c r="B50" s="3"/>
      <c r="C50" s="3"/>
      <c r="D50" s="8"/>
      <c r="E50" s="8"/>
      <c r="F50" s="3"/>
      <c r="G50" s="9"/>
      <c r="O50" s="3"/>
    </row>
    <row r="51" spans="2:15" x14ac:dyDescent="0.25">
      <c r="B51" s="3"/>
      <c r="C51" s="3"/>
      <c r="D51" s="8"/>
      <c r="E51" s="8"/>
      <c r="F51" s="3"/>
      <c r="G51" s="9"/>
      <c r="O51" s="3"/>
    </row>
    <row r="52" spans="2:15" x14ac:dyDescent="0.25">
      <c r="B52" s="3"/>
      <c r="C52" s="3"/>
      <c r="D52" s="8"/>
      <c r="E52" s="8"/>
      <c r="F52" s="3"/>
      <c r="O52" s="3"/>
    </row>
    <row r="53" spans="2:15" x14ac:dyDescent="0.25">
      <c r="B53" s="3"/>
      <c r="C53" s="3"/>
      <c r="D53" s="8"/>
      <c r="E53" s="8"/>
      <c r="F53" s="3"/>
      <c r="G53" s="9"/>
      <c r="O53" s="3"/>
    </row>
    <row r="54" spans="2:15" x14ac:dyDescent="0.25">
      <c r="B54" s="3"/>
      <c r="C54" s="3"/>
      <c r="D54" s="8"/>
      <c r="E54" s="8"/>
      <c r="F54" s="3"/>
      <c r="G54" s="9"/>
      <c r="O54" s="3"/>
    </row>
    <row r="55" spans="2:15" x14ac:dyDescent="0.25">
      <c r="B55" s="3"/>
      <c r="C55" s="3"/>
      <c r="D55" s="8"/>
      <c r="E55" s="8"/>
      <c r="F55" s="3"/>
      <c r="G55" s="9"/>
      <c r="O55" s="3"/>
    </row>
    <row r="56" spans="2:15" x14ac:dyDescent="0.25">
      <c r="B56" s="3"/>
      <c r="C56" s="3"/>
      <c r="D56" s="8"/>
      <c r="E56" s="8"/>
      <c r="F56" s="3"/>
      <c r="G56" s="9"/>
      <c r="O56" s="3"/>
    </row>
    <row r="57" spans="2:15" x14ac:dyDescent="0.25">
      <c r="B57" s="3"/>
      <c r="D57" s="8"/>
      <c r="E57" s="8"/>
      <c r="F57" s="3"/>
      <c r="G57" s="9"/>
      <c r="O57" s="3"/>
    </row>
    <row r="58" spans="2:15" x14ac:dyDescent="0.25">
      <c r="B58" s="3"/>
      <c r="D58" s="8"/>
      <c r="E58" s="8"/>
      <c r="F58" s="3"/>
      <c r="G58" s="9"/>
      <c r="O58" s="3"/>
    </row>
    <row r="59" spans="2:15" x14ac:dyDescent="0.25">
      <c r="B59" s="3"/>
      <c r="D59" s="8"/>
      <c r="E59" s="8"/>
      <c r="F59" s="3"/>
      <c r="G59" s="9"/>
      <c r="O59" s="3"/>
    </row>
    <row r="60" spans="2:15" x14ac:dyDescent="0.25">
      <c r="B60" s="3"/>
      <c r="D60" s="8"/>
      <c r="E60" s="8"/>
      <c r="F60" s="3"/>
      <c r="G60" s="9"/>
      <c r="O60" s="3"/>
    </row>
    <row r="61" spans="2:15" x14ac:dyDescent="0.25">
      <c r="B61" s="3"/>
      <c r="D61" s="8"/>
      <c r="E61" s="8"/>
      <c r="F61" s="3"/>
      <c r="G61" s="9"/>
      <c r="O61" s="3"/>
    </row>
    <row r="62" spans="2:15" x14ac:dyDescent="0.25">
      <c r="B62" s="3"/>
      <c r="D62" s="8"/>
      <c r="E62" s="8"/>
      <c r="F62" s="3"/>
      <c r="G62" s="9"/>
      <c r="O62" s="3"/>
    </row>
    <row r="63" spans="2:15" x14ac:dyDescent="0.25">
      <c r="B63" s="3"/>
      <c r="D63" s="8"/>
      <c r="E63" s="8"/>
      <c r="F63" s="3"/>
      <c r="G63" s="9"/>
      <c r="O63" s="3"/>
    </row>
    <row r="64" spans="2:15" x14ac:dyDescent="0.25">
      <c r="B64" s="3"/>
      <c r="D64" s="8"/>
      <c r="E64" s="8"/>
      <c r="F64" s="3"/>
      <c r="G64" s="9"/>
      <c r="O64" s="3"/>
    </row>
    <row r="65" spans="2:15" x14ac:dyDescent="0.25">
      <c r="B65" s="3"/>
      <c r="D65" s="8"/>
      <c r="E65" s="8"/>
      <c r="F65" s="3"/>
      <c r="G65" s="9"/>
      <c r="O65" s="3"/>
    </row>
    <row r="66" spans="2:15" x14ac:dyDescent="0.25">
      <c r="B66" s="3"/>
      <c r="D66" s="8"/>
      <c r="E66" s="8"/>
      <c r="F66" s="3"/>
      <c r="G66" s="9"/>
      <c r="O66" s="3"/>
    </row>
    <row r="67" spans="2:15" x14ac:dyDescent="0.25">
      <c r="B67" s="3"/>
      <c r="D67" s="8"/>
      <c r="E67" s="8"/>
      <c r="F67" s="3"/>
      <c r="G67" s="9"/>
      <c r="O67" s="3"/>
    </row>
    <row r="68" spans="2:15" x14ac:dyDescent="0.25">
      <c r="B68" s="3"/>
      <c r="D68" s="8"/>
      <c r="E68" s="8"/>
      <c r="F68" s="3"/>
      <c r="G68" s="9"/>
      <c r="O68" s="3"/>
    </row>
    <row r="69" spans="2:15" x14ac:dyDescent="0.25">
      <c r="B69" s="3"/>
      <c r="D69" s="8"/>
      <c r="E69" s="8"/>
      <c r="F69" s="3"/>
      <c r="G69" s="9"/>
      <c r="O69" s="3"/>
    </row>
    <row r="70" spans="2:15" x14ac:dyDescent="0.25">
      <c r="B70" s="3"/>
      <c r="D70" s="8"/>
      <c r="E70" s="8"/>
      <c r="F70" s="3"/>
      <c r="G70" s="9"/>
      <c r="O70" s="3"/>
    </row>
    <row r="71" spans="2:15" x14ac:dyDescent="0.25">
      <c r="B71" s="3"/>
      <c r="D71" s="8"/>
      <c r="E71" s="8"/>
      <c r="F71" s="3"/>
      <c r="G71" s="9"/>
      <c r="O71" s="3"/>
    </row>
    <row r="72" spans="2:15" x14ac:dyDescent="0.25">
      <c r="B72" s="3"/>
      <c r="D72" s="8"/>
      <c r="E72" s="8"/>
      <c r="F72" s="3"/>
      <c r="G72" s="9"/>
      <c r="O72" s="3"/>
    </row>
    <row r="73" spans="2:15" x14ac:dyDescent="0.25">
      <c r="B73" s="3"/>
      <c r="D73" s="8"/>
      <c r="E73" s="8"/>
      <c r="F73" s="3"/>
      <c r="G73" s="9"/>
      <c r="O73" s="3"/>
    </row>
    <row r="74" spans="2:15" x14ac:dyDescent="0.25">
      <c r="B74" s="3"/>
      <c r="D74" s="8"/>
      <c r="E74" s="8"/>
      <c r="F74" s="3"/>
      <c r="G74" s="9"/>
      <c r="O74" s="3"/>
    </row>
    <row r="75" spans="2:15" x14ac:dyDescent="0.25">
      <c r="B75" s="3"/>
      <c r="D75" s="8"/>
      <c r="E75" s="8"/>
      <c r="F75" s="3"/>
      <c r="G75" s="9"/>
      <c r="O75" s="3"/>
    </row>
    <row r="76" spans="2:15" x14ac:dyDescent="0.25">
      <c r="B76" s="3"/>
      <c r="D76" s="8"/>
      <c r="E76" s="8"/>
      <c r="F76" s="3"/>
      <c r="G76" s="9"/>
      <c r="O76" s="3"/>
    </row>
    <row r="77" spans="2:15" x14ac:dyDescent="0.25">
      <c r="B77" s="3"/>
      <c r="D77" s="8"/>
      <c r="E77" s="8"/>
      <c r="F77" s="3"/>
      <c r="O77" s="3"/>
    </row>
    <row r="78" spans="2:15" x14ac:dyDescent="0.25">
      <c r="B78" s="3"/>
      <c r="D78" s="8"/>
      <c r="E78" s="8"/>
      <c r="F78" s="3"/>
      <c r="G78" s="9"/>
      <c r="O78" s="3"/>
    </row>
    <row r="79" spans="2:15" x14ac:dyDescent="0.25">
      <c r="B79" s="3"/>
      <c r="D79" s="8"/>
      <c r="E79" s="8"/>
      <c r="F79" s="3"/>
      <c r="G79" s="9"/>
      <c r="O79" s="3"/>
    </row>
    <row r="80" spans="2:15" x14ac:dyDescent="0.25">
      <c r="D80" s="8"/>
      <c r="E80" s="8"/>
      <c r="F80" s="3"/>
      <c r="G80" s="9"/>
      <c r="O80" s="3"/>
    </row>
    <row r="81" spans="4:15" x14ac:dyDescent="0.25">
      <c r="D81" s="8"/>
      <c r="E81" s="8"/>
      <c r="F81" s="3"/>
      <c r="G81" s="9"/>
      <c r="O81" s="3"/>
    </row>
    <row r="82" spans="4:15" x14ac:dyDescent="0.25">
      <c r="D82" s="8"/>
      <c r="E82" s="8"/>
      <c r="F82" s="3"/>
      <c r="G82" s="9"/>
      <c r="O82" s="3"/>
    </row>
    <row r="83" spans="4:15" x14ac:dyDescent="0.25">
      <c r="D83" s="8"/>
      <c r="E83" s="8"/>
      <c r="F83" s="3"/>
      <c r="G83" s="9"/>
      <c r="O83" s="3"/>
    </row>
    <row r="84" spans="4:15" x14ac:dyDescent="0.25">
      <c r="D84" s="8"/>
      <c r="E84" s="8"/>
      <c r="F84" s="3"/>
      <c r="G84" s="9"/>
      <c r="O84" s="3"/>
    </row>
    <row r="85" spans="4:15" x14ac:dyDescent="0.25">
      <c r="D85" s="8"/>
      <c r="E85" s="8"/>
      <c r="F85" s="3"/>
      <c r="G85" s="9"/>
      <c r="O85" s="3"/>
    </row>
    <row r="86" spans="4:15" x14ac:dyDescent="0.25">
      <c r="D86" s="8"/>
      <c r="E86" s="8"/>
      <c r="F86" s="3"/>
      <c r="G86" s="9"/>
      <c r="O86" s="3"/>
    </row>
    <row r="87" spans="4:15" x14ac:dyDescent="0.25">
      <c r="D87" s="8"/>
      <c r="E87" s="8"/>
      <c r="F87" s="3"/>
      <c r="G87" s="9"/>
      <c r="O87" s="3"/>
    </row>
    <row r="88" spans="4:15" x14ac:dyDescent="0.25">
      <c r="D88" s="8"/>
      <c r="E88" s="8"/>
      <c r="F88" s="3"/>
      <c r="G88" s="9"/>
      <c r="O88" s="3"/>
    </row>
    <row r="89" spans="4:15" x14ac:dyDescent="0.25">
      <c r="D89" s="8"/>
      <c r="E89" s="8"/>
      <c r="F89" s="3"/>
      <c r="G89" s="9"/>
      <c r="O89" s="3"/>
    </row>
    <row r="90" spans="4:15" x14ac:dyDescent="0.25">
      <c r="D90" s="8"/>
      <c r="E90" s="8"/>
      <c r="F90" s="3"/>
      <c r="G90" s="9"/>
      <c r="O90" s="3"/>
    </row>
    <row r="91" spans="4:15" x14ac:dyDescent="0.25">
      <c r="D91" s="8"/>
      <c r="E91" s="8"/>
      <c r="F91" s="3"/>
      <c r="G91" s="9"/>
      <c r="O91" s="3"/>
    </row>
    <row r="92" spans="4:15" x14ac:dyDescent="0.25">
      <c r="D92" s="8"/>
      <c r="E92" s="8"/>
      <c r="F92" s="3"/>
      <c r="G92" s="9"/>
      <c r="O92" s="3"/>
    </row>
    <row r="93" spans="4:15" x14ac:dyDescent="0.25">
      <c r="D93" s="8"/>
      <c r="E93" s="8"/>
      <c r="F93" s="3"/>
      <c r="G93" s="9"/>
      <c r="O93" s="3"/>
    </row>
    <row r="94" spans="4:15" x14ac:dyDescent="0.25">
      <c r="D94" s="8"/>
      <c r="E94" s="8"/>
      <c r="F94" s="3"/>
      <c r="G94" s="9"/>
      <c r="O94" s="3"/>
    </row>
    <row r="95" spans="4:15" x14ac:dyDescent="0.25">
      <c r="D95" s="8"/>
      <c r="E95" s="8"/>
      <c r="F95" s="3"/>
      <c r="G95" s="9"/>
      <c r="O95" s="3"/>
    </row>
    <row r="96" spans="4:15" x14ac:dyDescent="0.25">
      <c r="D96" s="8"/>
      <c r="E96" s="8"/>
      <c r="F96" s="3"/>
      <c r="G96" s="9"/>
      <c r="O96" s="3"/>
    </row>
    <row r="97" spans="4:15" x14ac:dyDescent="0.25">
      <c r="D97" s="8"/>
      <c r="E97" s="8"/>
      <c r="F97" s="3"/>
      <c r="G97" s="9"/>
      <c r="O97" s="3"/>
    </row>
    <row r="98" spans="4:15" x14ac:dyDescent="0.25">
      <c r="D98" s="8"/>
      <c r="E98" s="8"/>
      <c r="F98" s="3"/>
      <c r="G98" s="9"/>
      <c r="O98" s="3"/>
    </row>
    <row r="99" spans="4:15" x14ac:dyDescent="0.25">
      <c r="D99" s="8"/>
      <c r="E99" s="8"/>
      <c r="F99" s="3"/>
      <c r="G99" s="9"/>
      <c r="O99" s="3"/>
    </row>
    <row r="100" spans="4:15" x14ac:dyDescent="0.25">
      <c r="D100" s="8"/>
      <c r="E100" s="8"/>
      <c r="F100" s="3"/>
      <c r="G100" s="9"/>
      <c r="O100" s="3"/>
    </row>
    <row r="101" spans="4:15" x14ac:dyDescent="0.25">
      <c r="D101" s="8"/>
      <c r="E101" s="8"/>
      <c r="F101" s="3"/>
      <c r="G101" s="9"/>
      <c r="O101" s="3"/>
    </row>
    <row r="102" spans="4:15" x14ac:dyDescent="0.25">
      <c r="D102" s="8"/>
      <c r="E102" s="8"/>
      <c r="F102" s="3"/>
      <c r="O102" s="3"/>
    </row>
    <row r="103" spans="4:15" x14ac:dyDescent="0.25">
      <c r="D103" s="8"/>
      <c r="E103" s="8"/>
      <c r="F103" s="3"/>
      <c r="G103" s="9"/>
      <c r="O103" s="3"/>
    </row>
    <row r="104" spans="4:15" x14ac:dyDescent="0.25">
      <c r="D104" s="8"/>
      <c r="E104" s="8"/>
      <c r="F104" s="3"/>
      <c r="G104" s="9"/>
      <c r="O104" s="3"/>
    </row>
    <row r="105" spans="4:15" x14ac:dyDescent="0.25">
      <c r="D105" s="8"/>
      <c r="E105" s="8"/>
      <c r="F105" s="3"/>
      <c r="G105" s="9"/>
      <c r="O105" s="3"/>
    </row>
    <row r="106" spans="4:15" x14ac:dyDescent="0.25">
      <c r="D106" s="8"/>
      <c r="E106" s="8"/>
      <c r="F106" s="3"/>
      <c r="G106" s="9"/>
      <c r="O106" s="3"/>
    </row>
    <row r="107" spans="4:15" x14ac:dyDescent="0.25">
      <c r="D107" s="8"/>
      <c r="E107" s="8"/>
      <c r="F107" s="3"/>
      <c r="G107" s="9"/>
      <c r="O107" s="3"/>
    </row>
    <row r="108" spans="4:15" x14ac:dyDescent="0.25">
      <c r="D108" s="8"/>
      <c r="E108" s="8"/>
      <c r="F108" s="3"/>
      <c r="G108" s="9"/>
      <c r="O108" s="3"/>
    </row>
    <row r="109" spans="4:15" x14ac:dyDescent="0.25">
      <c r="D109" s="8"/>
      <c r="E109" s="8"/>
      <c r="F109" s="3"/>
      <c r="G109" s="9"/>
      <c r="O109" s="3"/>
    </row>
    <row r="110" spans="4:15" x14ac:dyDescent="0.25">
      <c r="D110" s="8"/>
      <c r="E110" s="8"/>
      <c r="F110" s="3"/>
      <c r="G110" s="9"/>
      <c r="O110" s="3"/>
    </row>
    <row r="111" spans="4:15" x14ac:dyDescent="0.25">
      <c r="D111" s="8"/>
      <c r="E111" s="8"/>
      <c r="F111" s="3"/>
      <c r="G111" s="9"/>
      <c r="O111" s="3"/>
    </row>
    <row r="112" spans="4:15" x14ac:dyDescent="0.25">
      <c r="D112" s="8"/>
      <c r="E112" s="8"/>
      <c r="F112" s="3"/>
      <c r="G112" s="9"/>
      <c r="O112" s="3"/>
    </row>
    <row r="113" spans="4:15" x14ac:dyDescent="0.25">
      <c r="D113" s="8"/>
      <c r="E113" s="8"/>
      <c r="F113" s="3"/>
      <c r="G113" s="9"/>
      <c r="O113" s="3"/>
    </row>
    <row r="114" spans="4:15" x14ac:dyDescent="0.25">
      <c r="D114" s="8"/>
      <c r="E114" s="8"/>
      <c r="F114" s="3"/>
      <c r="G114" s="9"/>
      <c r="O114" s="3"/>
    </row>
    <row r="115" spans="4:15" x14ac:dyDescent="0.25">
      <c r="D115" s="8"/>
      <c r="E115" s="8"/>
      <c r="F115" s="3"/>
      <c r="G115" s="9"/>
      <c r="O115" s="3"/>
    </row>
    <row r="116" spans="4:15" x14ac:dyDescent="0.25">
      <c r="D116" s="8"/>
      <c r="E116" s="8"/>
      <c r="F116" s="3"/>
      <c r="G116" s="9"/>
      <c r="O116" s="3"/>
    </row>
    <row r="117" spans="4:15" x14ac:dyDescent="0.25">
      <c r="D117" s="8"/>
      <c r="E117" s="8"/>
      <c r="F117" s="3"/>
      <c r="G117" s="9"/>
      <c r="O117" s="3"/>
    </row>
    <row r="118" spans="4:15" x14ac:dyDescent="0.25">
      <c r="D118" s="8"/>
      <c r="E118" s="8"/>
      <c r="F118" s="3"/>
      <c r="G118" s="9"/>
      <c r="O118" s="3"/>
    </row>
    <row r="119" spans="4:15" x14ac:dyDescent="0.25">
      <c r="D119" s="8"/>
      <c r="E119" s="8"/>
      <c r="F119" s="3"/>
      <c r="G119" s="9"/>
      <c r="O119" s="3"/>
    </row>
    <row r="120" spans="4:15" x14ac:dyDescent="0.25">
      <c r="D120" s="8"/>
      <c r="E120" s="8"/>
      <c r="F120" s="3"/>
      <c r="G120" s="9"/>
      <c r="O120" s="3"/>
    </row>
    <row r="121" spans="4:15" x14ac:dyDescent="0.25">
      <c r="D121" s="8"/>
      <c r="E121" s="8"/>
      <c r="F121" s="3"/>
      <c r="G121" s="9"/>
      <c r="O121" s="3"/>
    </row>
    <row r="122" spans="4:15" x14ac:dyDescent="0.25">
      <c r="D122" s="8"/>
      <c r="E122" s="8"/>
      <c r="F122" s="3"/>
      <c r="G122" s="9"/>
      <c r="O122" s="3"/>
    </row>
    <row r="123" spans="4:15" x14ac:dyDescent="0.25">
      <c r="D123" s="8"/>
      <c r="E123" s="8"/>
      <c r="F123" s="3"/>
      <c r="G123" s="9"/>
      <c r="O123" s="3"/>
    </row>
    <row r="124" spans="4:15" x14ac:dyDescent="0.25">
      <c r="D124" s="8"/>
      <c r="E124" s="8"/>
      <c r="F124" s="3"/>
      <c r="G124" s="9"/>
      <c r="O124" s="3"/>
    </row>
    <row r="125" spans="4:15" x14ac:dyDescent="0.25">
      <c r="D125" s="8"/>
      <c r="E125" s="8"/>
      <c r="F125" s="3"/>
      <c r="G125" s="9"/>
      <c r="O125" s="3"/>
    </row>
    <row r="126" spans="4:15" x14ac:dyDescent="0.25">
      <c r="D126" s="8"/>
      <c r="E126" s="8"/>
      <c r="F126" s="3"/>
      <c r="G126" s="9"/>
      <c r="O126" s="3"/>
    </row>
    <row r="127" spans="4:15" x14ac:dyDescent="0.25">
      <c r="D127" s="8"/>
      <c r="E127" s="8"/>
      <c r="F127" s="3"/>
      <c r="O127" s="3"/>
    </row>
    <row r="128" spans="4:15" x14ac:dyDescent="0.25">
      <c r="D128" s="8"/>
      <c r="E128" s="8"/>
      <c r="F128" s="3"/>
      <c r="G128" s="9"/>
      <c r="O128" s="3"/>
    </row>
    <row r="129" spans="4:15" x14ac:dyDescent="0.25">
      <c r="D129" s="8"/>
      <c r="E129" s="8"/>
      <c r="F129" s="3"/>
      <c r="G129" s="9"/>
      <c r="O129" s="3"/>
    </row>
    <row r="130" spans="4:15" x14ac:dyDescent="0.25">
      <c r="D130" s="8"/>
      <c r="E130" s="8"/>
      <c r="F130" s="3"/>
      <c r="G130" s="9"/>
      <c r="O130" s="3"/>
    </row>
    <row r="131" spans="4:15" x14ac:dyDescent="0.25">
      <c r="D131" s="8"/>
      <c r="E131" s="8"/>
      <c r="F131" s="3"/>
      <c r="G131" s="9"/>
      <c r="O131" s="3"/>
    </row>
    <row r="132" spans="4:15" x14ac:dyDescent="0.25">
      <c r="D132" s="8"/>
      <c r="E132" s="8"/>
      <c r="F132" s="3"/>
      <c r="G132" s="9"/>
      <c r="O132" s="3"/>
    </row>
    <row r="133" spans="4:15" x14ac:dyDescent="0.25">
      <c r="D133" s="8"/>
      <c r="E133" s="8"/>
      <c r="F133" s="3"/>
      <c r="G133" s="9"/>
      <c r="O133" s="3"/>
    </row>
    <row r="134" spans="4:15" x14ac:dyDescent="0.25">
      <c r="D134" s="8"/>
      <c r="E134" s="8"/>
      <c r="F134" s="3"/>
      <c r="G134" s="9"/>
      <c r="O134" s="3"/>
    </row>
    <row r="135" spans="4:15" x14ac:dyDescent="0.25">
      <c r="D135" s="8"/>
      <c r="E135" s="8"/>
      <c r="F135" s="3"/>
      <c r="G135" s="9"/>
      <c r="O135" s="3"/>
    </row>
    <row r="136" spans="4:15" x14ac:dyDescent="0.25">
      <c r="D136" s="8"/>
      <c r="E136" s="8"/>
      <c r="F136" s="3"/>
      <c r="G136" s="9"/>
      <c r="O136" s="3"/>
    </row>
    <row r="137" spans="4:15" x14ac:dyDescent="0.25">
      <c r="D137" s="8"/>
      <c r="E137" s="8"/>
      <c r="F137" s="3"/>
      <c r="G137" s="9"/>
      <c r="O137" s="3"/>
    </row>
    <row r="138" spans="4:15" x14ac:dyDescent="0.25">
      <c r="D138" s="8"/>
      <c r="E138" s="8"/>
      <c r="F138" s="3"/>
      <c r="G138" s="9"/>
      <c r="O138" s="3"/>
    </row>
    <row r="139" spans="4:15" x14ac:dyDescent="0.25">
      <c r="D139" s="8"/>
      <c r="E139" s="8"/>
      <c r="F139" s="3"/>
      <c r="G139" s="9"/>
      <c r="O139" s="3"/>
    </row>
    <row r="140" spans="4:15" x14ac:dyDescent="0.25">
      <c r="D140" s="8"/>
      <c r="E140" s="8"/>
      <c r="F140" s="3"/>
      <c r="G140" s="9"/>
      <c r="O140" s="3"/>
    </row>
    <row r="141" spans="4:15" x14ac:dyDescent="0.25">
      <c r="D141" s="8"/>
      <c r="E141" s="8"/>
      <c r="F141" s="3"/>
      <c r="G141" s="9"/>
      <c r="O141" s="3"/>
    </row>
    <row r="142" spans="4:15" x14ac:dyDescent="0.25">
      <c r="D142" s="8"/>
      <c r="E142" s="8"/>
      <c r="F142" s="3"/>
      <c r="G142" s="9"/>
      <c r="O142" s="3"/>
    </row>
    <row r="143" spans="4:15" x14ac:dyDescent="0.25">
      <c r="D143" s="8"/>
      <c r="E143" s="8"/>
      <c r="F143" s="3"/>
      <c r="G143" s="9"/>
      <c r="O143" s="3"/>
    </row>
    <row r="144" spans="4:15" x14ac:dyDescent="0.25">
      <c r="D144" s="8"/>
      <c r="E144" s="8"/>
      <c r="F144" s="3"/>
      <c r="G144" s="9"/>
      <c r="O144" s="3"/>
    </row>
    <row r="145" spans="4:15" x14ac:dyDescent="0.25">
      <c r="D145" s="8"/>
      <c r="E145" s="8"/>
      <c r="F145" s="3"/>
      <c r="G145" s="9"/>
      <c r="O145" s="3"/>
    </row>
    <row r="146" spans="4:15" x14ac:dyDescent="0.25">
      <c r="D146" s="8"/>
      <c r="E146" s="8"/>
      <c r="F146" s="3"/>
      <c r="G146" s="9"/>
      <c r="O146" s="3"/>
    </row>
    <row r="147" spans="4:15" x14ac:dyDescent="0.25">
      <c r="D147" s="8"/>
      <c r="E147" s="8"/>
      <c r="F147" s="3"/>
      <c r="G147" s="9"/>
      <c r="O147" s="3"/>
    </row>
    <row r="148" spans="4:15" x14ac:dyDescent="0.25">
      <c r="D148" s="8"/>
      <c r="E148" s="8"/>
      <c r="F148" s="3"/>
      <c r="G148" s="9"/>
      <c r="O148" s="3"/>
    </row>
    <row r="149" spans="4:15" x14ac:dyDescent="0.25">
      <c r="D149" s="8"/>
      <c r="E149" s="8"/>
      <c r="F149" s="3"/>
      <c r="G149" s="9"/>
      <c r="O149" s="3"/>
    </row>
    <row r="150" spans="4:15" x14ac:dyDescent="0.25">
      <c r="D150" s="8"/>
      <c r="E150" s="8"/>
      <c r="F150" s="3"/>
      <c r="G150" s="9"/>
      <c r="O150" s="3"/>
    </row>
    <row r="151" spans="4:15" x14ac:dyDescent="0.25">
      <c r="D151" s="8"/>
      <c r="E151" s="8"/>
      <c r="F151" s="3"/>
      <c r="G151" s="9"/>
      <c r="O151" s="3"/>
    </row>
    <row r="152" spans="4:15" x14ac:dyDescent="0.25">
      <c r="D152" s="8"/>
      <c r="E152" s="8"/>
      <c r="F152" s="3"/>
      <c r="O152" s="3"/>
    </row>
    <row r="153" spans="4:15" x14ac:dyDescent="0.25">
      <c r="D153" s="8"/>
      <c r="E153" s="8"/>
      <c r="F153" s="3"/>
      <c r="G153" s="9"/>
      <c r="O153" s="3"/>
    </row>
    <row r="154" spans="4:15" x14ac:dyDescent="0.25">
      <c r="D154" s="8"/>
      <c r="E154" s="8"/>
      <c r="F154" s="3"/>
      <c r="G154" s="9"/>
      <c r="O154" s="3"/>
    </row>
    <row r="155" spans="4:15" x14ac:dyDescent="0.25">
      <c r="D155" s="8"/>
      <c r="E155" s="8"/>
      <c r="F155" s="3"/>
      <c r="G155" s="9"/>
      <c r="O155" s="3"/>
    </row>
    <row r="156" spans="4:15" x14ac:dyDescent="0.25">
      <c r="D156" s="8"/>
      <c r="E156" s="8"/>
      <c r="F156" s="3"/>
      <c r="G156" s="9"/>
      <c r="O156" s="3"/>
    </row>
    <row r="157" spans="4:15" x14ac:dyDescent="0.25">
      <c r="D157" s="8"/>
      <c r="E157" s="8"/>
      <c r="F157" s="3"/>
      <c r="G157" s="9"/>
      <c r="O157" s="3"/>
    </row>
    <row r="158" spans="4:15" x14ac:dyDescent="0.25">
      <c r="D158" s="8"/>
      <c r="E158" s="8"/>
      <c r="F158" s="3"/>
      <c r="G158" s="9"/>
      <c r="O158" s="3"/>
    </row>
    <row r="159" spans="4:15" x14ac:dyDescent="0.25">
      <c r="D159" s="8"/>
      <c r="E159" s="8"/>
      <c r="F159" s="3"/>
      <c r="G159" s="9"/>
      <c r="O159" s="3"/>
    </row>
    <row r="160" spans="4:15" x14ac:dyDescent="0.25">
      <c r="D160" s="8"/>
      <c r="E160" s="8"/>
      <c r="F160" s="3"/>
      <c r="G160" s="9"/>
      <c r="O160" s="3"/>
    </row>
    <row r="161" spans="4:15" x14ac:dyDescent="0.25">
      <c r="D161" s="8"/>
      <c r="E161" s="8"/>
      <c r="F161" s="3"/>
      <c r="G161" s="9"/>
      <c r="O161" s="3"/>
    </row>
    <row r="162" spans="4:15" x14ac:dyDescent="0.25">
      <c r="D162" s="8"/>
      <c r="E162" s="8"/>
      <c r="F162" s="3"/>
      <c r="G162" s="9"/>
      <c r="O162" s="3"/>
    </row>
    <row r="163" spans="4:15" x14ac:dyDescent="0.25">
      <c r="D163" s="8"/>
      <c r="E163" s="8"/>
      <c r="F163" s="3"/>
      <c r="G163" s="9"/>
      <c r="O163" s="3"/>
    </row>
    <row r="164" spans="4:15" x14ac:dyDescent="0.25">
      <c r="D164" s="8"/>
      <c r="E164" s="8"/>
      <c r="F164" s="3"/>
      <c r="G164" s="9"/>
      <c r="O164" s="3"/>
    </row>
    <row r="165" spans="4:15" x14ac:dyDescent="0.25">
      <c r="D165" s="8"/>
      <c r="E165" s="8"/>
      <c r="F165" s="3"/>
      <c r="G165" s="9"/>
      <c r="O165" s="3"/>
    </row>
    <row r="166" spans="4:15" x14ac:dyDescent="0.25">
      <c r="D166" s="8"/>
      <c r="E166" s="8"/>
      <c r="F166" s="3"/>
      <c r="G166" s="9"/>
      <c r="O166" s="3"/>
    </row>
    <row r="167" spans="4:15" x14ac:dyDescent="0.25">
      <c r="D167" s="8"/>
      <c r="E167" s="8"/>
      <c r="F167" s="3"/>
      <c r="G167" s="9"/>
      <c r="O167" s="3"/>
    </row>
    <row r="168" spans="4:15" x14ac:dyDescent="0.25">
      <c r="D168" s="8"/>
      <c r="E168" s="8"/>
      <c r="F168" s="3"/>
      <c r="G168" s="9"/>
      <c r="O168" s="3"/>
    </row>
    <row r="169" spans="4:15" x14ac:dyDescent="0.25">
      <c r="D169" s="8"/>
      <c r="E169" s="8"/>
      <c r="F169" s="3"/>
      <c r="G169" s="9"/>
      <c r="O169" s="3"/>
    </row>
    <row r="170" spans="4:15" x14ac:dyDescent="0.25">
      <c r="D170" s="8"/>
      <c r="E170" s="8"/>
      <c r="F170" s="3"/>
      <c r="G170" s="9"/>
      <c r="O170" s="3"/>
    </row>
    <row r="171" spans="4:15" x14ac:dyDescent="0.25">
      <c r="D171" s="8"/>
      <c r="E171" s="8"/>
      <c r="F171" s="3"/>
      <c r="G171" s="9"/>
      <c r="O171" s="3"/>
    </row>
    <row r="172" spans="4:15" x14ac:dyDescent="0.25">
      <c r="D172" s="8"/>
      <c r="E172" s="8"/>
      <c r="F172" s="3"/>
      <c r="G172" s="9"/>
      <c r="O172" s="3"/>
    </row>
    <row r="173" spans="4:15" x14ac:dyDescent="0.25">
      <c r="D173" s="8"/>
      <c r="E173" s="8"/>
      <c r="F173" s="3"/>
      <c r="G173" s="9"/>
      <c r="O173" s="3"/>
    </row>
    <row r="174" spans="4:15" x14ac:dyDescent="0.25">
      <c r="D174" s="8"/>
      <c r="E174" s="8"/>
      <c r="F174" s="3"/>
      <c r="G174" s="9"/>
      <c r="O174" s="3"/>
    </row>
    <row r="175" spans="4:15" x14ac:dyDescent="0.25">
      <c r="D175" s="8"/>
      <c r="E175" s="8"/>
      <c r="F175" s="3"/>
      <c r="G175" s="9"/>
      <c r="O175" s="3"/>
    </row>
    <row r="176" spans="4:15" x14ac:dyDescent="0.25">
      <c r="D176" s="8"/>
      <c r="E176" s="8"/>
      <c r="F176" s="3"/>
      <c r="G176" s="9"/>
      <c r="O176" s="3"/>
    </row>
    <row r="177" spans="4:15" x14ac:dyDescent="0.25">
      <c r="D177" s="8"/>
      <c r="E177" s="8"/>
      <c r="F177" s="3"/>
      <c r="O177" s="3"/>
    </row>
    <row r="178" spans="4:15" x14ac:dyDescent="0.25">
      <c r="D178" s="8"/>
      <c r="E178" s="8"/>
      <c r="F178" s="3"/>
      <c r="G178" s="9"/>
      <c r="O178" s="3"/>
    </row>
    <row r="179" spans="4:15" x14ac:dyDescent="0.25">
      <c r="D179" s="8"/>
      <c r="E179" s="8"/>
      <c r="F179" s="3"/>
      <c r="G179" s="9"/>
      <c r="O179" s="3"/>
    </row>
    <row r="180" spans="4:15" x14ac:dyDescent="0.25">
      <c r="D180" s="8"/>
      <c r="E180" s="8"/>
      <c r="F180" s="3"/>
      <c r="G180" s="9"/>
      <c r="O180" s="3"/>
    </row>
    <row r="181" spans="4:15" x14ac:dyDescent="0.25">
      <c r="D181" s="8"/>
      <c r="E181" s="8"/>
      <c r="F181" s="3"/>
      <c r="G181" s="9"/>
      <c r="O181" s="3"/>
    </row>
    <row r="182" spans="4:15" x14ac:dyDescent="0.25">
      <c r="D182" s="8"/>
      <c r="E182" s="8"/>
      <c r="F182" s="3"/>
      <c r="G182" s="9"/>
      <c r="O182" s="3"/>
    </row>
    <row r="183" spans="4:15" x14ac:dyDescent="0.25">
      <c r="D183" s="8"/>
      <c r="E183" s="8"/>
      <c r="F183" s="3"/>
      <c r="G183" s="9"/>
      <c r="O183" s="3"/>
    </row>
    <row r="184" spans="4:15" x14ac:dyDescent="0.25">
      <c r="D184" s="8"/>
      <c r="E184" s="8"/>
      <c r="F184" s="3"/>
      <c r="G184" s="9"/>
      <c r="O184" s="3"/>
    </row>
    <row r="185" spans="4:15" x14ac:dyDescent="0.25">
      <c r="D185" s="8"/>
      <c r="E185" s="8"/>
      <c r="F185" s="3"/>
      <c r="G185" s="9"/>
      <c r="O185" s="3"/>
    </row>
    <row r="186" spans="4:15" x14ac:dyDescent="0.25">
      <c r="D186" s="8"/>
      <c r="E186" s="8"/>
      <c r="F186" s="3"/>
      <c r="G186" s="9"/>
      <c r="O186" s="3"/>
    </row>
    <row r="187" spans="4:15" x14ac:dyDescent="0.25">
      <c r="D187" s="8"/>
      <c r="E187" s="8"/>
      <c r="F187" s="3"/>
      <c r="G187" s="9"/>
      <c r="O187" s="3"/>
    </row>
    <row r="188" spans="4:15" x14ac:dyDescent="0.25">
      <c r="D188" s="8"/>
      <c r="E188" s="8"/>
      <c r="F188" s="3"/>
      <c r="G188" s="9"/>
      <c r="O188" s="3"/>
    </row>
    <row r="189" spans="4:15" x14ac:dyDescent="0.25">
      <c r="D189" s="8"/>
      <c r="E189" s="8"/>
      <c r="F189" s="3"/>
      <c r="G189" s="9"/>
      <c r="O189" s="3"/>
    </row>
    <row r="190" spans="4:15" x14ac:dyDescent="0.25">
      <c r="D190" s="8"/>
      <c r="E190" s="8"/>
      <c r="F190" s="3"/>
      <c r="G190" s="9"/>
      <c r="O190" s="3"/>
    </row>
    <row r="191" spans="4:15" x14ac:dyDescent="0.25">
      <c r="D191" s="8"/>
      <c r="E191" s="8"/>
      <c r="F191" s="3"/>
      <c r="G191" s="9"/>
      <c r="O191" s="3"/>
    </row>
    <row r="192" spans="4:15" x14ac:dyDescent="0.25">
      <c r="D192" s="8"/>
      <c r="E192" s="8"/>
      <c r="F192" s="3"/>
      <c r="G192" s="9"/>
      <c r="O192" s="3"/>
    </row>
    <row r="193" spans="4:15" x14ac:dyDescent="0.25">
      <c r="D193" s="8"/>
      <c r="E193" s="8"/>
      <c r="F193" s="3"/>
      <c r="G193" s="9"/>
      <c r="O193" s="3"/>
    </row>
    <row r="194" spans="4:15" x14ac:dyDescent="0.25">
      <c r="D194" s="8"/>
      <c r="E194" s="8"/>
      <c r="F194" s="3"/>
      <c r="G194" s="9"/>
      <c r="O194" s="3"/>
    </row>
    <row r="195" spans="4:15" x14ac:dyDescent="0.25">
      <c r="D195" s="8"/>
      <c r="E195" s="8"/>
      <c r="F195" s="3"/>
      <c r="G195" s="9"/>
      <c r="O195" s="3"/>
    </row>
    <row r="196" spans="4:15" x14ac:dyDescent="0.25">
      <c r="D196" s="8"/>
      <c r="E196" s="8"/>
      <c r="F196" s="3"/>
      <c r="G196" s="9"/>
      <c r="O196" s="3"/>
    </row>
    <row r="197" spans="4:15" x14ac:dyDescent="0.25">
      <c r="D197" s="8"/>
      <c r="E197" s="8"/>
      <c r="F197" s="3"/>
      <c r="G197" s="9"/>
      <c r="O197" s="3"/>
    </row>
    <row r="198" spans="4:15" x14ac:dyDescent="0.25">
      <c r="D198" s="8"/>
      <c r="E198" s="8"/>
      <c r="F198" s="3"/>
      <c r="G198" s="9"/>
      <c r="O198" s="3"/>
    </row>
    <row r="199" spans="4:15" x14ac:dyDescent="0.25">
      <c r="D199" s="8"/>
      <c r="E199" s="8"/>
      <c r="F199" s="3"/>
      <c r="G199" s="9"/>
      <c r="O199" s="3"/>
    </row>
    <row r="200" spans="4:15" x14ac:dyDescent="0.25">
      <c r="D200" s="8"/>
      <c r="E200" s="8"/>
      <c r="F200" s="3"/>
      <c r="G200" s="9"/>
      <c r="O200" s="3"/>
    </row>
    <row r="201" spans="4:15" x14ac:dyDescent="0.25">
      <c r="D201" s="8"/>
      <c r="E201" s="8"/>
      <c r="F201" s="3"/>
      <c r="G201" s="9"/>
      <c r="O201" s="3"/>
    </row>
    <row r="202" spans="4:15" x14ac:dyDescent="0.25">
      <c r="D202" s="8"/>
      <c r="E202" s="8"/>
      <c r="F202" s="3"/>
      <c r="O202" s="3"/>
    </row>
    <row r="203" spans="4:15" x14ac:dyDescent="0.25">
      <c r="D203" s="8"/>
      <c r="E203" s="8"/>
      <c r="F203" s="3"/>
      <c r="G203" s="9"/>
      <c r="O203" s="3"/>
    </row>
    <row r="204" spans="4:15" x14ac:dyDescent="0.25">
      <c r="D204" s="8"/>
      <c r="E204" s="8"/>
      <c r="F204" s="3"/>
      <c r="G204" s="9"/>
      <c r="O204" s="3"/>
    </row>
    <row r="205" spans="4:15" x14ac:dyDescent="0.25">
      <c r="D205" s="8"/>
      <c r="E205" s="8"/>
      <c r="F205" s="3"/>
      <c r="G205" s="9"/>
      <c r="O205" s="3"/>
    </row>
    <row r="206" spans="4:15" x14ac:dyDescent="0.25">
      <c r="D206" s="8"/>
      <c r="E206" s="8"/>
      <c r="F206" s="3"/>
      <c r="G206" s="9"/>
      <c r="O206" s="3"/>
    </row>
    <row r="207" spans="4:15" x14ac:dyDescent="0.25">
      <c r="D207" s="8"/>
      <c r="E207" s="8"/>
      <c r="F207" s="3"/>
      <c r="G207" s="9"/>
      <c r="O207" s="3"/>
    </row>
    <row r="208" spans="4:15" x14ac:dyDescent="0.25">
      <c r="D208" s="8"/>
      <c r="E208" s="8"/>
      <c r="F208" s="3"/>
      <c r="G208" s="9"/>
      <c r="O208" s="3"/>
    </row>
    <row r="209" spans="4:15" x14ac:dyDescent="0.25">
      <c r="D209" s="8"/>
      <c r="E209" s="8"/>
      <c r="F209" s="3"/>
      <c r="G209" s="9"/>
      <c r="O209" s="3"/>
    </row>
    <row r="210" spans="4:15" x14ac:dyDescent="0.25">
      <c r="D210" s="8"/>
      <c r="E210" s="8"/>
      <c r="F210" s="3"/>
      <c r="G210" s="9"/>
      <c r="O210" s="3"/>
    </row>
    <row r="211" spans="4:15" x14ac:dyDescent="0.25">
      <c r="D211" s="8"/>
      <c r="E211" s="8"/>
      <c r="F211" s="3"/>
      <c r="G211" s="9"/>
      <c r="O211" s="3"/>
    </row>
    <row r="212" spans="4:15" x14ac:dyDescent="0.25">
      <c r="D212" s="8"/>
      <c r="E212" s="8"/>
      <c r="F212" s="3"/>
      <c r="G212" s="9"/>
      <c r="O212" s="3"/>
    </row>
    <row r="213" spans="4:15" x14ac:dyDescent="0.25">
      <c r="D213" s="8"/>
      <c r="E213" s="8"/>
      <c r="F213" s="3"/>
      <c r="G213" s="9"/>
      <c r="O213" s="3"/>
    </row>
    <row r="214" spans="4:15" x14ac:dyDescent="0.25">
      <c r="D214" s="8"/>
      <c r="E214" s="8"/>
      <c r="F214" s="3"/>
      <c r="G214" s="9"/>
      <c r="O214" s="3"/>
    </row>
    <row r="215" spans="4:15" x14ac:dyDescent="0.25">
      <c r="D215" s="8"/>
      <c r="E215" s="8"/>
      <c r="F215" s="3"/>
      <c r="G215" s="9"/>
      <c r="O215" s="3"/>
    </row>
    <row r="216" spans="4:15" x14ac:dyDescent="0.25">
      <c r="D216" s="8"/>
      <c r="E216" s="8"/>
      <c r="F216" s="3"/>
      <c r="G216" s="9"/>
      <c r="O216" s="3"/>
    </row>
    <row r="217" spans="4:15" x14ac:dyDescent="0.25">
      <c r="D217" s="8"/>
      <c r="E217" s="8"/>
      <c r="F217" s="3"/>
      <c r="G217" s="9"/>
      <c r="O217" s="3"/>
    </row>
    <row r="218" spans="4:15" x14ac:dyDescent="0.25">
      <c r="D218" s="8"/>
      <c r="E218" s="8"/>
      <c r="F218" s="3"/>
      <c r="G218" s="9"/>
      <c r="O218" s="3"/>
    </row>
    <row r="219" spans="4:15" x14ac:dyDescent="0.25">
      <c r="D219" s="8"/>
      <c r="E219" s="8"/>
      <c r="F219" s="3"/>
      <c r="G219" s="9"/>
      <c r="O219" s="3"/>
    </row>
    <row r="220" spans="4:15" x14ac:dyDescent="0.25">
      <c r="D220" s="8"/>
      <c r="E220" s="8"/>
      <c r="F220" s="3"/>
      <c r="G220" s="9"/>
      <c r="O220" s="3"/>
    </row>
    <row r="221" spans="4:15" x14ac:dyDescent="0.25">
      <c r="D221" s="8"/>
      <c r="E221" s="8"/>
      <c r="F221" s="3"/>
      <c r="G221" s="9"/>
      <c r="O221" s="3"/>
    </row>
    <row r="222" spans="4:15" x14ac:dyDescent="0.25">
      <c r="D222" s="8"/>
      <c r="E222" s="8"/>
      <c r="F222" s="3"/>
      <c r="G222" s="9"/>
      <c r="O222" s="3"/>
    </row>
    <row r="223" spans="4:15" x14ac:dyDescent="0.25">
      <c r="D223" s="8"/>
      <c r="E223" s="8"/>
      <c r="F223" s="3"/>
      <c r="G223" s="9"/>
      <c r="O223" s="3"/>
    </row>
    <row r="224" spans="4:15" x14ac:dyDescent="0.25">
      <c r="D224" s="8"/>
      <c r="E224" s="8"/>
      <c r="F224" s="3"/>
      <c r="G224" s="9"/>
      <c r="O224" s="3"/>
    </row>
    <row r="225" spans="4:15" x14ac:dyDescent="0.25">
      <c r="D225" s="8"/>
      <c r="E225" s="8"/>
      <c r="F225" s="3"/>
      <c r="G225" s="9"/>
      <c r="O225" s="3"/>
    </row>
    <row r="226" spans="4:15" x14ac:dyDescent="0.25">
      <c r="D226" s="8"/>
      <c r="E226" s="8"/>
      <c r="F226" s="3"/>
      <c r="G226" s="9"/>
      <c r="O226" s="3"/>
    </row>
    <row r="227" spans="4:15" x14ac:dyDescent="0.25">
      <c r="D227" s="8"/>
      <c r="E227" s="8"/>
      <c r="F227" s="3"/>
      <c r="O227" s="3"/>
    </row>
    <row r="228" spans="4:15" x14ac:dyDescent="0.25">
      <c r="D228" s="8"/>
      <c r="E228" s="8"/>
      <c r="F228" s="3"/>
      <c r="G228" s="9"/>
      <c r="O228" s="3"/>
    </row>
    <row r="229" spans="4:15" x14ac:dyDescent="0.25">
      <c r="D229" s="8"/>
      <c r="E229" s="8"/>
      <c r="F229" s="3"/>
      <c r="G229" s="9"/>
      <c r="O229" s="3"/>
    </row>
    <row r="230" spans="4:15" x14ac:dyDescent="0.25">
      <c r="D230" s="8"/>
      <c r="E230" s="8"/>
      <c r="F230" s="3"/>
      <c r="G230" s="9"/>
      <c r="O230" s="3"/>
    </row>
    <row r="231" spans="4:15" x14ac:dyDescent="0.25">
      <c r="D231" s="8"/>
      <c r="E231" s="8"/>
      <c r="F231" s="3"/>
      <c r="G231" s="9"/>
      <c r="O231" s="3"/>
    </row>
    <row r="232" spans="4:15" x14ac:dyDescent="0.25">
      <c r="D232" s="8"/>
      <c r="E232" s="8"/>
      <c r="F232" s="3"/>
      <c r="G232" s="9"/>
      <c r="O232" s="3"/>
    </row>
    <row r="233" spans="4:15" x14ac:dyDescent="0.25">
      <c r="D233" s="8"/>
      <c r="E233" s="8"/>
      <c r="F233" s="3"/>
      <c r="G233" s="9"/>
      <c r="O233" s="3"/>
    </row>
    <row r="234" spans="4:15" x14ac:dyDescent="0.25">
      <c r="D234" s="8"/>
      <c r="E234" s="8"/>
      <c r="F234" s="3"/>
      <c r="G234" s="9"/>
      <c r="O234" s="3"/>
    </row>
    <row r="235" spans="4:15" x14ac:dyDescent="0.25">
      <c r="D235" s="8"/>
      <c r="E235" s="8"/>
      <c r="F235" s="3"/>
      <c r="G235" s="9"/>
      <c r="O235" s="3"/>
    </row>
    <row r="236" spans="4:15" x14ac:dyDescent="0.25">
      <c r="D236" s="8"/>
      <c r="E236" s="8"/>
      <c r="F236" s="3"/>
      <c r="G236" s="9"/>
      <c r="O236" s="3"/>
    </row>
    <row r="237" spans="4:15" x14ac:dyDescent="0.25">
      <c r="D237" s="8"/>
      <c r="E237" s="8"/>
      <c r="F237" s="3"/>
      <c r="G237" s="9"/>
      <c r="O237" s="3"/>
    </row>
    <row r="238" spans="4:15" x14ac:dyDescent="0.25">
      <c r="D238" s="8"/>
      <c r="E238" s="8"/>
      <c r="F238" s="3"/>
      <c r="G238" s="9"/>
      <c r="O238" s="3"/>
    </row>
    <row r="239" spans="4:15" x14ac:dyDescent="0.25">
      <c r="D239" s="8"/>
      <c r="E239" s="8"/>
      <c r="F239" s="3"/>
      <c r="G239" s="9"/>
      <c r="O239" s="3"/>
    </row>
    <row r="240" spans="4:15" x14ac:dyDescent="0.25">
      <c r="D240" s="8"/>
      <c r="E240" s="8"/>
      <c r="F240" s="3"/>
      <c r="G240" s="9"/>
      <c r="O240" s="3"/>
    </row>
    <row r="241" spans="4:15" x14ac:dyDescent="0.25">
      <c r="D241" s="8"/>
      <c r="E241" s="8"/>
      <c r="F241" s="3"/>
      <c r="G241" s="9"/>
      <c r="O241" s="3"/>
    </row>
    <row r="242" spans="4:15" x14ac:dyDescent="0.25">
      <c r="D242" s="8"/>
      <c r="E242" s="8"/>
      <c r="F242" s="3"/>
      <c r="G242" s="9"/>
      <c r="O242" s="3"/>
    </row>
    <row r="243" spans="4:15" x14ac:dyDescent="0.25">
      <c r="D243" s="8"/>
      <c r="E243" s="8"/>
      <c r="F243" s="3"/>
      <c r="G243" s="9"/>
      <c r="O243" s="3"/>
    </row>
    <row r="244" spans="4:15" x14ac:dyDescent="0.25">
      <c r="D244" s="8"/>
      <c r="E244" s="8"/>
      <c r="F244" s="3"/>
      <c r="G244" s="9"/>
      <c r="O244" s="3"/>
    </row>
    <row r="245" spans="4:15" x14ac:dyDescent="0.25">
      <c r="D245" s="8"/>
      <c r="E245" s="8"/>
      <c r="F245" s="3"/>
      <c r="G245" s="9"/>
      <c r="O245" s="3"/>
    </row>
    <row r="246" spans="4:15" x14ac:dyDescent="0.25">
      <c r="D246" s="8"/>
      <c r="E246" s="8"/>
      <c r="F246" s="3"/>
      <c r="G246" s="9"/>
      <c r="O246" s="3"/>
    </row>
    <row r="247" spans="4:15" x14ac:dyDescent="0.25">
      <c r="D247" s="8"/>
      <c r="E247" s="8"/>
      <c r="F247" s="3"/>
      <c r="G247" s="9"/>
      <c r="O247" s="3"/>
    </row>
    <row r="248" spans="4:15" x14ac:dyDescent="0.25">
      <c r="D248" s="8"/>
      <c r="E248" s="8"/>
      <c r="F248" s="3"/>
      <c r="G248" s="9"/>
      <c r="O248" s="3"/>
    </row>
    <row r="249" spans="4:15" x14ac:dyDescent="0.25">
      <c r="D249" s="8"/>
      <c r="E249" s="8"/>
      <c r="F249" s="3"/>
      <c r="G249" s="9"/>
      <c r="O249" s="3"/>
    </row>
    <row r="250" spans="4:15" x14ac:dyDescent="0.25">
      <c r="D250" s="8"/>
      <c r="E250" s="8"/>
      <c r="F250" s="3"/>
      <c r="G250" s="9"/>
      <c r="O250" s="3"/>
    </row>
    <row r="251" spans="4:15" x14ac:dyDescent="0.25">
      <c r="D251" s="8"/>
      <c r="E251" s="8"/>
      <c r="F251" s="3"/>
      <c r="G251" s="9"/>
      <c r="O251" s="3"/>
    </row>
    <row r="252" spans="4:15" x14ac:dyDescent="0.25">
      <c r="D252" s="8"/>
      <c r="E252" s="8"/>
      <c r="F252" s="3"/>
      <c r="O252" s="3"/>
    </row>
    <row r="253" spans="4:15" x14ac:dyDescent="0.25">
      <c r="D253" s="8"/>
      <c r="E253" s="8"/>
      <c r="F253" s="3"/>
      <c r="G253" s="9"/>
      <c r="O253" s="3"/>
    </row>
    <row r="254" spans="4:15" x14ac:dyDescent="0.25">
      <c r="D254" s="8"/>
      <c r="E254" s="8"/>
      <c r="F254" s="3"/>
      <c r="G254" s="9"/>
      <c r="O254" s="3"/>
    </row>
    <row r="255" spans="4:15" x14ac:dyDescent="0.25">
      <c r="D255" s="8"/>
      <c r="E255" s="8"/>
      <c r="F255" s="3"/>
      <c r="G255" s="9"/>
      <c r="O255" s="3"/>
    </row>
    <row r="256" spans="4:15" x14ac:dyDescent="0.25">
      <c r="D256" s="8"/>
      <c r="E256" s="8"/>
      <c r="F256" s="3"/>
      <c r="G256" s="9"/>
      <c r="O256" s="3"/>
    </row>
    <row r="257" spans="4:15" x14ac:dyDescent="0.25">
      <c r="D257" s="8"/>
      <c r="E257" s="8"/>
      <c r="F257" s="3"/>
      <c r="G257" s="9"/>
      <c r="O257" s="3"/>
    </row>
    <row r="258" spans="4:15" x14ac:dyDescent="0.25">
      <c r="D258" s="8"/>
      <c r="E258" s="8"/>
      <c r="F258" s="3"/>
      <c r="G258" s="9"/>
      <c r="O258" s="3"/>
    </row>
    <row r="259" spans="4:15" x14ac:dyDescent="0.25">
      <c r="D259" s="8"/>
      <c r="E259" s="8"/>
      <c r="F259" s="3"/>
      <c r="G259" s="9"/>
      <c r="O259" s="3"/>
    </row>
    <row r="260" spans="4:15" x14ac:dyDescent="0.25">
      <c r="D260" s="8"/>
      <c r="E260" s="8"/>
      <c r="F260" s="3"/>
      <c r="G260" s="9"/>
      <c r="O260" s="3"/>
    </row>
    <row r="261" spans="4:15" x14ac:dyDescent="0.25">
      <c r="D261" s="8"/>
      <c r="E261" s="8"/>
      <c r="F261" s="3"/>
      <c r="G261" s="9"/>
      <c r="O261" s="3"/>
    </row>
    <row r="262" spans="4:15" x14ac:dyDescent="0.25">
      <c r="D262" s="8"/>
      <c r="E262" s="8"/>
      <c r="F262" s="3"/>
      <c r="G262" s="9"/>
      <c r="O262" s="3"/>
    </row>
    <row r="263" spans="4:15" x14ac:dyDescent="0.25">
      <c r="D263" s="8"/>
      <c r="E263" s="8"/>
      <c r="F263" s="3"/>
      <c r="G263" s="9"/>
      <c r="O263" s="3"/>
    </row>
    <row r="264" spans="4:15" x14ac:dyDescent="0.25">
      <c r="D264" s="8"/>
      <c r="E264" s="8"/>
      <c r="F264" s="3"/>
      <c r="G264" s="9"/>
      <c r="O264" s="3"/>
    </row>
    <row r="265" spans="4:15" x14ac:dyDescent="0.25">
      <c r="D265" s="8"/>
      <c r="E265" s="8"/>
      <c r="F265" s="3"/>
      <c r="G265" s="9"/>
      <c r="O265" s="3"/>
    </row>
    <row r="266" spans="4:15" x14ac:dyDescent="0.25">
      <c r="D266" s="8"/>
      <c r="E266" s="8"/>
      <c r="F266" s="3"/>
      <c r="G266" s="9"/>
      <c r="O266" s="3"/>
    </row>
    <row r="267" spans="4:15" x14ac:dyDescent="0.25">
      <c r="D267" s="8"/>
      <c r="E267" s="8"/>
      <c r="F267" s="3"/>
      <c r="G267" s="9"/>
      <c r="O267" s="3"/>
    </row>
    <row r="268" spans="4:15" x14ac:dyDescent="0.25">
      <c r="D268" s="8"/>
      <c r="E268" s="8"/>
      <c r="F268" s="3"/>
      <c r="G268" s="9"/>
      <c r="O268" s="3"/>
    </row>
    <row r="269" spans="4:15" x14ac:dyDescent="0.25">
      <c r="D269" s="8"/>
      <c r="E269" s="8"/>
      <c r="F269" s="3"/>
      <c r="G269" s="9"/>
      <c r="O269" s="3"/>
    </row>
    <row r="270" spans="4:15" x14ac:dyDescent="0.25">
      <c r="D270" s="8"/>
      <c r="E270" s="8"/>
      <c r="F270" s="3"/>
      <c r="G270" s="9"/>
      <c r="O270" s="3"/>
    </row>
    <row r="271" spans="4:15" x14ac:dyDescent="0.25">
      <c r="D271" s="8"/>
      <c r="E271" s="8"/>
      <c r="F271" s="3"/>
      <c r="G271" s="9"/>
      <c r="O271" s="3"/>
    </row>
    <row r="272" spans="4:15" x14ac:dyDescent="0.25">
      <c r="D272" s="8"/>
      <c r="E272" s="8"/>
      <c r="F272" s="3"/>
      <c r="G272" s="9"/>
      <c r="O272" s="3"/>
    </row>
    <row r="273" spans="4:15" x14ac:dyDescent="0.25">
      <c r="D273" s="8"/>
      <c r="E273" s="8"/>
      <c r="F273" s="3"/>
      <c r="G273" s="9"/>
      <c r="O273" s="3"/>
    </row>
    <row r="274" spans="4:15" x14ac:dyDescent="0.25">
      <c r="D274" s="8"/>
      <c r="E274" s="8"/>
      <c r="F274" s="3"/>
      <c r="G274" s="9"/>
      <c r="O274" s="3"/>
    </row>
    <row r="275" spans="4:15" x14ac:dyDescent="0.25">
      <c r="D275" s="8"/>
      <c r="E275" s="8"/>
      <c r="F275" s="3"/>
      <c r="G275" s="9"/>
      <c r="O275" s="3"/>
    </row>
    <row r="276" spans="4:15" x14ac:dyDescent="0.25">
      <c r="D276" s="8"/>
      <c r="E276" s="8"/>
      <c r="F276" s="3"/>
      <c r="G276" s="9"/>
      <c r="O276" s="3"/>
    </row>
    <row r="277" spans="4:15" x14ac:dyDescent="0.25">
      <c r="D277" s="8"/>
      <c r="E277" s="8"/>
      <c r="F277" s="3"/>
      <c r="O277" s="3"/>
    </row>
    <row r="278" spans="4:15" x14ac:dyDescent="0.25">
      <c r="D278" s="8"/>
      <c r="E278" s="8"/>
      <c r="F278" s="3"/>
      <c r="G278" s="9"/>
      <c r="O278" s="3"/>
    </row>
    <row r="279" spans="4:15" x14ac:dyDescent="0.25">
      <c r="D279" s="8"/>
      <c r="E279" s="8"/>
      <c r="F279" s="3"/>
      <c r="G279" s="9"/>
      <c r="O279" s="3"/>
    </row>
    <row r="280" spans="4:15" x14ac:dyDescent="0.25">
      <c r="D280" s="8"/>
      <c r="E280" s="8"/>
      <c r="F280" s="3"/>
      <c r="G280" s="9"/>
      <c r="O280" s="3"/>
    </row>
    <row r="281" spans="4:15" x14ac:dyDescent="0.25">
      <c r="D281" s="8"/>
      <c r="E281" s="8"/>
      <c r="F281" s="3"/>
      <c r="G281" s="9"/>
      <c r="O281" s="3"/>
    </row>
    <row r="282" spans="4:15" x14ac:dyDescent="0.25">
      <c r="D282" s="8"/>
      <c r="E282" s="8"/>
      <c r="F282" s="3"/>
      <c r="G282" s="9"/>
      <c r="O282" s="3"/>
    </row>
    <row r="283" spans="4:15" x14ac:dyDescent="0.25">
      <c r="D283" s="8"/>
      <c r="E283" s="8"/>
      <c r="F283" s="3"/>
      <c r="G283" s="9"/>
      <c r="O283" s="3"/>
    </row>
    <row r="284" spans="4:15" x14ac:dyDescent="0.25">
      <c r="D284" s="8"/>
      <c r="E284" s="8"/>
      <c r="F284" s="3"/>
      <c r="G284" s="9"/>
      <c r="O284" s="3"/>
    </row>
    <row r="285" spans="4:15" x14ac:dyDescent="0.25">
      <c r="D285" s="8"/>
      <c r="E285" s="8"/>
      <c r="F285" s="3"/>
      <c r="G285" s="9"/>
      <c r="O285" s="3"/>
    </row>
    <row r="286" spans="4:15" x14ac:dyDescent="0.25">
      <c r="D286" s="8"/>
      <c r="E286" s="8"/>
      <c r="F286" s="3"/>
      <c r="G286" s="9"/>
      <c r="O286" s="3"/>
    </row>
    <row r="287" spans="4:15" x14ac:dyDescent="0.25">
      <c r="D287" s="8"/>
      <c r="E287" s="8"/>
      <c r="F287" s="3"/>
      <c r="G287" s="9"/>
      <c r="O287" s="3"/>
    </row>
    <row r="288" spans="4:15" x14ac:dyDescent="0.25">
      <c r="D288" s="8"/>
      <c r="E288" s="8"/>
      <c r="F288" s="3"/>
      <c r="G288" s="9"/>
      <c r="O288" s="3"/>
    </row>
    <row r="289" spans="4:15" x14ac:dyDescent="0.25">
      <c r="D289" s="8"/>
      <c r="E289" s="8"/>
      <c r="F289" s="3"/>
      <c r="G289" s="9"/>
      <c r="O289" s="3"/>
    </row>
    <row r="290" spans="4:15" x14ac:dyDescent="0.25">
      <c r="D290" s="8"/>
      <c r="E290" s="8"/>
      <c r="F290" s="3"/>
      <c r="G290" s="9"/>
      <c r="O290" s="3"/>
    </row>
    <row r="291" spans="4:15" x14ac:dyDescent="0.25">
      <c r="D291" s="8"/>
      <c r="E291" s="8"/>
      <c r="F291" s="3"/>
      <c r="G291" s="9"/>
      <c r="O291" s="3"/>
    </row>
    <row r="292" spans="4:15" x14ac:dyDescent="0.25">
      <c r="D292" s="8"/>
      <c r="E292" s="8"/>
      <c r="F292" s="3"/>
      <c r="G292" s="9"/>
      <c r="O292" s="3"/>
    </row>
    <row r="293" spans="4:15" x14ac:dyDescent="0.25">
      <c r="D293" s="8"/>
      <c r="E293" s="8"/>
      <c r="F293" s="3"/>
      <c r="G293" s="9"/>
      <c r="O293" s="3"/>
    </row>
    <row r="294" spans="4:15" x14ac:dyDescent="0.25">
      <c r="D294" s="8"/>
      <c r="E294" s="8"/>
      <c r="F294" s="3"/>
      <c r="G294" s="9"/>
      <c r="O294" s="3"/>
    </row>
    <row r="295" spans="4:15" x14ac:dyDescent="0.25">
      <c r="D295" s="8"/>
      <c r="E295" s="8"/>
      <c r="F295" s="3"/>
      <c r="G295" s="9"/>
      <c r="O295" s="3"/>
    </row>
    <row r="296" spans="4:15" x14ac:dyDescent="0.25">
      <c r="D296" s="8"/>
      <c r="E296" s="8"/>
      <c r="F296" s="3"/>
      <c r="G296" s="9"/>
      <c r="O296" s="3"/>
    </row>
    <row r="297" spans="4:15" x14ac:dyDescent="0.25">
      <c r="D297" s="8"/>
      <c r="E297" s="8"/>
      <c r="F297" s="3"/>
      <c r="G297" s="9"/>
      <c r="O297" s="3"/>
    </row>
    <row r="298" spans="4:15" x14ac:dyDescent="0.25">
      <c r="D298" s="8"/>
      <c r="E298" s="8"/>
      <c r="F298" s="3"/>
      <c r="G298" s="9"/>
      <c r="O298" s="3"/>
    </row>
    <row r="299" spans="4:15" x14ac:dyDescent="0.25">
      <c r="D299" s="8"/>
      <c r="E299" s="8"/>
      <c r="F299" s="3"/>
      <c r="G299" s="9"/>
      <c r="O299" s="3"/>
    </row>
    <row r="300" spans="4:15" x14ac:dyDescent="0.25">
      <c r="D300" s="8"/>
      <c r="E300" s="8"/>
      <c r="F300" s="3"/>
      <c r="G300" s="9"/>
      <c r="O300" s="3"/>
    </row>
    <row r="301" spans="4:15" x14ac:dyDescent="0.25">
      <c r="D301" s="8"/>
      <c r="E301" s="8"/>
      <c r="F301" s="3"/>
      <c r="G301" s="9"/>
      <c r="O301" s="3"/>
    </row>
    <row r="302" spans="4:15" x14ac:dyDescent="0.25">
      <c r="D302" s="8"/>
      <c r="E302" s="8"/>
      <c r="F302" s="3"/>
      <c r="O302" s="3"/>
    </row>
    <row r="303" spans="4:15" x14ac:dyDescent="0.25">
      <c r="D303" s="8"/>
      <c r="E303" s="8"/>
      <c r="F303" s="3"/>
      <c r="G303" s="9"/>
      <c r="O303" s="3"/>
    </row>
    <row r="304" spans="4:15" x14ac:dyDescent="0.25">
      <c r="D304" s="8"/>
      <c r="E304" s="8"/>
      <c r="F304" s="3"/>
      <c r="G304" s="9"/>
      <c r="O304" s="3"/>
    </row>
    <row r="305" spans="4:15" x14ac:dyDescent="0.25">
      <c r="D305" s="8"/>
      <c r="E305" s="8"/>
      <c r="F305" s="3"/>
      <c r="G305" s="9"/>
      <c r="O305" s="3"/>
    </row>
    <row r="306" spans="4:15" x14ac:dyDescent="0.25">
      <c r="D306" s="8"/>
      <c r="E306" s="8"/>
      <c r="F306" s="3"/>
      <c r="G306" s="9"/>
      <c r="O306" s="3"/>
    </row>
    <row r="307" spans="4:15" x14ac:dyDescent="0.25">
      <c r="D307" s="8"/>
      <c r="E307" s="8"/>
      <c r="F307" s="3"/>
      <c r="G307" s="9"/>
      <c r="O307" s="3"/>
    </row>
    <row r="308" spans="4:15" x14ac:dyDescent="0.25">
      <c r="D308" s="8"/>
      <c r="E308" s="8"/>
      <c r="F308" s="3"/>
      <c r="G308" s="9"/>
      <c r="O308" s="3"/>
    </row>
    <row r="309" spans="4:15" x14ac:dyDescent="0.25">
      <c r="D309" s="8"/>
      <c r="E309" s="8"/>
      <c r="F309" s="3"/>
      <c r="G309" s="9"/>
      <c r="O309" s="3"/>
    </row>
    <row r="310" spans="4:15" x14ac:dyDescent="0.25">
      <c r="D310" s="8"/>
      <c r="E310" s="8"/>
      <c r="F310" s="3"/>
      <c r="G310" s="9"/>
      <c r="O310" s="3"/>
    </row>
    <row r="311" spans="4:15" x14ac:dyDescent="0.25">
      <c r="D311" s="8"/>
      <c r="E311" s="8"/>
      <c r="F311" s="3"/>
      <c r="G311" s="9"/>
      <c r="O311" s="3"/>
    </row>
    <row r="312" spans="4:15" x14ac:dyDescent="0.25">
      <c r="D312" s="8"/>
      <c r="E312" s="8"/>
      <c r="F312" s="3"/>
      <c r="G312" s="9"/>
      <c r="O312" s="3"/>
    </row>
    <row r="313" spans="4:15" x14ac:dyDescent="0.25">
      <c r="D313" s="8"/>
      <c r="E313" s="8"/>
      <c r="F313" s="3"/>
      <c r="G313" s="9"/>
      <c r="O313" s="3"/>
    </row>
    <row r="314" spans="4:15" x14ac:dyDescent="0.25">
      <c r="D314" s="8"/>
      <c r="E314" s="8"/>
      <c r="F314" s="3"/>
      <c r="G314" s="9"/>
      <c r="O314" s="3"/>
    </row>
    <row r="315" spans="4:15" x14ac:dyDescent="0.25">
      <c r="D315" s="8"/>
      <c r="E315" s="8"/>
      <c r="F315" s="3"/>
      <c r="G315" s="9"/>
      <c r="O315" s="3"/>
    </row>
    <row r="316" spans="4:15" x14ac:dyDescent="0.25">
      <c r="D316" s="8"/>
      <c r="E316" s="8"/>
      <c r="F316" s="3"/>
      <c r="G316" s="9"/>
      <c r="O316" s="3"/>
    </row>
    <row r="317" spans="4:15" x14ac:dyDescent="0.25">
      <c r="D317" s="8"/>
      <c r="E317" s="8"/>
      <c r="F317" s="3"/>
      <c r="G317" s="9"/>
      <c r="O317" s="3"/>
    </row>
    <row r="318" spans="4:15" x14ac:dyDescent="0.25">
      <c r="D318" s="8"/>
      <c r="E318" s="8"/>
      <c r="F318" s="3"/>
      <c r="G318" s="9"/>
      <c r="O318" s="3"/>
    </row>
    <row r="319" spans="4:15" x14ac:dyDescent="0.25">
      <c r="D319" s="8"/>
      <c r="E319" s="8"/>
      <c r="F319" s="3"/>
      <c r="G319" s="9"/>
      <c r="O319" s="3"/>
    </row>
    <row r="320" spans="4:15" x14ac:dyDescent="0.25">
      <c r="D320" s="8"/>
      <c r="E320" s="8"/>
      <c r="F320" s="3"/>
      <c r="G320" s="9"/>
      <c r="O320" s="3"/>
    </row>
    <row r="321" spans="4:15" x14ac:dyDescent="0.25">
      <c r="D321" s="8"/>
      <c r="E321" s="8"/>
      <c r="F321" s="3"/>
      <c r="G321" s="9"/>
      <c r="O321" s="3"/>
    </row>
    <row r="322" spans="4:15" x14ac:dyDescent="0.25">
      <c r="D322" s="8"/>
      <c r="E322" s="8"/>
      <c r="F322" s="3"/>
      <c r="G322" s="9"/>
      <c r="O322" s="3"/>
    </row>
    <row r="323" spans="4:15" x14ac:dyDescent="0.25">
      <c r="D323" s="8"/>
      <c r="E323" s="8"/>
      <c r="F323" s="3"/>
      <c r="G323" s="9"/>
      <c r="O323" s="3"/>
    </row>
    <row r="324" spans="4:15" x14ac:dyDescent="0.25">
      <c r="D324" s="8"/>
      <c r="E324" s="8"/>
      <c r="F324" s="3"/>
      <c r="G324" s="9"/>
      <c r="O324" s="3"/>
    </row>
    <row r="325" spans="4:15" x14ac:dyDescent="0.25">
      <c r="D325" s="8"/>
      <c r="E325" s="8"/>
      <c r="F325" s="3"/>
      <c r="G325" s="9"/>
      <c r="O325" s="3"/>
    </row>
    <row r="326" spans="4:15" x14ac:dyDescent="0.25">
      <c r="D326" s="8"/>
      <c r="E326" s="8"/>
      <c r="F326" s="3"/>
      <c r="G326" s="9"/>
      <c r="O326" s="3"/>
    </row>
    <row r="327" spans="4:15" x14ac:dyDescent="0.25">
      <c r="D327" s="8"/>
      <c r="E327" s="8"/>
      <c r="F327" s="3"/>
      <c r="O327" s="3"/>
    </row>
    <row r="328" spans="4:15" x14ac:dyDescent="0.25">
      <c r="D328" s="8"/>
      <c r="E328" s="8"/>
      <c r="F328" s="3"/>
      <c r="G328" s="9"/>
      <c r="O328" s="3"/>
    </row>
    <row r="329" spans="4:15" x14ac:dyDescent="0.25">
      <c r="D329" s="8"/>
      <c r="E329" s="8"/>
      <c r="F329" s="3"/>
      <c r="G329" s="9"/>
      <c r="O329" s="3"/>
    </row>
    <row r="330" spans="4:15" x14ac:dyDescent="0.25">
      <c r="D330" s="8"/>
      <c r="E330" s="8"/>
      <c r="F330" s="3"/>
      <c r="G330" s="9"/>
      <c r="O330" s="3"/>
    </row>
    <row r="331" spans="4:15" x14ac:dyDescent="0.25">
      <c r="D331" s="8"/>
      <c r="E331" s="8"/>
      <c r="F331" s="3"/>
      <c r="G331" s="9"/>
      <c r="O331" s="3"/>
    </row>
    <row r="332" spans="4:15" x14ac:dyDescent="0.25">
      <c r="D332" s="8"/>
      <c r="E332" s="8"/>
      <c r="F332" s="3"/>
      <c r="G332" s="9"/>
      <c r="O332" s="3"/>
    </row>
    <row r="333" spans="4:15" x14ac:dyDescent="0.25">
      <c r="D333" s="8"/>
      <c r="E333" s="8"/>
      <c r="F333" s="3"/>
      <c r="G333" s="9"/>
      <c r="O333" s="3"/>
    </row>
    <row r="334" spans="4:15" x14ac:dyDescent="0.25">
      <c r="D334" s="8"/>
      <c r="E334" s="8"/>
      <c r="F334" s="3"/>
      <c r="G334" s="9"/>
      <c r="O334" s="3"/>
    </row>
    <row r="335" spans="4:15" x14ac:dyDescent="0.25">
      <c r="D335" s="8"/>
      <c r="E335" s="8"/>
      <c r="F335" s="3"/>
      <c r="G335" s="9"/>
      <c r="O335" s="3"/>
    </row>
    <row r="336" spans="4:15" x14ac:dyDescent="0.25">
      <c r="D336" s="8"/>
      <c r="E336" s="8"/>
      <c r="F336" s="3"/>
      <c r="G336" s="9"/>
      <c r="O336" s="3"/>
    </row>
    <row r="337" spans="4:15" x14ac:dyDescent="0.25">
      <c r="D337" s="8"/>
      <c r="E337" s="8"/>
      <c r="F337" s="3"/>
      <c r="G337" s="9"/>
      <c r="O337" s="3"/>
    </row>
    <row r="338" spans="4:15" x14ac:dyDescent="0.25">
      <c r="D338" s="8"/>
      <c r="E338" s="8"/>
      <c r="F338" s="3"/>
      <c r="G338" s="9"/>
      <c r="O338" s="3"/>
    </row>
    <row r="339" spans="4:15" x14ac:dyDescent="0.25">
      <c r="D339" s="8"/>
      <c r="E339" s="8"/>
      <c r="F339" s="3"/>
      <c r="G339" s="9"/>
      <c r="O339" s="3"/>
    </row>
    <row r="340" spans="4:15" x14ac:dyDescent="0.25">
      <c r="D340" s="8"/>
      <c r="E340" s="8"/>
      <c r="F340" s="3"/>
      <c r="G340" s="9"/>
      <c r="O340" s="3"/>
    </row>
    <row r="341" spans="4:15" x14ac:dyDescent="0.25">
      <c r="D341" s="8"/>
      <c r="E341" s="8"/>
      <c r="F341" s="3"/>
      <c r="G341" s="9"/>
      <c r="O341" s="3"/>
    </row>
    <row r="342" spans="4:15" x14ac:dyDescent="0.25">
      <c r="D342" s="8"/>
      <c r="E342" s="8"/>
      <c r="F342" s="3"/>
      <c r="G342" s="9"/>
      <c r="O342" s="3"/>
    </row>
    <row r="343" spans="4:15" x14ac:dyDescent="0.25">
      <c r="D343" s="8"/>
      <c r="E343" s="8"/>
      <c r="F343" s="3"/>
      <c r="G343" s="9"/>
      <c r="O343" s="3"/>
    </row>
    <row r="344" spans="4:15" x14ac:dyDescent="0.25">
      <c r="D344" s="8"/>
      <c r="E344" s="8"/>
      <c r="F344" s="3"/>
      <c r="G344" s="9"/>
      <c r="O344" s="3"/>
    </row>
    <row r="345" spans="4:15" x14ac:dyDescent="0.25">
      <c r="D345" s="8"/>
      <c r="E345" s="8"/>
      <c r="F345" s="3"/>
      <c r="G345" s="9"/>
      <c r="O345" s="3"/>
    </row>
    <row r="346" spans="4:15" x14ac:dyDescent="0.25">
      <c r="D346" s="8"/>
      <c r="E346" s="8"/>
      <c r="F346" s="3"/>
      <c r="G346" s="9"/>
      <c r="O346" s="3"/>
    </row>
    <row r="347" spans="4:15" x14ac:dyDescent="0.25">
      <c r="D347" s="8"/>
      <c r="E347" s="8"/>
      <c r="F347" s="3"/>
      <c r="G347" s="9"/>
      <c r="O347" s="3"/>
    </row>
    <row r="348" spans="4:15" x14ac:dyDescent="0.25">
      <c r="D348" s="8"/>
      <c r="E348" s="8"/>
      <c r="F348" s="3"/>
      <c r="G348" s="9"/>
      <c r="O348" s="3"/>
    </row>
    <row r="349" spans="4:15" x14ac:dyDescent="0.25">
      <c r="D349" s="8"/>
      <c r="E349" s="8"/>
      <c r="F349" s="3"/>
      <c r="G349" s="9"/>
      <c r="O349" s="3"/>
    </row>
    <row r="350" spans="4:15" x14ac:dyDescent="0.25">
      <c r="D350" s="8"/>
      <c r="E350" s="8"/>
      <c r="F350" s="3"/>
      <c r="G350" s="9"/>
      <c r="O350" s="3"/>
    </row>
    <row r="351" spans="4:15" x14ac:dyDescent="0.25">
      <c r="D351" s="8"/>
      <c r="E351" s="8"/>
      <c r="F351" s="3"/>
      <c r="G351" s="9"/>
      <c r="O351" s="3"/>
    </row>
    <row r="352" spans="4:15" x14ac:dyDescent="0.25">
      <c r="D352" s="8"/>
      <c r="E352" s="8"/>
      <c r="F352" s="3"/>
      <c r="O352" s="3"/>
    </row>
    <row r="353" spans="4:15" x14ac:dyDescent="0.25">
      <c r="D353" s="8"/>
      <c r="E353" s="8"/>
      <c r="F353" s="3"/>
      <c r="G353" s="9"/>
      <c r="O353" s="3"/>
    </row>
    <row r="354" spans="4:15" x14ac:dyDescent="0.25">
      <c r="D354" s="8"/>
      <c r="E354" s="8"/>
      <c r="F354" s="3"/>
      <c r="G354" s="9"/>
      <c r="O354" s="3"/>
    </row>
    <row r="355" spans="4:15" x14ac:dyDescent="0.25">
      <c r="D355" s="8"/>
      <c r="E355" s="8"/>
      <c r="F355" s="3"/>
      <c r="G355" s="9"/>
      <c r="O355" s="3"/>
    </row>
    <row r="356" spans="4:15" x14ac:dyDescent="0.25">
      <c r="D356" s="8"/>
      <c r="E356" s="8"/>
      <c r="F356" s="3"/>
      <c r="G356" s="9"/>
      <c r="O356" s="3"/>
    </row>
    <row r="357" spans="4:15" x14ac:dyDescent="0.25">
      <c r="D357" s="8"/>
      <c r="E357" s="8"/>
      <c r="F357" s="3"/>
      <c r="G357" s="9"/>
      <c r="O357" s="3"/>
    </row>
    <row r="358" spans="4:15" x14ac:dyDescent="0.25">
      <c r="D358" s="8"/>
      <c r="E358" s="8"/>
      <c r="F358" s="3"/>
      <c r="G358" s="9"/>
      <c r="O358" s="3"/>
    </row>
    <row r="359" spans="4:15" x14ac:dyDescent="0.25">
      <c r="D359" s="8"/>
      <c r="E359" s="8"/>
      <c r="F359" s="3"/>
      <c r="G359" s="9"/>
      <c r="O359" s="3"/>
    </row>
    <row r="360" spans="4:15" x14ac:dyDescent="0.25">
      <c r="D360" s="8"/>
      <c r="E360" s="8"/>
      <c r="F360" s="3"/>
      <c r="G360" s="9"/>
      <c r="O360" s="3"/>
    </row>
    <row r="361" spans="4:15" x14ac:dyDescent="0.25">
      <c r="D361" s="8"/>
      <c r="E361" s="8"/>
      <c r="F361" s="3"/>
      <c r="G361" s="9"/>
      <c r="O361" s="3"/>
    </row>
    <row r="362" spans="4:15" x14ac:dyDescent="0.25">
      <c r="D362" s="8"/>
      <c r="E362" s="8"/>
      <c r="F362" s="3"/>
      <c r="G362" s="9"/>
      <c r="O362" s="3"/>
    </row>
    <row r="363" spans="4:15" x14ac:dyDescent="0.25">
      <c r="D363" s="8"/>
      <c r="E363" s="8"/>
      <c r="F363" s="3"/>
      <c r="G363" s="9"/>
      <c r="O363" s="3"/>
    </row>
    <row r="364" spans="4:15" x14ac:dyDescent="0.25">
      <c r="D364" s="8"/>
      <c r="E364" s="8"/>
      <c r="F364" s="3"/>
      <c r="G364" s="9"/>
      <c r="O364" s="3"/>
    </row>
    <row r="365" spans="4:15" x14ac:dyDescent="0.25">
      <c r="D365" s="8"/>
      <c r="E365" s="8"/>
      <c r="F365" s="3"/>
      <c r="G365" s="9"/>
      <c r="O365" s="3"/>
    </row>
    <row r="366" spans="4:15" x14ac:dyDescent="0.25">
      <c r="D366" s="8"/>
      <c r="E366" s="8"/>
      <c r="F366" s="3"/>
      <c r="G366" s="9"/>
      <c r="O366" s="3"/>
    </row>
    <row r="367" spans="4:15" x14ac:dyDescent="0.25">
      <c r="D367" s="8"/>
      <c r="E367" s="8"/>
      <c r="F367" s="3"/>
      <c r="G367" s="9"/>
      <c r="O367" s="3"/>
    </row>
    <row r="368" spans="4:15" x14ac:dyDescent="0.25">
      <c r="D368" s="8"/>
      <c r="E368" s="8"/>
      <c r="F368" s="3"/>
      <c r="G368" s="9"/>
      <c r="O368" s="3"/>
    </row>
    <row r="369" spans="4:15" x14ac:dyDescent="0.25">
      <c r="D369" s="8"/>
      <c r="E369" s="8"/>
      <c r="F369" s="3"/>
      <c r="G369" s="9"/>
      <c r="O369" s="3"/>
    </row>
    <row r="370" spans="4:15" x14ac:dyDescent="0.25">
      <c r="D370" s="8"/>
      <c r="E370" s="8"/>
      <c r="F370" s="3"/>
      <c r="G370" s="9"/>
      <c r="O370" s="3"/>
    </row>
    <row r="371" spans="4:15" x14ac:dyDescent="0.25">
      <c r="D371" s="8"/>
      <c r="E371" s="8"/>
      <c r="F371" s="3"/>
      <c r="G371" s="9"/>
      <c r="O371" s="3"/>
    </row>
    <row r="372" spans="4:15" x14ac:dyDescent="0.25">
      <c r="D372" s="8"/>
      <c r="E372" s="8"/>
      <c r="F372" s="3"/>
      <c r="G372" s="9"/>
      <c r="O372" s="3"/>
    </row>
    <row r="373" spans="4:15" x14ac:dyDescent="0.25">
      <c r="D373" s="8"/>
      <c r="E373" s="8"/>
      <c r="F373" s="3"/>
      <c r="G373" s="9"/>
      <c r="O373" s="3"/>
    </row>
    <row r="374" spans="4:15" x14ac:dyDescent="0.25">
      <c r="D374" s="8"/>
      <c r="E374" s="8"/>
      <c r="F374" s="3"/>
      <c r="G374" s="9"/>
      <c r="O374" s="3"/>
    </row>
    <row r="375" spans="4:15" x14ac:dyDescent="0.25">
      <c r="D375" s="8"/>
      <c r="E375" s="8"/>
      <c r="F375" s="3"/>
      <c r="G375" s="9"/>
      <c r="O375" s="3"/>
    </row>
    <row r="376" spans="4:15" x14ac:dyDescent="0.25">
      <c r="D376" s="8"/>
      <c r="E376" s="8"/>
      <c r="F376" s="3"/>
      <c r="G376" s="9"/>
      <c r="O376" s="3"/>
    </row>
    <row r="377" spans="4:15" x14ac:dyDescent="0.25">
      <c r="D377" s="8"/>
      <c r="E377" s="8"/>
      <c r="F377" s="3"/>
      <c r="O377" s="3"/>
    </row>
    <row r="378" spans="4:15" x14ac:dyDescent="0.25">
      <c r="D378" s="8"/>
      <c r="E378" s="8"/>
      <c r="F378" s="3"/>
      <c r="G378" s="9"/>
      <c r="O378" s="3"/>
    </row>
    <row r="379" spans="4:15" x14ac:dyDescent="0.25">
      <c r="D379" s="8"/>
      <c r="E379" s="8"/>
      <c r="F379" s="3"/>
      <c r="G379" s="9"/>
      <c r="O379" s="3"/>
    </row>
    <row r="380" spans="4:15" x14ac:dyDescent="0.25">
      <c r="D380" s="8"/>
      <c r="E380" s="8"/>
      <c r="F380" s="3"/>
      <c r="G380" s="9"/>
      <c r="O380" s="3"/>
    </row>
    <row r="381" spans="4:15" x14ac:dyDescent="0.25">
      <c r="D381" s="8"/>
      <c r="E381" s="8"/>
      <c r="F381" s="3"/>
      <c r="G381" s="9"/>
      <c r="O381" s="3"/>
    </row>
    <row r="382" spans="4:15" x14ac:dyDescent="0.25">
      <c r="D382" s="8"/>
      <c r="E382" s="8"/>
      <c r="F382" s="3"/>
      <c r="G382" s="9"/>
      <c r="O382" s="3"/>
    </row>
    <row r="383" spans="4:15" x14ac:dyDescent="0.25">
      <c r="D383" s="8"/>
      <c r="E383" s="8"/>
      <c r="F383" s="3"/>
      <c r="G383" s="9"/>
      <c r="O383" s="3"/>
    </row>
    <row r="384" spans="4:15" x14ac:dyDescent="0.25">
      <c r="D384" s="8"/>
      <c r="E384" s="8"/>
      <c r="F384" s="3"/>
      <c r="G384" s="9"/>
      <c r="O384" s="3"/>
    </row>
    <row r="385" spans="4:15" x14ac:dyDescent="0.25">
      <c r="D385" s="8"/>
      <c r="E385" s="8"/>
      <c r="F385" s="3"/>
      <c r="G385" s="9"/>
      <c r="O385" s="3"/>
    </row>
    <row r="386" spans="4:15" x14ac:dyDescent="0.25">
      <c r="D386" s="8"/>
      <c r="E386" s="8"/>
      <c r="F386" s="3"/>
      <c r="G386" s="9"/>
      <c r="O386" s="3"/>
    </row>
    <row r="387" spans="4:15" x14ac:dyDescent="0.25">
      <c r="D387" s="8"/>
      <c r="E387" s="8"/>
      <c r="F387" s="3"/>
      <c r="G387" s="9"/>
      <c r="O387" s="3"/>
    </row>
    <row r="388" spans="4:15" x14ac:dyDescent="0.25">
      <c r="D388" s="8"/>
      <c r="E388" s="8"/>
      <c r="F388" s="3"/>
      <c r="G388" s="9"/>
      <c r="O388" s="3"/>
    </row>
    <row r="389" spans="4:15" x14ac:dyDescent="0.25">
      <c r="D389" s="8"/>
      <c r="E389" s="8"/>
      <c r="F389" s="3"/>
      <c r="G389" s="9"/>
      <c r="O389" s="3"/>
    </row>
    <row r="390" spans="4:15" x14ac:dyDescent="0.25">
      <c r="D390" s="8"/>
      <c r="E390" s="8"/>
      <c r="F390" s="3"/>
      <c r="G390" s="9"/>
      <c r="O390" s="3"/>
    </row>
    <row r="391" spans="4:15" x14ac:dyDescent="0.25">
      <c r="D391" s="8"/>
      <c r="E391" s="8"/>
      <c r="F391" s="3"/>
      <c r="G391" s="9"/>
      <c r="O391" s="3"/>
    </row>
    <row r="392" spans="4:15" x14ac:dyDescent="0.25">
      <c r="D392" s="8"/>
      <c r="E392" s="8"/>
      <c r="F392" s="3"/>
      <c r="G392" s="9"/>
      <c r="O392" s="3"/>
    </row>
    <row r="393" spans="4:15" x14ac:dyDescent="0.25">
      <c r="D393" s="8"/>
      <c r="E393" s="8"/>
      <c r="F393" s="3"/>
      <c r="G393" s="9"/>
      <c r="O393" s="3"/>
    </row>
    <row r="394" spans="4:15" x14ac:dyDescent="0.25">
      <c r="D394" s="8"/>
      <c r="E394" s="8"/>
      <c r="F394" s="3"/>
      <c r="G394" s="9"/>
      <c r="O394" s="3"/>
    </row>
    <row r="395" spans="4:15" x14ac:dyDescent="0.25">
      <c r="D395" s="8"/>
      <c r="E395" s="8"/>
      <c r="F395" s="3"/>
      <c r="G395" s="9"/>
      <c r="O395" s="3"/>
    </row>
    <row r="396" spans="4:15" x14ac:dyDescent="0.25">
      <c r="D396" s="8"/>
      <c r="E396" s="8"/>
      <c r="F396" s="3"/>
      <c r="G396" s="9"/>
      <c r="O396" s="3"/>
    </row>
    <row r="397" spans="4:15" x14ac:dyDescent="0.25">
      <c r="D397" s="8"/>
      <c r="E397" s="8"/>
      <c r="F397" s="3"/>
      <c r="G397" s="9"/>
      <c r="O397" s="3"/>
    </row>
    <row r="398" spans="4:15" x14ac:dyDescent="0.25">
      <c r="D398" s="8"/>
      <c r="E398" s="8"/>
      <c r="F398" s="3"/>
      <c r="G398" s="9"/>
      <c r="O398" s="3"/>
    </row>
    <row r="399" spans="4:15" x14ac:dyDescent="0.25">
      <c r="D399" s="8"/>
      <c r="E399" s="8"/>
      <c r="F399" s="3"/>
      <c r="G399" s="9"/>
      <c r="O399" s="3"/>
    </row>
    <row r="400" spans="4:15" x14ac:dyDescent="0.25">
      <c r="D400" s="8"/>
      <c r="E400" s="8"/>
      <c r="F400" s="3"/>
      <c r="G400" s="9"/>
      <c r="O400" s="3"/>
    </row>
    <row r="401" spans="4:15" x14ac:dyDescent="0.25">
      <c r="D401" s="8"/>
      <c r="E401" s="8"/>
      <c r="F401" s="3"/>
      <c r="G401" s="9"/>
      <c r="O401" s="3"/>
    </row>
    <row r="402" spans="4:15" x14ac:dyDescent="0.25">
      <c r="D402" s="8"/>
      <c r="E402" s="8"/>
      <c r="F402" s="3"/>
      <c r="O402" s="3"/>
    </row>
    <row r="403" spans="4:15" x14ac:dyDescent="0.25">
      <c r="D403" s="8"/>
      <c r="E403" s="8"/>
      <c r="F403" s="3"/>
      <c r="G403" s="9"/>
      <c r="O403" s="3"/>
    </row>
    <row r="404" spans="4:15" x14ac:dyDescent="0.25">
      <c r="D404" s="8"/>
      <c r="E404" s="8"/>
      <c r="F404" s="3"/>
      <c r="G404" s="9"/>
      <c r="O404" s="3"/>
    </row>
    <row r="405" spans="4:15" x14ac:dyDescent="0.25">
      <c r="D405" s="8"/>
      <c r="E405" s="8"/>
      <c r="F405" s="3"/>
      <c r="G405" s="9"/>
      <c r="O405" s="3"/>
    </row>
    <row r="406" spans="4:15" x14ac:dyDescent="0.25">
      <c r="D406" s="8"/>
      <c r="E406" s="8"/>
      <c r="F406" s="3"/>
      <c r="G406" s="9"/>
      <c r="O406" s="3"/>
    </row>
    <row r="407" spans="4:15" x14ac:dyDescent="0.25">
      <c r="D407" s="8"/>
      <c r="E407" s="8"/>
      <c r="F407" s="3"/>
      <c r="G407" s="9"/>
      <c r="O407" s="3"/>
    </row>
    <row r="408" spans="4:15" x14ac:dyDescent="0.25">
      <c r="D408" s="8"/>
      <c r="E408" s="8"/>
      <c r="F408" s="3"/>
      <c r="G408" s="9"/>
      <c r="O408" s="3"/>
    </row>
    <row r="409" spans="4:15" x14ac:dyDescent="0.25">
      <c r="D409" s="8"/>
      <c r="E409" s="8"/>
      <c r="F409" s="3"/>
      <c r="G409" s="9"/>
      <c r="O409" s="3"/>
    </row>
    <row r="410" spans="4:15" x14ac:dyDescent="0.25">
      <c r="D410" s="8"/>
      <c r="E410" s="8"/>
      <c r="F410" s="3"/>
      <c r="G410" s="9"/>
      <c r="O410" s="3"/>
    </row>
    <row r="411" spans="4:15" x14ac:dyDescent="0.25">
      <c r="D411" s="8"/>
      <c r="E411" s="8"/>
      <c r="F411" s="3"/>
      <c r="G411" s="9"/>
      <c r="O411" s="3"/>
    </row>
    <row r="412" spans="4:15" x14ac:dyDescent="0.25">
      <c r="D412" s="8"/>
      <c r="E412" s="8"/>
      <c r="F412" s="3"/>
      <c r="G412" s="9"/>
      <c r="O412" s="3"/>
    </row>
    <row r="413" spans="4:15" x14ac:dyDescent="0.25">
      <c r="D413" s="8"/>
      <c r="E413" s="8"/>
      <c r="F413" s="3"/>
      <c r="G413" s="9"/>
      <c r="O413" s="3"/>
    </row>
    <row r="414" spans="4:15" x14ac:dyDescent="0.25">
      <c r="D414" s="8"/>
      <c r="E414" s="8"/>
      <c r="F414" s="3"/>
      <c r="G414" s="9"/>
      <c r="O414" s="3"/>
    </row>
    <row r="415" spans="4:15" x14ac:dyDescent="0.25">
      <c r="D415" s="8"/>
      <c r="E415" s="8"/>
      <c r="F415" s="3"/>
      <c r="G415" s="9"/>
      <c r="O415" s="3"/>
    </row>
    <row r="416" spans="4:15" x14ac:dyDescent="0.25">
      <c r="D416" s="8"/>
      <c r="E416" s="8"/>
      <c r="F416" s="3"/>
      <c r="G416" s="9"/>
      <c r="O416" s="3"/>
    </row>
    <row r="417" spans="4:15" x14ac:dyDescent="0.25">
      <c r="D417" s="8"/>
      <c r="E417" s="8"/>
      <c r="F417" s="3"/>
      <c r="G417" s="9"/>
      <c r="O417" s="3"/>
    </row>
    <row r="418" spans="4:15" x14ac:dyDescent="0.25">
      <c r="D418" s="8"/>
      <c r="E418" s="8"/>
      <c r="F418" s="3"/>
      <c r="G418" s="9"/>
      <c r="O418" s="3"/>
    </row>
    <row r="419" spans="4:15" x14ac:dyDescent="0.25">
      <c r="D419" s="8"/>
      <c r="E419" s="8"/>
      <c r="F419" s="3"/>
      <c r="G419" s="9"/>
      <c r="O419" s="3"/>
    </row>
    <row r="420" spans="4:15" x14ac:dyDescent="0.25">
      <c r="D420" s="8"/>
      <c r="E420" s="8"/>
      <c r="F420" s="3"/>
      <c r="G420" s="9"/>
      <c r="O420" s="3"/>
    </row>
    <row r="421" spans="4:15" x14ac:dyDescent="0.25">
      <c r="D421" s="8"/>
      <c r="E421" s="8"/>
      <c r="F421" s="3"/>
      <c r="G421" s="9"/>
      <c r="O421" s="3"/>
    </row>
    <row r="422" spans="4:15" x14ac:dyDescent="0.25">
      <c r="D422" s="8"/>
      <c r="E422" s="8"/>
      <c r="F422" s="3"/>
      <c r="G422" s="9"/>
      <c r="O422" s="3"/>
    </row>
    <row r="423" spans="4:15" x14ac:dyDescent="0.25">
      <c r="D423" s="8"/>
      <c r="E423" s="8"/>
      <c r="F423" s="3"/>
      <c r="G423" s="9"/>
      <c r="O423" s="3"/>
    </row>
    <row r="424" spans="4:15" x14ac:dyDescent="0.25">
      <c r="D424" s="8"/>
      <c r="E424" s="8"/>
      <c r="F424" s="3"/>
      <c r="G424" s="9"/>
      <c r="O424" s="3"/>
    </row>
    <row r="425" spans="4:15" x14ac:dyDescent="0.25">
      <c r="D425" s="8"/>
      <c r="E425" s="8"/>
      <c r="F425" s="3"/>
      <c r="G425" s="9"/>
      <c r="O425" s="3"/>
    </row>
    <row r="426" spans="4:15" x14ac:dyDescent="0.25">
      <c r="D426" s="8"/>
      <c r="E426" s="8"/>
      <c r="F426" s="3"/>
      <c r="G426" s="9"/>
      <c r="O426" s="3"/>
    </row>
    <row r="427" spans="4:15" x14ac:dyDescent="0.25">
      <c r="D427" s="8"/>
      <c r="E427" s="8"/>
      <c r="F427" s="3"/>
      <c r="O427" s="3"/>
    </row>
    <row r="428" spans="4:15" x14ac:dyDescent="0.25">
      <c r="D428" s="8"/>
      <c r="E428" s="8"/>
      <c r="F428" s="3"/>
      <c r="G428" s="9"/>
      <c r="O428" s="3"/>
    </row>
    <row r="429" spans="4:15" x14ac:dyDescent="0.25">
      <c r="D429" s="8"/>
      <c r="E429" s="8"/>
      <c r="F429" s="3"/>
      <c r="G429" s="9"/>
      <c r="O429" s="3"/>
    </row>
    <row r="430" spans="4:15" x14ac:dyDescent="0.25">
      <c r="D430" s="8"/>
      <c r="E430" s="8"/>
      <c r="F430" s="3"/>
      <c r="G430" s="9"/>
      <c r="O430" s="3"/>
    </row>
    <row r="431" spans="4:15" x14ac:dyDescent="0.25">
      <c r="D431" s="8"/>
      <c r="E431" s="8"/>
      <c r="F431" s="3"/>
      <c r="G431" s="9"/>
      <c r="O431" s="3"/>
    </row>
    <row r="432" spans="4:15" x14ac:dyDescent="0.25">
      <c r="D432" s="8"/>
      <c r="E432" s="8"/>
      <c r="F432" s="3"/>
      <c r="G432" s="9"/>
      <c r="O432" s="3"/>
    </row>
    <row r="433" spans="4:15" x14ac:dyDescent="0.25">
      <c r="D433" s="8"/>
      <c r="E433" s="8"/>
      <c r="F433" s="3"/>
      <c r="G433" s="9"/>
      <c r="O433" s="3"/>
    </row>
    <row r="434" spans="4:15" x14ac:dyDescent="0.25">
      <c r="D434" s="8"/>
      <c r="E434" s="8"/>
      <c r="F434" s="3"/>
      <c r="G434" s="9"/>
      <c r="O434" s="3"/>
    </row>
    <row r="435" spans="4:15" x14ac:dyDescent="0.25">
      <c r="D435" s="8"/>
      <c r="E435" s="8"/>
      <c r="F435" s="3"/>
      <c r="G435" s="9"/>
      <c r="O435" s="3"/>
    </row>
    <row r="436" spans="4:15" x14ac:dyDescent="0.25">
      <c r="D436" s="8"/>
      <c r="E436" s="8"/>
      <c r="F436" s="3"/>
      <c r="G436" s="9"/>
      <c r="O436" s="3"/>
    </row>
    <row r="437" spans="4:15" x14ac:dyDescent="0.25">
      <c r="D437" s="8"/>
      <c r="E437" s="8"/>
      <c r="F437" s="3"/>
      <c r="G437" s="9"/>
      <c r="O437" s="3"/>
    </row>
    <row r="438" spans="4:15" x14ac:dyDescent="0.25">
      <c r="D438" s="8"/>
      <c r="E438" s="8"/>
      <c r="F438" s="3"/>
      <c r="G438" s="9"/>
      <c r="O438" s="3"/>
    </row>
    <row r="439" spans="4:15" x14ac:dyDescent="0.25">
      <c r="D439" s="8"/>
      <c r="E439" s="8"/>
      <c r="F439" s="3"/>
      <c r="G439" s="9"/>
      <c r="O439" s="3"/>
    </row>
    <row r="440" spans="4:15" x14ac:dyDescent="0.25">
      <c r="D440" s="8"/>
      <c r="E440" s="8"/>
      <c r="F440" s="3"/>
      <c r="G440" s="9"/>
      <c r="O440" s="3"/>
    </row>
    <row r="441" spans="4:15" x14ac:dyDescent="0.25">
      <c r="D441" s="8"/>
      <c r="E441" s="8"/>
      <c r="F441" s="3"/>
      <c r="G441" s="9"/>
      <c r="O441" s="3"/>
    </row>
    <row r="442" spans="4:15" x14ac:dyDescent="0.25">
      <c r="D442" s="8"/>
      <c r="E442" s="8"/>
      <c r="F442" s="3"/>
      <c r="G442" s="9"/>
      <c r="O442" s="3"/>
    </row>
    <row r="443" spans="4:15" x14ac:dyDescent="0.25">
      <c r="D443" s="8"/>
      <c r="E443" s="8"/>
      <c r="F443" s="3"/>
      <c r="G443" s="9"/>
      <c r="O443" s="3"/>
    </row>
    <row r="444" spans="4:15" x14ac:dyDescent="0.25">
      <c r="D444" s="8"/>
      <c r="E444" s="8"/>
      <c r="F444" s="3"/>
      <c r="G444" s="9"/>
      <c r="O444" s="3"/>
    </row>
    <row r="445" spans="4:15" x14ac:dyDescent="0.25">
      <c r="D445" s="8"/>
      <c r="E445" s="8"/>
      <c r="F445" s="3"/>
      <c r="G445" s="9"/>
      <c r="O445" s="3"/>
    </row>
    <row r="446" spans="4:15" x14ac:dyDescent="0.25">
      <c r="D446" s="8"/>
      <c r="E446" s="8"/>
      <c r="F446" s="3"/>
      <c r="G446" s="9"/>
      <c r="O446" s="3"/>
    </row>
    <row r="447" spans="4:15" x14ac:dyDescent="0.25">
      <c r="D447" s="8"/>
      <c r="E447" s="8"/>
      <c r="F447" s="3"/>
      <c r="G447" s="9"/>
      <c r="O447" s="3"/>
    </row>
    <row r="448" spans="4:15" x14ac:dyDescent="0.25">
      <c r="D448" s="8"/>
      <c r="E448" s="8"/>
      <c r="F448" s="3"/>
      <c r="G448" s="9"/>
      <c r="O448" s="3"/>
    </row>
    <row r="449" spans="4:15" x14ac:dyDescent="0.25">
      <c r="D449" s="8"/>
      <c r="E449" s="8"/>
      <c r="F449" s="3"/>
      <c r="G449" s="9"/>
      <c r="O449" s="3"/>
    </row>
    <row r="450" spans="4:15" x14ac:dyDescent="0.25">
      <c r="D450" s="8"/>
      <c r="E450" s="8"/>
      <c r="F450" s="3"/>
      <c r="G450" s="9"/>
      <c r="O450" s="3"/>
    </row>
    <row r="451" spans="4:15" x14ac:dyDescent="0.25">
      <c r="D451" s="8"/>
      <c r="E451" s="8"/>
      <c r="F451" s="3"/>
      <c r="G451" s="9"/>
      <c r="O451" s="3"/>
    </row>
    <row r="452" spans="4:15" x14ac:dyDescent="0.25">
      <c r="D452" s="8"/>
      <c r="E452" s="8"/>
      <c r="F452" s="3"/>
      <c r="O452" s="3"/>
    </row>
    <row r="453" spans="4:15" x14ac:dyDescent="0.25">
      <c r="D453" s="8"/>
      <c r="E453" s="8"/>
      <c r="F453" s="3"/>
      <c r="G453" s="9"/>
      <c r="O453" s="3"/>
    </row>
    <row r="454" spans="4:15" x14ac:dyDescent="0.25">
      <c r="D454" s="8"/>
      <c r="E454" s="8"/>
      <c r="F454" s="3"/>
      <c r="G454" s="9"/>
      <c r="O454" s="3"/>
    </row>
    <row r="455" spans="4:15" x14ac:dyDescent="0.25">
      <c r="D455" s="8"/>
      <c r="E455" s="8"/>
      <c r="F455" s="3"/>
      <c r="G455" s="9"/>
      <c r="O455" s="3"/>
    </row>
    <row r="456" spans="4:15" x14ac:dyDescent="0.25">
      <c r="D456" s="8"/>
      <c r="E456" s="8"/>
      <c r="F456" s="3"/>
      <c r="G456" s="9"/>
      <c r="O456" s="3"/>
    </row>
    <row r="457" spans="4:15" x14ac:dyDescent="0.25">
      <c r="D457" s="8"/>
      <c r="E457" s="8"/>
      <c r="F457" s="3"/>
      <c r="G457" s="9"/>
      <c r="O457" s="3"/>
    </row>
    <row r="458" spans="4:15" x14ac:dyDescent="0.25">
      <c r="D458" s="8"/>
      <c r="E458" s="8"/>
      <c r="F458" s="3"/>
      <c r="G458" s="9"/>
      <c r="O458" s="3"/>
    </row>
    <row r="459" spans="4:15" x14ac:dyDescent="0.25">
      <c r="D459" s="8"/>
      <c r="E459" s="8"/>
      <c r="F459" s="3"/>
      <c r="G459" s="9"/>
      <c r="O459" s="3"/>
    </row>
    <row r="460" spans="4:15" x14ac:dyDescent="0.25">
      <c r="D460" s="8"/>
      <c r="E460" s="8"/>
      <c r="F460" s="3"/>
      <c r="G460" s="9"/>
      <c r="O460" s="3"/>
    </row>
    <row r="461" spans="4:15" x14ac:dyDescent="0.25">
      <c r="D461" s="8"/>
      <c r="E461" s="8"/>
      <c r="F461" s="3"/>
      <c r="G461" s="9"/>
      <c r="O461" s="3"/>
    </row>
    <row r="462" spans="4:15" x14ac:dyDescent="0.25">
      <c r="D462" s="8"/>
      <c r="E462" s="8"/>
      <c r="F462" s="3"/>
      <c r="G462" s="9"/>
      <c r="O462" s="3"/>
    </row>
    <row r="463" spans="4:15" x14ac:dyDescent="0.25">
      <c r="D463" s="8"/>
      <c r="E463" s="8"/>
      <c r="F463" s="3"/>
      <c r="G463" s="9"/>
      <c r="O463" s="3"/>
    </row>
    <row r="464" spans="4:15" x14ac:dyDescent="0.25">
      <c r="D464" s="8"/>
      <c r="E464" s="8"/>
      <c r="F464" s="3"/>
      <c r="G464" s="9"/>
      <c r="O464" s="3"/>
    </row>
    <row r="465" spans="4:15" x14ac:dyDescent="0.25">
      <c r="D465" s="8"/>
      <c r="E465" s="8"/>
      <c r="F465" s="3"/>
      <c r="G465" s="9"/>
      <c r="O465" s="3"/>
    </row>
    <row r="466" spans="4:15" x14ac:dyDescent="0.25">
      <c r="D466" s="8"/>
      <c r="E466" s="8"/>
      <c r="F466" s="3"/>
      <c r="G466" s="9"/>
      <c r="O466" s="3"/>
    </row>
    <row r="467" spans="4:15" x14ac:dyDescent="0.25">
      <c r="D467" s="8"/>
      <c r="E467" s="8"/>
      <c r="F467" s="3"/>
      <c r="G467" s="9"/>
      <c r="O467" s="3"/>
    </row>
    <row r="468" spans="4:15" x14ac:dyDescent="0.25">
      <c r="D468" s="8"/>
      <c r="E468" s="8"/>
      <c r="F468" s="3"/>
      <c r="G468" s="9"/>
      <c r="O468" s="3"/>
    </row>
    <row r="469" spans="4:15" x14ac:dyDescent="0.25">
      <c r="D469" s="8"/>
      <c r="E469" s="8"/>
      <c r="F469" s="3"/>
      <c r="G469" s="9"/>
      <c r="O469" s="3"/>
    </row>
    <row r="470" spans="4:15" x14ac:dyDescent="0.25">
      <c r="D470" s="8"/>
      <c r="E470" s="8"/>
      <c r="F470" s="3"/>
      <c r="G470" s="9"/>
      <c r="O470" s="3"/>
    </row>
    <row r="471" spans="4:15" x14ac:dyDescent="0.25">
      <c r="D471" s="8"/>
      <c r="E471" s="8"/>
      <c r="F471" s="3"/>
      <c r="G471" s="9"/>
      <c r="O471" s="3"/>
    </row>
    <row r="472" spans="4:15" x14ac:dyDescent="0.25">
      <c r="D472" s="8"/>
      <c r="E472" s="8"/>
      <c r="F472" s="3"/>
      <c r="G472" s="9"/>
      <c r="O472" s="3"/>
    </row>
    <row r="473" spans="4:15" x14ac:dyDescent="0.25">
      <c r="D473" s="8"/>
      <c r="E473" s="8"/>
      <c r="F473" s="3"/>
      <c r="G473" s="9"/>
      <c r="O473" s="3"/>
    </row>
    <row r="474" spans="4:15" x14ac:dyDescent="0.25">
      <c r="D474" s="8"/>
      <c r="E474" s="8"/>
      <c r="F474" s="3"/>
      <c r="G474" s="9"/>
      <c r="O474" s="3"/>
    </row>
    <row r="475" spans="4:15" x14ac:dyDescent="0.25">
      <c r="D475" s="8"/>
      <c r="E475" s="8"/>
      <c r="F475" s="3"/>
      <c r="G475" s="9"/>
      <c r="O475" s="3"/>
    </row>
    <row r="476" spans="4:15" x14ac:dyDescent="0.25">
      <c r="D476" s="8"/>
      <c r="E476" s="8"/>
      <c r="F476" s="3"/>
      <c r="G476" s="9"/>
      <c r="O476" s="3"/>
    </row>
    <row r="477" spans="4:15" x14ac:dyDescent="0.25">
      <c r="D477" s="8"/>
      <c r="E477" s="8"/>
      <c r="F477" s="3"/>
      <c r="O477" s="3"/>
    </row>
    <row r="478" spans="4:15" x14ac:dyDescent="0.25">
      <c r="D478" s="8"/>
      <c r="E478" s="8"/>
      <c r="F478" s="3"/>
      <c r="G478" s="9"/>
      <c r="O478" s="3"/>
    </row>
    <row r="479" spans="4:15" x14ac:dyDescent="0.25">
      <c r="D479" s="8"/>
      <c r="E479" s="8"/>
      <c r="F479" s="3"/>
      <c r="G479" s="9"/>
      <c r="O479" s="3"/>
    </row>
    <row r="480" spans="4:15" x14ac:dyDescent="0.25">
      <c r="D480" s="8"/>
      <c r="E480" s="8"/>
      <c r="F480" s="3"/>
      <c r="G480" s="9"/>
      <c r="O480" s="3"/>
    </row>
    <row r="481" spans="4:15" x14ac:dyDescent="0.25">
      <c r="D481" s="8"/>
      <c r="E481" s="8"/>
      <c r="F481" s="3"/>
      <c r="G481" s="9"/>
      <c r="O481" s="3"/>
    </row>
    <row r="482" spans="4:15" x14ac:dyDescent="0.25">
      <c r="D482" s="8"/>
      <c r="E482" s="8"/>
      <c r="F482" s="3"/>
      <c r="G482" s="9"/>
      <c r="O482" s="3"/>
    </row>
    <row r="483" spans="4:15" x14ac:dyDescent="0.25">
      <c r="D483" s="8"/>
      <c r="E483" s="8"/>
      <c r="F483" s="3"/>
      <c r="G483" s="9"/>
      <c r="O483" s="3"/>
    </row>
    <row r="484" spans="4:15" x14ac:dyDescent="0.25">
      <c r="D484" s="8"/>
      <c r="E484" s="8"/>
      <c r="F484" s="3"/>
      <c r="G484" s="9"/>
      <c r="O484" s="3"/>
    </row>
    <row r="485" spans="4:15" x14ac:dyDescent="0.25">
      <c r="D485" s="8"/>
      <c r="E485" s="8"/>
      <c r="F485" s="3"/>
      <c r="G485" s="9"/>
      <c r="O485" s="3"/>
    </row>
    <row r="486" spans="4:15" x14ac:dyDescent="0.25">
      <c r="D486" s="8"/>
      <c r="E486" s="8"/>
      <c r="F486" s="3"/>
      <c r="G486" s="9"/>
      <c r="O486" s="3"/>
    </row>
    <row r="487" spans="4:15" x14ac:dyDescent="0.25">
      <c r="D487" s="8"/>
      <c r="E487" s="8"/>
      <c r="F487" s="3"/>
      <c r="G487" s="9"/>
      <c r="O487" s="3"/>
    </row>
    <row r="488" spans="4:15" x14ac:dyDescent="0.25">
      <c r="D488" s="8"/>
      <c r="E488" s="8"/>
      <c r="F488" s="3"/>
      <c r="G488" s="9"/>
      <c r="O488" s="3"/>
    </row>
    <row r="489" spans="4:15" x14ac:dyDescent="0.25">
      <c r="D489" s="8"/>
      <c r="E489" s="8"/>
      <c r="F489" s="3"/>
      <c r="G489" s="9"/>
      <c r="O489" s="3"/>
    </row>
    <row r="490" spans="4:15" x14ac:dyDescent="0.25">
      <c r="D490" s="8"/>
      <c r="E490" s="8"/>
      <c r="F490" s="3"/>
      <c r="G490" s="9"/>
      <c r="O490" s="3"/>
    </row>
    <row r="491" spans="4:15" x14ac:dyDescent="0.25">
      <c r="D491" s="8"/>
      <c r="E491" s="8"/>
      <c r="F491" s="3"/>
      <c r="G491" s="9"/>
      <c r="O491" s="3"/>
    </row>
    <row r="492" spans="4:15" x14ac:dyDescent="0.25">
      <c r="D492" s="8"/>
      <c r="E492" s="8"/>
      <c r="F492" s="3"/>
      <c r="G492" s="9"/>
      <c r="O492" s="3"/>
    </row>
    <row r="493" spans="4:15" x14ac:dyDescent="0.25">
      <c r="D493" s="8"/>
      <c r="E493" s="8"/>
      <c r="F493" s="3"/>
      <c r="G493" s="9"/>
      <c r="O493" s="3"/>
    </row>
    <row r="494" spans="4:15" x14ac:dyDescent="0.25">
      <c r="D494" s="8"/>
      <c r="E494" s="8"/>
      <c r="F494" s="3"/>
      <c r="G494" s="9"/>
      <c r="O494" s="3"/>
    </row>
    <row r="495" spans="4:15" x14ac:dyDescent="0.25">
      <c r="D495" s="8"/>
      <c r="E495" s="8"/>
      <c r="F495" s="3"/>
      <c r="G495" s="9"/>
      <c r="O495" s="3"/>
    </row>
    <row r="496" spans="4:15" x14ac:dyDescent="0.25">
      <c r="D496" s="8"/>
      <c r="E496" s="8"/>
      <c r="F496" s="3"/>
      <c r="G496" s="9"/>
      <c r="O496" s="3"/>
    </row>
    <row r="497" spans="4:15" x14ac:dyDescent="0.25">
      <c r="D497" s="8"/>
      <c r="E497" s="8"/>
      <c r="F497" s="3"/>
      <c r="G497" s="9"/>
      <c r="O497" s="3"/>
    </row>
    <row r="498" spans="4:15" x14ac:dyDescent="0.25">
      <c r="D498" s="8"/>
      <c r="E498" s="8"/>
      <c r="F498" s="3"/>
      <c r="G498" s="9"/>
      <c r="O498" s="3"/>
    </row>
    <row r="499" spans="4:15" x14ac:dyDescent="0.25">
      <c r="D499" s="8"/>
      <c r="E499" s="8"/>
      <c r="F499" s="3"/>
      <c r="G499" s="9"/>
      <c r="O499" s="3"/>
    </row>
    <row r="500" spans="4:15" x14ac:dyDescent="0.25">
      <c r="D500" s="8"/>
      <c r="E500" s="8"/>
      <c r="F500" s="3"/>
      <c r="G500" s="9"/>
      <c r="O500" s="3"/>
    </row>
    <row r="501" spans="4:15" x14ac:dyDescent="0.25">
      <c r="D501" s="8"/>
      <c r="E501" s="8"/>
      <c r="F501" s="3"/>
      <c r="G501" s="9"/>
      <c r="O501" s="3"/>
    </row>
    <row r="502" spans="4:15" x14ac:dyDescent="0.25">
      <c r="D502" s="8"/>
      <c r="E502" s="8"/>
      <c r="F502" s="3"/>
      <c r="O502" s="3"/>
    </row>
    <row r="503" spans="4:15" x14ac:dyDescent="0.25">
      <c r="D503" s="8"/>
      <c r="E503" s="8"/>
      <c r="F503" s="3"/>
      <c r="G503" s="9"/>
      <c r="O503" s="3"/>
    </row>
    <row r="504" spans="4:15" x14ac:dyDescent="0.25">
      <c r="D504" s="8"/>
      <c r="E504" s="8"/>
      <c r="F504" s="3"/>
      <c r="G504" s="9"/>
      <c r="O504" s="3"/>
    </row>
    <row r="505" spans="4:15" x14ac:dyDescent="0.25">
      <c r="D505" s="8"/>
      <c r="E505" s="8"/>
      <c r="F505" s="3"/>
      <c r="G505" s="9"/>
      <c r="O505" s="3"/>
    </row>
    <row r="506" spans="4:15" x14ac:dyDescent="0.25">
      <c r="D506" s="8"/>
      <c r="E506" s="8"/>
      <c r="F506" s="3"/>
      <c r="G506" s="9"/>
      <c r="O506" s="3"/>
    </row>
    <row r="507" spans="4:15" x14ac:dyDescent="0.25">
      <c r="D507" s="8"/>
      <c r="E507" s="8"/>
      <c r="F507" s="3"/>
      <c r="G507" s="9"/>
      <c r="O507" s="3"/>
    </row>
    <row r="508" spans="4:15" x14ac:dyDescent="0.25">
      <c r="D508" s="8"/>
      <c r="E508" s="8"/>
      <c r="F508" s="3"/>
      <c r="G508" s="9"/>
      <c r="O508" s="3"/>
    </row>
    <row r="509" spans="4:15" x14ac:dyDescent="0.25">
      <c r="D509" s="8"/>
      <c r="E509" s="8"/>
      <c r="F509" s="3"/>
      <c r="G509" s="9"/>
      <c r="O509" s="3"/>
    </row>
    <row r="510" spans="4:15" x14ac:dyDescent="0.25">
      <c r="D510" s="8"/>
      <c r="E510" s="8"/>
      <c r="F510" s="3"/>
      <c r="G510" s="9"/>
      <c r="O510" s="3"/>
    </row>
    <row r="511" spans="4:15" x14ac:dyDescent="0.25">
      <c r="D511" s="8"/>
      <c r="E511" s="8"/>
      <c r="F511" s="3"/>
      <c r="G511" s="9"/>
      <c r="O511" s="3"/>
    </row>
    <row r="512" spans="4:15" x14ac:dyDescent="0.25">
      <c r="D512" s="8"/>
      <c r="E512" s="8"/>
      <c r="F512" s="3"/>
      <c r="G512" s="9"/>
      <c r="O512" s="3"/>
    </row>
    <row r="513" spans="4:15" x14ac:dyDescent="0.25">
      <c r="D513" s="8"/>
      <c r="E513" s="8"/>
      <c r="F513" s="3"/>
      <c r="G513" s="9"/>
      <c r="O513" s="3"/>
    </row>
    <row r="514" spans="4:15" x14ac:dyDescent="0.25">
      <c r="D514" s="8"/>
      <c r="E514" s="8"/>
      <c r="F514" s="3"/>
      <c r="G514" s="9"/>
      <c r="O514" s="3"/>
    </row>
    <row r="515" spans="4:15" x14ac:dyDescent="0.25">
      <c r="D515" s="8"/>
      <c r="E515" s="8"/>
      <c r="F515" s="3"/>
      <c r="G515" s="9"/>
      <c r="O515" s="3"/>
    </row>
    <row r="516" spans="4:15" x14ac:dyDescent="0.25">
      <c r="D516" s="8"/>
      <c r="E516" s="8"/>
      <c r="F516" s="3"/>
      <c r="G516" s="9"/>
      <c r="O516" s="3"/>
    </row>
    <row r="517" spans="4:15" x14ac:dyDescent="0.25">
      <c r="D517" s="8"/>
      <c r="E517" s="8"/>
      <c r="F517" s="3"/>
      <c r="G517" s="9"/>
      <c r="O517" s="3"/>
    </row>
    <row r="518" spans="4:15" x14ac:dyDescent="0.25">
      <c r="D518" s="8"/>
      <c r="E518" s="8"/>
      <c r="F518" s="3"/>
      <c r="G518" s="9"/>
      <c r="O518" s="3"/>
    </row>
    <row r="519" spans="4:15" x14ac:dyDescent="0.25">
      <c r="D519" s="8"/>
      <c r="E519" s="8"/>
      <c r="F519" s="3"/>
      <c r="G519" s="9"/>
      <c r="O519" s="3"/>
    </row>
    <row r="520" spans="4:15" x14ac:dyDescent="0.25">
      <c r="D520" s="8"/>
      <c r="E520" s="8"/>
      <c r="F520" s="3"/>
      <c r="G520" s="9"/>
      <c r="O520" s="3"/>
    </row>
    <row r="521" spans="4:15" x14ac:dyDescent="0.25">
      <c r="D521" s="8"/>
      <c r="E521" s="8"/>
      <c r="F521" s="3"/>
      <c r="G521" s="9"/>
      <c r="O521" s="3"/>
    </row>
    <row r="522" spans="4:15" x14ac:dyDescent="0.25">
      <c r="D522" s="8"/>
      <c r="E522" s="8"/>
      <c r="F522" s="3"/>
      <c r="G522" s="9"/>
      <c r="O522" s="3"/>
    </row>
    <row r="523" spans="4:15" x14ac:dyDescent="0.25">
      <c r="D523" s="8"/>
      <c r="E523" s="8"/>
      <c r="F523" s="3"/>
      <c r="G523" s="9"/>
      <c r="O523" s="3"/>
    </row>
    <row r="524" spans="4:15" x14ac:dyDescent="0.25">
      <c r="D524" s="8"/>
      <c r="E524" s="8"/>
      <c r="F524" s="3"/>
      <c r="G524" s="9"/>
      <c r="O524" s="3"/>
    </row>
    <row r="525" spans="4:15" x14ac:dyDescent="0.25">
      <c r="D525" s="8"/>
      <c r="E525" s="8"/>
      <c r="F525" s="3"/>
      <c r="G525" s="9"/>
      <c r="O525" s="3"/>
    </row>
    <row r="526" spans="4:15" x14ac:dyDescent="0.25">
      <c r="D526" s="8"/>
      <c r="E526" s="8"/>
      <c r="F526" s="3"/>
      <c r="G526" s="9"/>
      <c r="O526" s="3"/>
    </row>
    <row r="527" spans="4:15" x14ac:dyDescent="0.25">
      <c r="D527" s="8"/>
      <c r="E527" s="8"/>
      <c r="F527" s="3"/>
      <c r="O527" s="3"/>
    </row>
    <row r="528" spans="4:15" x14ac:dyDescent="0.25">
      <c r="D528" s="8"/>
      <c r="E528" s="8"/>
      <c r="F528" s="3"/>
      <c r="G528" s="9"/>
      <c r="O528" s="3"/>
    </row>
    <row r="529" spans="4:15" x14ac:dyDescent="0.25">
      <c r="D529" s="8"/>
      <c r="E529" s="8"/>
      <c r="F529" s="3"/>
      <c r="G529" s="9"/>
      <c r="O529" s="3"/>
    </row>
    <row r="530" spans="4:15" x14ac:dyDescent="0.25">
      <c r="D530" s="8"/>
      <c r="E530" s="8"/>
      <c r="F530" s="3"/>
      <c r="G530" s="9"/>
      <c r="O530" s="3"/>
    </row>
    <row r="531" spans="4:15" x14ac:dyDescent="0.25">
      <c r="D531" s="8"/>
      <c r="E531" s="8"/>
      <c r="F531" s="3"/>
      <c r="G531" s="9"/>
      <c r="O531" s="3"/>
    </row>
    <row r="532" spans="4:15" x14ac:dyDescent="0.25">
      <c r="D532" s="8"/>
      <c r="E532" s="8"/>
      <c r="F532" s="3"/>
      <c r="G532" s="9"/>
      <c r="O532" s="3"/>
    </row>
    <row r="533" spans="4:15" x14ac:dyDescent="0.25">
      <c r="D533" s="8"/>
      <c r="E533" s="8"/>
      <c r="F533" s="3"/>
      <c r="G533" s="9"/>
      <c r="O533" s="3"/>
    </row>
    <row r="534" spans="4:15" x14ac:dyDescent="0.25">
      <c r="D534" s="8"/>
      <c r="E534" s="8"/>
      <c r="F534" s="3"/>
      <c r="G534" s="9"/>
      <c r="O534" s="3"/>
    </row>
    <row r="535" spans="4:15" x14ac:dyDescent="0.25">
      <c r="D535" s="8"/>
      <c r="E535" s="8"/>
      <c r="F535" s="3"/>
      <c r="G535" s="9"/>
      <c r="O535" s="3"/>
    </row>
    <row r="536" spans="4:15" x14ac:dyDescent="0.25">
      <c r="D536" s="8"/>
      <c r="E536" s="8"/>
      <c r="F536" s="3"/>
      <c r="G536" s="9"/>
      <c r="O536" s="3"/>
    </row>
    <row r="537" spans="4:15" x14ac:dyDescent="0.25">
      <c r="D537" s="8"/>
      <c r="E537" s="8"/>
      <c r="F537" s="3"/>
      <c r="G537" s="9"/>
      <c r="O537" s="3"/>
    </row>
    <row r="538" spans="4:15" x14ac:dyDescent="0.25">
      <c r="D538" s="8"/>
      <c r="E538" s="8"/>
      <c r="F538" s="3"/>
      <c r="G538" s="9"/>
      <c r="O538" s="3"/>
    </row>
    <row r="539" spans="4:15" x14ac:dyDescent="0.25">
      <c r="D539" s="8"/>
      <c r="E539" s="8"/>
      <c r="F539" s="3"/>
      <c r="G539" s="9"/>
      <c r="O539" s="3"/>
    </row>
    <row r="540" spans="4:15" x14ac:dyDescent="0.25">
      <c r="D540" s="8"/>
      <c r="E540" s="8"/>
      <c r="F540" s="3"/>
      <c r="G540" s="9"/>
      <c r="O540" s="3"/>
    </row>
    <row r="541" spans="4:15" x14ac:dyDescent="0.25">
      <c r="D541" s="8"/>
      <c r="E541" s="8"/>
      <c r="F541" s="3"/>
      <c r="G541" s="9"/>
      <c r="O541" s="3"/>
    </row>
    <row r="542" spans="4:15" x14ac:dyDescent="0.25">
      <c r="D542" s="8"/>
      <c r="E542" s="8"/>
      <c r="F542" s="3"/>
      <c r="G542" s="9"/>
      <c r="O542" s="3"/>
    </row>
    <row r="543" spans="4:15" x14ac:dyDescent="0.25">
      <c r="D543" s="8"/>
      <c r="E543" s="8"/>
      <c r="F543" s="3"/>
      <c r="G543" s="9"/>
      <c r="O543" s="3"/>
    </row>
    <row r="544" spans="4:15" x14ac:dyDescent="0.25">
      <c r="D544" s="8"/>
      <c r="E544" s="8"/>
      <c r="F544" s="3"/>
      <c r="G544" s="9"/>
      <c r="O544" s="3"/>
    </row>
    <row r="545" spans="4:15" x14ac:dyDescent="0.25">
      <c r="D545" s="8"/>
      <c r="E545" s="8"/>
      <c r="F545" s="3"/>
      <c r="G545" s="9"/>
      <c r="O545" s="3"/>
    </row>
    <row r="546" spans="4:15" x14ac:dyDescent="0.25">
      <c r="D546" s="8"/>
      <c r="E546" s="8"/>
      <c r="F546" s="3"/>
      <c r="G546" s="9"/>
      <c r="O546" s="3"/>
    </row>
    <row r="547" spans="4:15" x14ac:dyDescent="0.25">
      <c r="D547" s="8"/>
      <c r="E547" s="8"/>
      <c r="F547" s="3"/>
      <c r="G547" s="9"/>
      <c r="O547" s="3"/>
    </row>
    <row r="548" spans="4:15" x14ac:dyDescent="0.25">
      <c r="D548" s="8"/>
      <c r="E548" s="8"/>
      <c r="F548" s="3"/>
      <c r="G548" s="9"/>
      <c r="O548" s="3"/>
    </row>
    <row r="549" spans="4:15" x14ac:dyDescent="0.25">
      <c r="D549" s="8"/>
      <c r="E549" s="8"/>
      <c r="F549" s="3"/>
      <c r="G549" s="9"/>
      <c r="O549" s="3"/>
    </row>
    <row r="550" spans="4:15" x14ac:dyDescent="0.25">
      <c r="D550" s="8"/>
      <c r="E550" s="8"/>
      <c r="F550" s="3"/>
      <c r="G550" s="9"/>
      <c r="O550" s="3"/>
    </row>
    <row r="551" spans="4:15" x14ac:dyDescent="0.25">
      <c r="D551" s="8"/>
      <c r="E551" s="8"/>
      <c r="F551" s="3"/>
      <c r="G551" s="9"/>
      <c r="O551" s="3"/>
    </row>
    <row r="552" spans="4:15" x14ac:dyDescent="0.25">
      <c r="D552" s="8"/>
      <c r="E552" s="8"/>
      <c r="F552" s="3"/>
      <c r="O552" s="3"/>
    </row>
    <row r="553" spans="4:15" x14ac:dyDescent="0.25">
      <c r="D553" s="8"/>
      <c r="E553" s="8"/>
      <c r="F553" s="3"/>
      <c r="G553" s="9"/>
      <c r="O553" s="3"/>
    </row>
    <row r="554" spans="4:15" x14ac:dyDescent="0.25">
      <c r="D554" s="8"/>
      <c r="E554" s="8"/>
      <c r="F554" s="3"/>
      <c r="G554" s="9"/>
      <c r="O554" s="3"/>
    </row>
    <row r="555" spans="4:15" x14ac:dyDescent="0.25">
      <c r="D555" s="8"/>
      <c r="E555" s="8"/>
      <c r="F555" s="3"/>
      <c r="G555" s="9"/>
      <c r="O555" s="3"/>
    </row>
    <row r="556" spans="4:15" x14ac:dyDescent="0.25">
      <c r="D556" s="8"/>
      <c r="E556" s="8"/>
      <c r="F556" s="3"/>
      <c r="G556" s="9"/>
      <c r="O556" s="3"/>
    </row>
    <row r="557" spans="4:15" x14ac:dyDescent="0.25">
      <c r="D557" s="8"/>
      <c r="E557" s="8"/>
      <c r="F557" s="3"/>
      <c r="G557" s="9"/>
      <c r="O557" s="3"/>
    </row>
    <row r="558" spans="4:15" x14ac:dyDescent="0.25">
      <c r="D558" s="8"/>
      <c r="E558" s="8"/>
      <c r="F558" s="3"/>
      <c r="G558" s="9"/>
      <c r="O558" s="3"/>
    </row>
    <row r="559" spans="4:15" x14ac:dyDescent="0.25">
      <c r="D559" s="8"/>
      <c r="E559" s="8"/>
      <c r="F559" s="3"/>
      <c r="G559" s="9"/>
      <c r="O559" s="3"/>
    </row>
    <row r="560" spans="4:15" x14ac:dyDescent="0.25">
      <c r="D560" s="8"/>
      <c r="E560" s="8"/>
      <c r="F560" s="3"/>
      <c r="G560" s="9"/>
      <c r="O560" s="3"/>
    </row>
    <row r="561" spans="4:15" x14ac:dyDescent="0.25">
      <c r="D561" s="8"/>
      <c r="E561" s="8"/>
      <c r="F561" s="3"/>
      <c r="G561" s="9"/>
      <c r="O561" s="3"/>
    </row>
    <row r="562" spans="4:15" x14ac:dyDescent="0.25">
      <c r="D562" s="8"/>
      <c r="E562" s="8"/>
      <c r="F562" s="3"/>
      <c r="G562" s="9"/>
      <c r="O562" s="3"/>
    </row>
    <row r="563" spans="4:15" x14ac:dyDescent="0.25">
      <c r="D563" s="8"/>
      <c r="E563" s="8"/>
      <c r="F563" s="3"/>
      <c r="G563" s="9"/>
      <c r="O563" s="3"/>
    </row>
    <row r="564" spans="4:15" x14ac:dyDescent="0.25">
      <c r="D564" s="8"/>
      <c r="E564" s="8"/>
      <c r="F564" s="3"/>
      <c r="G564" s="9"/>
      <c r="O564" s="3"/>
    </row>
    <row r="565" spans="4:15" x14ac:dyDescent="0.25">
      <c r="D565" s="8"/>
      <c r="E565" s="8"/>
      <c r="F565" s="3"/>
      <c r="G565" s="9"/>
      <c r="O565" s="3"/>
    </row>
    <row r="566" spans="4:15" x14ac:dyDescent="0.25">
      <c r="D566" s="8"/>
      <c r="E566" s="8"/>
      <c r="F566" s="3"/>
      <c r="G566" s="9"/>
      <c r="O566" s="3"/>
    </row>
    <row r="567" spans="4:15" x14ac:dyDescent="0.25">
      <c r="D567" s="8"/>
      <c r="E567" s="8"/>
      <c r="F567" s="3"/>
      <c r="G567" s="9"/>
      <c r="O567" s="3"/>
    </row>
    <row r="568" spans="4:15" x14ac:dyDescent="0.25">
      <c r="D568" s="8"/>
      <c r="E568" s="8"/>
      <c r="F568" s="3"/>
      <c r="G568" s="9"/>
      <c r="O568" s="3"/>
    </row>
    <row r="569" spans="4:15" x14ac:dyDescent="0.25">
      <c r="D569" s="8"/>
      <c r="E569" s="8"/>
      <c r="F569" s="3"/>
      <c r="G569" s="9"/>
      <c r="O569" s="3"/>
    </row>
    <row r="570" spans="4:15" x14ac:dyDescent="0.25">
      <c r="D570" s="8"/>
      <c r="E570" s="8"/>
      <c r="F570" s="3"/>
      <c r="G570" s="9"/>
      <c r="O570" s="3"/>
    </row>
    <row r="571" spans="4:15" x14ac:dyDescent="0.25">
      <c r="D571" s="8"/>
      <c r="E571" s="8"/>
      <c r="F571" s="3"/>
      <c r="G571" s="9"/>
      <c r="O571" s="3"/>
    </row>
    <row r="572" spans="4:15" x14ac:dyDescent="0.25">
      <c r="D572" s="8"/>
      <c r="E572" s="8"/>
      <c r="F572" s="3"/>
      <c r="G572" s="9"/>
      <c r="O572" s="3"/>
    </row>
    <row r="573" spans="4:15" x14ac:dyDescent="0.25">
      <c r="D573" s="8"/>
      <c r="E573" s="8"/>
      <c r="F573" s="3"/>
      <c r="G573" s="9"/>
      <c r="O573" s="3"/>
    </row>
    <row r="574" spans="4:15" x14ac:dyDescent="0.25">
      <c r="D574" s="8"/>
      <c r="E574" s="8"/>
      <c r="F574" s="3"/>
      <c r="G574" s="9"/>
      <c r="O574" s="3"/>
    </row>
    <row r="575" spans="4:15" x14ac:dyDescent="0.25">
      <c r="D575" s="8"/>
      <c r="E575" s="8"/>
      <c r="F575" s="3"/>
      <c r="G575" s="9"/>
      <c r="O575" s="3"/>
    </row>
    <row r="576" spans="4:15" x14ac:dyDescent="0.25">
      <c r="D576" s="8"/>
      <c r="E576" s="8"/>
      <c r="F576" s="3"/>
      <c r="G576" s="9"/>
      <c r="O576" s="3"/>
    </row>
    <row r="577" spans="4:15" x14ac:dyDescent="0.25">
      <c r="D577" s="8"/>
      <c r="E577" s="8"/>
      <c r="F577" s="3"/>
      <c r="O577" s="3"/>
    </row>
    <row r="578" spans="4:15" x14ac:dyDescent="0.25">
      <c r="D578" s="8"/>
      <c r="E578" s="8"/>
      <c r="F578" s="3"/>
      <c r="G578" s="9"/>
      <c r="O578" s="3"/>
    </row>
    <row r="579" spans="4:15" x14ac:dyDescent="0.25">
      <c r="D579" s="8"/>
      <c r="E579" s="8"/>
      <c r="F579" s="3"/>
      <c r="G579" s="9"/>
      <c r="O579" s="3"/>
    </row>
    <row r="580" spans="4:15" x14ac:dyDescent="0.25">
      <c r="D580" s="8"/>
      <c r="E580" s="8"/>
      <c r="F580" s="3"/>
      <c r="G580" s="9"/>
      <c r="O580" s="3"/>
    </row>
    <row r="581" spans="4:15" x14ac:dyDescent="0.25">
      <c r="D581" s="8"/>
      <c r="E581" s="8"/>
      <c r="F581" s="3"/>
      <c r="G581" s="9"/>
      <c r="O581" s="3"/>
    </row>
    <row r="582" spans="4:15" x14ac:dyDescent="0.25">
      <c r="D582" s="8"/>
      <c r="E582" s="8"/>
      <c r="F582" s="3"/>
      <c r="G582" s="9"/>
      <c r="O582" s="3"/>
    </row>
    <row r="583" spans="4:15" x14ac:dyDescent="0.25">
      <c r="D583" s="8"/>
      <c r="E583" s="8"/>
      <c r="F583" s="3"/>
      <c r="G583" s="9"/>
      <c r="O583" s="3"/>
    </row>
    <row r="584" spans="4:15" x14ac:dyDescent="0.25">
      <c r="D584" s="8"/>
      <c r="E584" s="8"/>
      <c r="F584" s="3"/>
      <c r="G584" s="9"/>
      <c r="O584" s="3"/>
    </row>
    <row r="585" spans="4:15" x14ac:dyDescent="0.25">
      <c r="D585" s="8"/>
      <c r="E585" s="8"/>
      <c r="F585" s="3"/>
      <c r="G585" s="9"/>
      <c r="O585" s="3"/>
    </row>
    <row r="586" spans="4:15" x14ac:dyDescent="0.25">
      <c r="D586" s="8"/>
      <c r="E586" s="8"/>
      <c r="F586" s="3"/>
      <c r="G586" s="9"/>
      <c r="O586" s="3"/>
    </row>
    <row r="587" spans="4:15" x14ac:dyDescent="0.25">
      <c r="D587" s="8"/>
      <c r="E587" s="8"/>
      <c r="F587" s="3"/>
      <c r="G587" s="9"/>
      <c r="O587" s="3"/>
    </row>
    <row r="588" spans="4:15" x14ac:dyDescent="0.25">
      <c r="D588" s="8"/>
      <c r="E588" s="8"/>
      <c r="F588" s="3"/>
      <c r="G588" s="9"/>
      <c r="O588" s="3"/>
    </row>
    <row r="589" spans="4:15" x14ac:dyDescent="0.25">
      <c r="D589" s="8"/>
      <c r="E589" s="8"/>
      <c r="F589" s="3"/>
      <c r="G589" s="9"/>
      <c r="O589" s="3"/>
    </row>
    <row r="590" spans="4:15" x14ac:dyDescent="0.25">
      <c r="D590" s="8"/>
      <c r="E590" s="8"/>
      <c r="F590" s="3"/>
      <c r="G590" s="9"/>
      <c r="O590" s="3"/>
    </row>
    <row r="591" spans="4:15" x14ac:dyDescent="0.25">
      <c r="D591" s="8"/>
      <c r="E591" s="8"/>
      <c r="F591" s="3"/>
      <c r="G591" s="9"/>
      <c r="O591" s="3"/>
    </row>
    <row r="592" spans="4:15" x14ac:dyDescent="0.25">
      <c r="D592" s="8"/>
      <c r="E592" s="8"/>
      <c r="F592" s="3"/>
      <c r="G592" s="9"/>
      <c r="O592" s="3"/>
    </row>
    <row r="593" spans="4:15" x14ac:dyDescent="0.25">
      <c r="D593" s="8"/>
      <c r="E593" s="8"/>
      <c r="F593" s="3"/>
      <c r="G593" s="9"/>
      <c r="O593" s="3"/>
    </row>
    <row r="594" spans="4:15" x14ac:dyDescent="0.25">
      <c r="D594" s="8"/>
      <c r="E594" s="8"/>
      <c r="F594" s="3"/>
      <c r="G594" s="9"/>
      <c r="O594" s="3"/>
    </row>
    <row r="595" spans="4:15" x14ac:dyDescent="0.25">
      <c r="D595" s="8"/>
      <c r="E595" s="8"/>
      <c r="F595" s="3"/>
      <c r="G595" s="9"/>
      <c r="O595" s="3"/>
    </row>
    <row r="596" spans="4:15" x14ac:dyDescent="0.25">
      <c r="D596" s="8"/>
      <c r="E596" s="8"/>
      <c r="F596" s="3"/>
      <c r="G596" s="9"/>
      <c r="O596" s="3"/>
    </row>
    <row r="597" spans="4:15" x14ac:dyDescent="0.25">
      <c r="D597" s="8"/>
      <c r="E597" s="8"/>
      <c r="F597" s="3"/>
      <c r="G597" s="9"/>
      <c r="O597" s="3"/>
    </row>
    <row r="598" spans="4:15" x14ac:dyDescent="0.25">
      <c r="D598" s="8"/>
      <c r="E598" s="8"/>
      <c r="F598" s="3"/>
      <c r="G598" s="9"/>
      <c r="O598" s="3"/>
    </row>
    <row r="599" spans="4:15" x14ac:dyDescent="0.25">
      <c r="D599" s="8"/>
      <c r="E599" s="8"/>
      <c r="F599" s="3"/>
      <c r="G599" s="9"/>
      <c r="O599" s="3"/>
    </row>
    <row r="600" spans="4:15" x14ac:dyDescent="0.25">
      <c r="D600" s="8"/>
      <c r="E600" s="8"/>
      <c r="F600" s="3"/>
      <c r="G600" s="9"/>
      <c r="O600" s="3"/>
    </row>
    <row r="601" spans="4:15" x14ac:dyDescent="0.25">
      <c r="D601" s="8"/>
      <c r="E601" s="8"/>
      <c r="F601" s="3"/>
      <c r="G601" s="9"/>
      <c r="O601" s="3"/>
    </row>
    <row r="602" spans="4:15" x14ac:dyDescent="0.25">
      <c r="D602" s="8"/>
      <c r="E602" s="8"/>
      <c r="F602" s="3"/>
      <c r="O602" s="3"/>
    </row>
    <row r="603" spans="4:15" x14ac:dyDescent="0.25">
      <c r="D603" s="8"/>
      <c r="E603" s="8"/>
      <c r="F603" s="3"/>
      <c r="G603" s="9"/>
      <c r="O603" s="3"/>
    </row>
    <row r="604" spans="4:15" x14ac:dyDescent="0.25">
      <c r="D604" s="8"/>
      <c r="E604" s="8"/>
      <c r="F604" s="3"/>
      <c r="G604" s="9"/>
      <c r="O604" s="3"/>
    </row>
    <row r="605" spans="4:15" x14ac:dyDescent="0.25">
      <c r="D605" s="8"/>
      <c r="E605" s="8"/>
      <c r="F605" s="3"/>
      <c r="G605" s="9"/>
      <c r="O605" s="3"/>
    </row>
    <row r="606" spans="4:15" x14ac:dyDescent="0.25">
      <c r="D606" s="8"/>
      <c r="E606" s="8"/>
      <c r="F606" s="3"/>
      <c r="G606" s="9"/>
      <c r="O606" s="3"/>
    </row>
    <row r="607" spans="4:15" x14ac:dyDescent="0.25">
      <c r="D607" s="8"/>
      <c r="E607" s="8"/>
      <c r="F607" s="3"/>
      <c r="G607" s="9"/>
      <c r="O607" s="3"/>
    </row>
    <row r="608" spans="4:15" x14ac:dyDescent="0.25">
      <c r="D608" s="8"/>
      <c r="E608" s="8"/>
      <c r="F608" s="3"/>
      <c r="G608" s="9"/>
      <c r="O608" s="3"/>
    </row>
    <row r="609" spans="4:15" x14ac:dyDescent="0.25">
      <c r="D609" s="8"/>
      <c r="E609" s="8"/>
      <c r="F609" s="3"/>
      <c r="G609" s="9"/>
      <c r="O609" s="3"/>
    </row>
    <row r="610" spans="4:15" x14ac:dyDescent="0.25">
      <c r="D610" s="8"/>
      <c r="E610" s="8"/>
      <c r="F610" s="3"/>
      <c r="G610" s="9"/>
      <c r="O610" s="3"/>
    </row>
    <row r="611" spans="4:15" x14ac:dyDescent="0.25">
      <c r="D611" s="8"/>
      <c r="E611" s="8"/>
      <c r="F611" s="3"/>
      <c r="G611" s="9"/>
      <c r="O611" s="3"/>
    </row>
    <row r="612" spans="4:15" x14ac:dyDescent="0.25">
      <c r="D612" s="8"/>
      <c r="E612" s="8"/>
      <c r="F612" s="3"/>
      <c r="G612" s="9"/>
      <c r="O612" s="3"/>
    </row>
    <row r="613" spans="4:15" x14ac:dyDescent="0.25">
      <c r="D613" s="8"/>
      <c r="E613" s="8"/>
      <c r="F613" s="3"/>
      <c r="G613" s="9"/>
      <c r="O613" s="3"/>
    </row>
    <row r="614" spans="4:15" x14ac:dyDescent="0.25">
      <c r="D614" s="8"/>
      <c r="E614" s="8"/>
      <c r="F614" s="3"/>
      <c r="G614" s="9"/>
      <c r="O614" s="3"/>
    </row>
    <row r="615" spans="4:15" x14ac:dyDescent="0.25">
      <c r="D615" s="8"/>
      <c r="E615" s="8"/>
      <c r="F615" s="3"/>
      <c r="G615" s="9"/>
      <c r="O615" s="3"/>
    </row>
    <row r="616" spans="4:15" x14ac:dyDescent="0.25">
      <c r="D616" s="8"/>
      <c r="E616" s="8"/>
      <c r="F616" s="3"/>
      <c r="G616" s="9"/>
      <c r="O616" s="3"/>
    </row>
    <row r="617" spans="4:15" x14ac:dyDescent="0.25">
      <c r="D617" s="8"/>
      <c r="E617" s="8"/>
      <c r="F617" s="3"/>
      <c r="G617" s="9"/>
      <c r="O617" s="3"/>
    </row>
    <row r="618" spans="4:15" x14ac:dyDescent="0.25">
      <c r="D618" s="8"/>
      <c r="E618" s="8"/>
      <c r="F618" s="3"/>
      <c r="G618" s="9"/>
      <c r="O618" s="3"/>
    </row>
    <row r="619" spans="4:15" x14ac:dyDescent="0.25">
      <c r="D619" s="8"/>
      <c r="E619" s="8"/>
      <c r="F619" s="3"/>
      <c r="G619" s="9"/>
      <c r="O619" s="3"/>
    </row>
    <row r="620" spans="4:15" x14ac:dyDescent="0.25">
      <c r="D620" s="8"/>
      <c r="E620" s="8"/>
      <c r="F620" s="3"/>
      <c r="G620" s="9"/>
      <c r="O620" s="3"/>
    </row>
    <row r="621" spans="4:15" x14ac:dyDescent="0.25">
      <c r="D621" s="8"/>
      <c r="E621" s="8"/>
      <c r="F621" s="3"/>
      <c r="G621" s="9"/>
      <c r="O621" s="3"/>
    </row>
    <row r="622" spans="4:15" x14ac:dyDescent="0.25">
      <c r="D622" s="8"/>
      <c r="E622" s="8"/>
      <c r="F622" s="3"/>
      <c r="G622" s="9"/>
      <c r="O622" s="3"/>
    </row>
    <row r="623" spans="4:15" x14ac:dyDescent="0.25">
      <c r="D623" s="8"/>
      <c r="E623" s="8"/>
      <c r="F623" s="3"/>
      <c r="G623" s="9"/>
      <c r="O623" s="3"/>
    </row>
    <row r="624" spans="4:15" x14ac:dyDescent="0.25">
      <c r="D624" s="8"/>
      <c r="E624" s="8"/>
      <c r="F624" s="3"/>
      <c r="G624" s="9"/>
      <c r="O624" s="3"/>
    </row>
    <row r="625" spans="4:15" x14ac:dyDescent="0.25">
      <c r="D625" s="8"/>
      <c r="E625" s="8"/>
      <c r="F625" s="3"/>
      <c r="G625" s="9"/>
      <c r="O625" s="3"/>
    </row>
    <row r="626" spans="4:15" x14ac:dyDescent="0.25">
      <c r="D626" s="8"/>
      <c r="E626" s="8"/>
      <c r="F626" s="3"/>
      <c r="G626" s="9"/>
      <c r="O626" s="3"/>
    </row>
    <row r="627" spans="4:15" x14ac:dyDescent="0.25">
      <c r="D627" s="8"/>
      <c r="E627" s="8"/>
      <c r="F627" s="3"/>
      <c r="O627" s="3"/>
    </row>
    <row r="628" spans="4:15" x14ac:dyDescent="0.25">
      <c r="D628" s="8"/>
      <c r="E628" s="8"/>
      <c r="F628" s="3"/>
      <c r="G628" s="9"/>
      <c r="O628" s="3"/>
    </row>
    <row r="629" spans="4:15" x14ac:dyDescent="0.25">
      <c r="D629" s="8"/>
      <c r="E629" s="8"/>
      <c r="F629" s="3"/>
      <c r="G629" s="9"/>
      <c r="O629" s="3"/>
    </row>
    <row r="630" spans="4:15" x14ac:dyDescent="0.25">
      <c r="D630" s="8"/>
      <c r="E630" s="8"/>
      <c r="F630" s="3"/>
      <c r="G630" s="9"/>
      <c r="O630" s="3"/>
    </row>
    <row r="631" spans="4:15" x14ac:dyDescent="0.25">
      <c r="D631" s="8"/>
      <c r="E631" s="8"/>
      <c r="F631" s="3"/>
      <c r="G631" s="9"/>
      <c r="O631" s="3"/>
    </row>
    <row r="632" spans="4:15" x14ac:dyDescent="0.25">
      <c r="D632" s="8"/>
      <c r="E632" s="8"/>
      <c r="F632" s="3"/>
      <c r="G632" s="9"/>
      <c r="O632" s="3"/>
    </row>
    <row r="633" spans="4:15" x14ac:dyDescent="0.25">
      <c r="D633" s="8"/>
      <c r="E633" s="8"/>
      <c r="F633" s="3"/>
      <c r="G633" s="9"/>
      <c r="O633" s="3"/>
    </row>
    <row r="634" spans="4:15" x14ac:dyDescent="0.25">
      <c r="D634" s="8"/>
      <c r="E634" s="8"/>
      <c r="F634" s="3"/>
      <c r="G634" s="9"/>
      <c r="O634" s="3"/>
    </row>
    <row r="635" spans="4:15" x14ac:dyDescent="0.25">
      <c r="D635" s="8"/>
      <c r="E635" s="8"/>
      <c r="F635" s="3"/>
      <c r="G635" s="9"/>
      <c r="O635" s="3"/>
    </row>
    <row r="636" spans="4:15" x14ac:dyDescent="0.25">
      <c r="D636" s="8"/>
      <c r="E636" s="8"/>
      <c r="F636" s="3"/>
      <c r="G636" s="9"/>
      <c r="O636" s="3"/>
    </row>
    <row r="637" spans="4:15" x14ac:dyDescent="0.25">
      <c r="D637" s="8"/>
      <c r="E637" s="8"/>
      <c r="F637" s="3"/>
      <c r="G637" s="9"/>
      <c r="O637" s="3"/>
    </row>
    <row r="638" spans="4:15" x14ac:dyDescent="0.25">
      <c r="D638" s="8"/>
      <c r="E638" s="8"/>
      <c r="F638" s="3"/>
      <c r="G638" s="9"/>
      <c r="O638" s="3"/>
    </row>
    <row r="639" spans="4:15" x14ac:dyDescent="0.25">
      <c r="D639" s="8"/>
      <c r="E639" s="8"/>
      <c r="F639" s="3"/>
      <c r="G639" s="9"/>
      <c r="O639" s="3"/>
    </row>
    <row r="640" spans="4:15" x14ac:dyDescent="0.25">
      <c r="D640" s="8"/>
      <c r="E640" s="8"/>
      <c r="F640" s="3"/>
      <c r="G640" s="9"/>
      <c r="O640" s="3"/>
    </row>
    <row r="641" spans="4:15" x14ac:dyDescent="0.25">
      <c r="D641" s="8"/>
      <c r="E641" s="8"/>
      <c r="F641" s="3"/>
      <c r="G641" s="9"/>
      <c r="O641" s="3"/>
    </row>
    <row r="642" spans="4:15" x14ac:dyDescent="0.25">
      <c r="D642" s="8"/>
      <c r="E642" s="8"/>
      <c r="F642" s="3"/>
      <c r="G642" s="9"/>
      <c r="O642" s="3"/>
    </row>
    <row r="643" spans="4:15" x14ac:dyDescent="0.25">
      <c r="D643" s="8"/>
      <c r="E643" s="8"/>
      <c r="F643" s="3"/>
      <c r="G643" s="9"/>
      <c r="O643" s="3"/>
    </row>
    <row r="644" spans="4:15" x14ac:dyDescent="0.25">
      <c r="D644" s="8"/>
      <c r="E644" s="8"/>
      <c r="F644" s="3"/>
      <c r="G644" s="9"/>
      <c r="O644" s="3"/>
    </row>
    <row r="645" spans="4:15" x14ac:dyDescent="0.25">
      <c r="D645" s="8"/>
      <c r="E645" s="8"/>
      <c r="F645" s="3"/>
      <c r="G645" s="9"/>
      <c r="O645" s="3"/>
    </row>
    <row r="646" spans="4:15" x14ac:dyDescent="0.25">
      <c r="D646" s="8"/>
      <c r="E646" s="8"/>
      <c r="F646" s="3"/>
      <c r="G646" s="9"/>
      <c r="O646" s="3"/>
    </row>
    <row r="647" spans="4:15" x14ac:dyDescent="0.25">
      <c r="D647" s="8"/>
      <c r="E647" s="8"/>
      <c r="F647" s="3"/>
      <c r="G647" s="9"/>
      <c r="O647" s="3"/>
    </row>
    <row r="648" spans="4:15" x14ac:dyDescent="0.25">
      <c r="D648" s="8"/>
      <c r="E648" s="8"/>
      <c r="F648" s="3"/>
      <c r="G648" s="9"/>
      <c r="O648" s="3"/>
    </row>
    <row r="649" spans="4:15" x14ac:dyDescent="0.25">
      <c r="D649" s="8"/>
      <c r="E649" s="8"/>
      <c r="F649" s="3"/>
      <c r="G649" s="9"/>
      <c r="O649" s="3"/>
    </row>
    <row r="650" spans="4:15" x14ac:dyDescent="0.25">
      <c r="D650" s="8"/>
      <c r="E650" s="8"/>
      <c r="F650" s="3"/>
      <c r="G650" s="9"/>
      <c r="O650" s="3"/>
    </row>
    <row r="651" spans="4:15" x14ac:dyDescent="0.25">
      <c r="D651" s="8"/>
      <c r="E651" s="8"/>
      <c r="F651" s="3"/>
      <c r="G651" s="9"/>
      <c r="O651" s="3"/>
    </row>
    <row r="652" spans="4:15" x14ac:dyDescent="0.25">
      <c r="D652" s="8"/>
      <c r="E652" s="8"/>
      <c r="F652" s="3"/>
      <c r="O652" s="3"/>
    </row>
    <row r="653" spans="4:15" x14ac:dyDescent="0.25">
      <c r="D653" s="8"/>
      <c r="E653" s="8"/>
      <c r="F653" s="3"/>
      <c r="G653" s="9"/>
      <c r="O653" s="3"/>
    </row>
    <row r="654" spans="4:15" x14ac:dyDescent="0.25">
      <c r="D654" s="8"/>
      <c r="E654" s="8"/>
      <c r="F654" s="3"/>
      <c r="G654" s="9"/>
      <c r="O654" s="3"/>
    </row>
    <row r="655" spans="4:15" x14ac:dyDescent="0.25">
      <c r="D655" s="8"/>
      <c r="E655" s="8"/>
      <c r="F655" s="3"/>
      <c r="G655" s="9"/>
      <c r="O655" s="3"/>
    </row>
    <row r="656" spans="4:15" x14ac:dyDescent="0.25">
      <c r="D656" s="8"/>
      <c r="E656" s="8"/>
      <c r="F656" s="3"/>
      <c r="G656" s="9"/>
      <c r="O656" s="3"/>
    </row>
    <row r="657" spans="4:15" x14ac:dyDescent="0.25">
      <c r="D657" s="8"/>
      <c r="E657" s="8"/>
      <c r="F657" s="3"/>
      <c r="G657" s="9"/>
      <c r="O657" s="3"/>
    </row>
    <row r="658" spans="4:15" x14ac:dyDescent="0.25">
      <c r="D658" s="8"/>
      <c r="E658" s="8"/>
      <c r="F658" s="3"/>
      <c r="G658" s="9"/>
      <c r="O658" s="3"/>
    </row>
    <row r="659" spans="4:15" x14ac:dyDescent="0.25">
      <c r="D659" s="8"/>
      <c r="E659" s="8"/>
      <c r="F659" s="3"/>
      <c r="G659" s="9"/>
      <c r="O659" s="3"/>
    </row>
    <row r="660" spans="4:15" x14ac:dyDescent="0.25">
      <c r="D660" s="8"/>
      <c r="E660" s="8"/>
      <c r="F660" s="3"/>
      <c r="G660" s="9"/>
      <c r="O660" s="3"/>
    </row>
    <row r="661" spans="4:15" x14ac:dyDescent="0.25">
      <c r="D661" s="8"/>
      <c r="E661" s="8"/>
      <c r="F661" s="3"/>
      <c r="G661" s="9"/>
      <c r="O661" s="3"/>
    </row>
    <row r="662" spans="4:15" x14ac:dyDescent="0.25">
      <c r="D662" s="8"/>
      <c r="E662" s="8"/>
      <c r="F662" s="3"/>
      <c r="G662" s="9"/>
      <c r="O662" s="3"/>
    </row>
    <row r="663" spans="4:15" x14ac:dyDescent="0.25">
      <c r="D663" s="8"/>
      <c r="E663" s="8"/>
      <c r="F663" s="3"/>
      <c r="G663" s="9"/>
      <c r="O663" s="3"/>
    </row>
    <row r="664" spans="4:15" x14ac:dyDescent="0.25">
      <c r="D664" s="8"/>
      <c r="E664" s="8"/>
      <c r="F664" s="3"/>
      <c r="G664" s="9"/>
      <c r="O664" s="3"/>
    </row>
    <row r="665" spans="4:15" x14ac:dyDescent="0.25">
      <c r="D665" s="8"/>
      <c r="E665" s="8"/>
      <c r="F665" s="3"/>
      <c r="G665" s="9"/>
      <c r="O665" s="3"/>
    </row>
    <row r="666" spans="4:15" x14ac:dyDescent="0.25">
      <c r="D666" s="8"/>
      <c r="E666" s="8"/>
      <c r="F666" s="3"/>
      <c r="G666" s="9"/>
      <c r="O666" s="3"/>
    </row>
    <row r="667" spans="4:15" x14ac:dyDescent="0.25">
      <c r="D667" s="8"/>
      <c r="E667" s="8"/>
      <c r="F667" s="3"/>
      <c r="G667" s="9"/>
      <c r="O667" s="3"/>
    </row>
    <row r="668" spans="4:15" x14ac:dyDescent="0.25">
      <c r="D668" s="8"/>
      <c r="E668" s="8"/>
      <c r="F668" s="3"/>
      <c r="G668" s="9"/>
      <c r="O668" s="3"/>
    </row>
    <row r="669" spans="4:15" x14ac:dyDescent="0.25">
      <c r="D669" s="8"/>
      <c r="E669" s="8"/>
      <c r="F669" s="3"/>
      <c r="G669" s="9"/>
      <c r="O669" s="3"/>
    </row>
    <row r="670" spans="4:15" x14ac:dyDescent="0.25">
      <c r="D670" s="8"/>
      <c r="E670" s="8"/>
      <c r="F670" s="3"/>
      <c r="G670" s="9"/>
      <c r="O670" s="3"/>
    </row>
    <row r="671" spans="4:15" x14ac:dyDescent="0.25">
      <c r="D671" s="8"/>
      <c r="E671" s="8"/>
      <c r="F671" s="3"/>
      <c r="G671" s="9"/>
      <c r="O671" s="3"/>
    </row>
    <row r="672" spans="4:15" x14ac:dyDescent="0.25">
      <c r="D672" s="8"/>
      <c r="E672" s="8"/>
      <c r="F672" s="3"/>
      <c r="G672" s="9"/>
      <c r="O672" s="3"/>
    </row>
    <row r="673" spans="4:15" x14ac:dyDescent="0.25">
      <c r="D673" s="8"/>
      <c r="E673" s="8"/>
      <c r="F673" s="3"/>
      <c r="G673" s="9"/>
      <c r="O673" s="3"/>
    </row>
    <row r="674" spans="4:15" x14ac:dyDescent="0.25">
      <c r="D674" s="8"/>
      <c r="E674" s="8"/>
      <c r="F674" s="3"/>
      <c r="G674" s="9"/>
      <c r="O674" s="3"/>
    </row>
    <row r="675" spans="4:15" x14ac:dyDescent="0.25">
      <c r="D675" s="8"/>
      <c r="E675" s="8"/>
      <c r="F675" s="3"/>
      <c r="G675" s="9"/>
      <c r="O675" s="3"/>
    </row>
    <row r="676" spans="4:15" x14ac:dyDescent="0.25">
      <c r="D676" s="8"/>
      <c r="E676" s="8"/>
      <c r="F676" s="3"/>
      <c r="G676" s="9"/>
      <c r="O676" s="3"/>
    </row>
    <row r="677" spans="4:15" x14ac:dyDescent="0.25">
      <c r="D677" s="8"/>
      <c r="E677" s="8"/>
      <c r="F677" s="3"/>
      <c r="O677" s="3"/>
    </row>
    <row r="678" spans="4:15" x14ac:dyDescent="0.25">
      <c r="D678" s="8"/>
      <c r="E678" s="8"/>
      <c r="F678" s="3"/>
      <c r="G678" s="9"/>
      <c r="O678" s="3"/>
    </row>
    <row r="679" spans="4:15" x14ac:dyDescent="0.25">
      <c r="D679" s="8"/>
      <c r="E679" s="8"/>
      <c r="F679" s="3"/>
      <c r="G679" s="9"/>
      <c r="O679" s="3"/>
    </row>
    <row r="680" spans="4:15" x14ac:dyDescent="0.25">
      <c r="D680" s="8"/>
      <c r="E680" s="8"/>
      <c r="F680" s="3"/>
      <c r="G680" s="9"/>
      <c r="O680" s="3"/>
    </row>
    <row r="681" spans="4:15" x14ac:dyDescent="0.25">
      <c r="D681" s="8"/>
      <c r="E681" s="8"/>
      <c r="F681" s="3"/>
      <c r="G681" s="9"/>
      <c r="O681" s="3"/>
    </row>
    <row r="682" spans="4:15" x14ac:dyDescent="0.25">
      <c r="D682" s="8"/>
      <c r="E682" s="8"/>
      <c r="F682" s="3"/>
      <c r="G682" s="9"/>
      <c r="O682" s="3"/>
    </row>
    <row r="683" spans="4:15" x14ac:dyDescent="0.25">
      <c r="D683" s="8"/>
      <c r="E683" s="8"/>
      <c r="F683" s="3"/>
      <c r="G683" s="9"/>
      <c r="O683" s="3"/>
    </row>
    <row r="684" spans="4:15" x14ac:dyDescent="0.25">
      <c r="D684" s="8"/>
      <c r="E684" s="8"/>
      <c r="F684" s="3"/>
      <c r="G684" s="9"/>
      <c r="O684" s="3"/>
    </row>
    <row r="685" spans="4:15" x14ac:dyDescent="0.25">
      <c r="D685" s="8"/>
      <c r="E685" s="8"/>
      <c r="F685" s="3"/>
      <c r="G685" s="9"/>
      <c r="O685" s="3"/>
    </row>
    <row r="686" spans="4:15" x14ac:dyDescent="0.25">
      <c r="D686" s="8"/>
      <c r="E686" s="8"/>
      <c r="F686" s="3"/>
      <c r="G686" s="9"/>
      <c r="O686" s="3"/>
    </row>
    <row r="687" spans="4:15" x14ac:dyDescent="0.25">
      <c r="D687" s="8"/>
      <c r="E687" s="8"/>
      <c r="F687" s="3"/>
      <c r="G687" s="9"/>
      <c r="O687" s="3"/>
    </row>
    <row r="688" spans="4:15" x14ac:dyDescent="0.25">
      <c r="D688" s="8"/>
      <c r="E688" s="8"/>
      <c r="F688" s="3"/>
      <c r="G688" s="9"/>
      <c r="O688" s="3"/>
    </row>
    <row r="689" spans="4:15" x14ac:dyDescent="0.25">
      <c r="D689" s="8"/>
      <c r="E689" s="8"/>
      <c r="F689" s="3"/>
      <c r="G689" s="9"/>
      <c r="O689" s="3"/>
    </row>
    <row r="690" spans="4:15" x14ac:dyDescent="0.25">
      <c r="D690" s="8"/>
      <c r="E690" s="8"/>
      <c r="F690" s="3"/>
      <c r="G690" s="9"/>
      <c r="O690" s="3"/>
    </row>
    <row r="691" spans="4:15" x14ac:dyDescent="0.25">
      <c r="D691" s="8"/>
      <c r="E691" s="8"/>
      <c r="F691" s="3"/>
      <c r="G691" s="9"/>
      <c r="O691" s="3"/>
    </row>
    <row r="692" spans="4:15" x14ac:dyDescent="0.25">
      <c r="D692" s="8"/>
      <c r="E692" s="8"/>
      <c r="F692" s="3"/>
      <c r="G692" s="9"/>
      <c r="O692" s="3"/>
    </row>
    <row r="693" spans="4:15" x14ac:dyDescent="0.25">
      <c r="D693" s="8"/>
      <c r="E693" s="8"/>
      <c r="F693" s="3"/>
      <c r="G693" s="9"/>
      <c r="O693" s="3"/>
    </row>
    <row r="694" spans="4:15" x14ac:dyDescent="0.25">
      <c r="D694" s="8"/>
      <c r="E694" s="8"/>
      <c r="F694" s="3"/>
      <c r="G694" s="9"/>
      <c r="O694" s="3"/>
    </row>
    <row r="695" spans="4:15" x14ac:dyDescent="0.25">
      <c r="D695" s="8"/>
      <c r="E695" s="8"/>
      <c r="F695" s="3"/>
      <c r="G695" s="9"/>
      <c r="O695" s="3"/>
    </row>
    <row r="696" spans="4:15" x14ac:dyDescent="0.25">
      <c r="D696" s="8"/>
      <c r="E696" s="8"/>
      <c r="F696" s="3"/>
      <c r="G696" s="9"/>
      <c r="O696" s="3"/>
    </row>
    <row r="697" spans="4:15" x14ac:dyDescent="0.25">
      <c r="D697" s="8"/>
      <c r="E697" s="8"/>
      <c r="F697" s="3"/>
      <c r="G697" s="9"/>
      <c r="O697" s="3"/>
    </row>
    <row r="698" spans="4:15" x14ac:dyDescent="0.25">
      <c r="D698" s="8"/>
      <c r="E698" s="8"/>
      <c r="F698" s="3"/>
      <c r="G698" s="9"/>
      <c r="O698" s="3"/>
    </row>
    <row r="699" spans="4:15" x14ac:dyDescent="0.25">
      <c r="D699" s="8"/>
      <c r="E699" s="8"/>
      <c r="F699" s="3"/>
      <c r="G699" s="9"/>
      <c r="O699" s="3"/>
    </row>
    <row r="700" spans="4:15" x14ac:dyDescent="0.25">
      <c r="D700" s="8"/>
      <c r="E700" s="8"/>
      <c r="F700" s="3"/>
      <c r="G700" s="9"/>
      <c r="O700" s="3"/>
    </row>
    <row r="701" spans="4:15" x14ac:dyDescent="0.25">
      <c r="D701" s="8"/>
      <c r="E701" s="8"/>
      <c r="F701" s="3"/>
      <c r="G701" s="9"/>
      <c r="O701" s="3"/>
    </row>
    <row r="702" spans="4:15" x14ac:dyDescent="0.25">
      <c r="D702" s="8"/>
      <c r="E702" s="8"/>
      <c r="F702" s="3"/>
      <c r="O702" s="3"/>
    </row>
    <row r="703" spans="4:15" x14ac:dyDescent="0.25">
      <c r="D703" s="8"/>
      <c r="E703" s="8"/>
      <c r="F703" s="3"/>
      <c r="G703" s="9"/>
      <c r="O703" s="3"/>
    </row>
    <row r="704" spans="4:15" x14ac:dyDescent="0.25">
      <c r="D704" s="8"/>
      <c r="E704" s="8"/>
      <c r="F704" s="3"/>
      <c r="G704" s="9"/>
      <c r="O704" s="3"/>
    </row>
    <row r="705" spans="4:15" x14ac:dyDescent="0.25">
      <c r="D705" s="8"/>
      <c r="E705" s="8"/>
      <c r="F705" s="3"/>
      <c r="G705" s="9"/>
      <c r="O705" s="3"/>
    </row>
    <row r="706" spans="4:15" x14ac:dyDescent="0.25">
      <c r="D706" s="8"/>
      <c r="E706" s="8"/>
      <c r="F706" s="3"/>
      <c r="G706" s="9"/>
      <c r="O706" s="3"/>
    </row>
    <row r="707" spans="4:15" x14ac:dyDescent="0.25">
      <c r="D707" s="8"/>
      <c r="E707" s="8"/>
      <c r="F707" s="3"/>
      <c r="G707" s="9"/>
      <c r="O707" s="3"/>
    </row>
    <row r="708" spans="4:15" x14ac:dyDescent="0.25">
      <c r="D708" s="8"/>
      <c r="E708" s="8"/>
      <c r="F708" s="3"/>
      <c r="G708" s="9"/>
      <c r="O708" s="3"/>
    </row>
    <row r="709" spans="4:15" x14ac:dyDescent="0.25">
      <c r="D709" s="8"/>
      <c r="E709" s="8"/>
      <c r="F709" s="3"/>
      <c r="G709" s="9"/>
      <c r="O709" s="3"/>
    </row>
    <row r="710" spans="4:15" x14ac:dyDescent="0.25">
      <c r="D710" s="8"/>
      <c r="E710" s="8"/>
      <c r="F710" s="3"/>
      <c r="G710" s="9"/>
      <c r="O710" s="3"/>
    </row>
    <row r="711" spans="4:15" x14ac:dyDescent="0.25">
      <c r="D711" s="8"/>
      <c r="E711" s="8"/>
      <c r="F711" s="3"/>
      <c r="G711" s="9"/>
      <c r="O711" s="3"/>
    </row>
    <row r="712" spans="4:15" x14ac:dyDescent="0.25">
      <c r="D712" s="8"/>
      <c r="E712" s="8"/>
      <c r="F712" s="3"/>
      <c r="G712" s="9"/>
      <c r="O712" s="3"/>
    </row>
    <row r="713" spans="4:15" x14ac:dyDescent="0.25">
      <c r="D713" s="8"/>
      <c r="E713" s="8"/>
      <c r="F713" s="3"/>
      <c r="G713" s="9"/>
      <c r="O713" s="3"/>
    </row>
    <row r="714" spans="4:15" x14ac:dyDescent="0.25">
      <c r="D714" s="8"/>
      <c r="E714" s="8"/>
      <c r="F714" s="3"/>
      <c r="G714" s="9"/>
      <c r="O714" s="3"/>
    </row>
    <row r="715" spans="4:15" x14ac:dyDescent="0.25">
      <c r="D715" s="8"/>
      <c r="E715" s="8"/>
      <c r="F715" s="3"/>
      <c r="G715" s="9"/>
      <c r="O715" s="3"/>
    </row>
    <row r="716" spans="4:15" x14ac:dyDescent="0.25">
      <c r="D716" s="8"/>
      <c r="E716" s="8"/>
      <c r="F716" s="3"/>
      <c r="G716" s="9"/>
      <c r="O716" s="3"/>
    </row>
    <row r="717" spans="4:15" x14ac:dyDescent="0.25">
      <c r="D717" s="8"/>
      <c r="E717" s="8"/>
      <c r="F717" s="3"/>
      <c r="G717" s="9"/>
      <c r="O717" s="3"/>
    </row>
    <row r="718" spans="4:15" x14ac:dyDescent="0.25">
      <c r="D718" s="3"/>
      <c r="F718" s="3"/>
      <c r="G718" s="9"/>
      <c r="O718" s="3"/>
    </row>
    <row r="719" spans="4:15" x14ac:dyDescent="0.25">
      <c r="F719" s="3"/>
      <c r="G719" s="9"/>
      <c r="O719" s="3"/>
    </row>
    <row r="720" spans="4:15" x14ac:dyDescent="0.25">
      <c r="F720" s="3"/>
      <c r="G720" s="9"/>
      <c r="O720" s="3"/>
    </row>
    <row r="721" spans="6:15" x14ac:dyDescent="0.25">
      <c r="F721" s="3"/>
      <c r="G721" s="9"/>
      <c r="O721" s="3"/>
    </row>
    <row r="722" spans="6:15" x14ac:dyDescent="0.25">
      <c r="F722" s="3"/>
      <c r="G722" s="9"/>
      <c r="O722" s="3"/>
    </row>
    <row r="723" spans="6:15" x14ac:dyDescent="0.25">
      <c r="F723" s="3"/>
      <c r="G723" s="9"/>
      <c r="O723" s="3"/>
    </row>
    <row r="724" spans="6:15" x14ac:dyDescent="0.25">
      <c r="F724" s="3"/>
      <c r="G724" s="9"/>
      <c r="O724" s="3"/>
    </row>
    <row r="725" spans="6:15" x14ac:dyDescent="0.25">
      <c r="F725" s="3"/>
      <c r="G725" s="9"/>
      <c r="O725" s="3"/>
    </row>
    <row r="726" spans="6:15" x14ac:dyDescent="0.25">
      <c r="F726" s="3"/>
      <c r="G726" s="9"/>
      <c r="O726" s="3"/>
    </row>
    <row r="727" spans="6:15" x14ac:dyDescent="0.25">
      <c r="F727" s="3"/>
      <c r="O727" s="3"/>
    </row>
    <row r="728" spans="6:15" x14ac:dyDescent="0.25">
      <c r="F728" s="3"/>
      <c r="G728" s="9"/>
      <c r="O728" s="3"/>
    </row>
    <row r="729" spans="6:15" x14ac:dyDescent="0.25">
      <c r="F729" s="3"/>
      <c r="G729" s="9"/>
      <c r="O729" s="3"/>
    </row>
    <row r="730" spans="6:15" x14ac:dyDescent="0.25">
      <c r="F730" s="3"/>
      <c r="G730" s="9"/>
      <c r="O730" s="3"/>
    </row>
    <row r="731" spans="6:15" x14ac:dyDescent="0.25">
      <c r="F731" s="3"/>
      <c r="G731" s="9"/>
      <c r="O731" s="3"/>
    </row>
    <row r="732" spans="6:15" x14ac:dyDescent="0.25">
      <c r="F732" s="3"/>
      <c r="G732" s="9"/>
      <c r="O732" s="3"/>
    </row>
    <row r="733" spans="6:15" x14ac:dyDescent="0.25">
      <c r="F733" s="3"/>
      <c r="G733" s="9"/>
      <c r="O733" s="3"/>
    </row>
    <row r="734" spans="6:15" x14ac:dyDescent="0.25">
      <c r="F734" s="3"/>
    </row>
  </sheetData>
  <conditionalFormatting sqref="A4:A13">
    <cfRule type="duplicateValues" dxfId="1" priority="1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4"/>
  <sheetViews>
    <sheetView zoomScale="80" zoomScaleNormal="80" workbookViewId="0">
      <selection sqref="A1:A1048576"/>
    </sheetView>
  </sheetViews>
  <sheetFormatPr defaultRowHeight="15" x14ac:dyDescent="0.25"/>
  <cols>
    <col min="1" max="1" width="7.42578125" customWidth="1"/>
    <col min="11" max="11" width="11.85546875" bestFit="1" customWidth="1"/>
    <col min="12" max="12" width="12.42578125" bestFit="1" customWidth="1"/>
    <col min="14" max="14" width="12.28515625" bestFit="1" customWidth="1"/>
    <col min="15" max="15" width="9.5703125" customWidth="1"/>
  </cols>
  <sheetData>
    <row r="1" spans="1:15" x14ac:dyDescent="0.25">
      <c r="B1" s="2">
        <v>45135.789473684214</v>
      </c>
      <c r="C1" s="2">
        <v>45190.785714285717</v>
      </c>
      <c r="I1" s="5"/>
      <c r="K1" t="s">
        <v>17</v>
      </c>
      <c r="L1" s="9">
        <f>C1-B1</f>
        <v>54.996240601503814</v>
      </c>
      <c r="M1" s="9"/>
    </row>
    <row r="2" spans="1:15" x14ac:dyDescent="0.25">
      <c r="A2" t="s">
        <v>0</v>
      </c>
      <c r="B2" t="s">
        <v>1</v>
      </c>
      <c r="C2" t="s">
        <v>1</v>
      </c>
      <c r="D2" s="6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6" t="s">
        <v>10</v>
      </c>
      <c r="J2" s="6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15</v>
      </c>
    </row>
    <row r="3" spans="1:15" x14ac:dyDescent="0.25">
      <c r="A3">
        <v>0</v>
      </c>
      <c r="B3" s="3">
        <v>11.268952631578946</v>
      </c>
      <c r="C3" s="3">
        <v>7.6993285714285715</v>
      </c>
      <c r="D3">
        <f>C3-B3</f>
        <v>-3.5696240601503746</v>
      </c>
      <c r="E3">
        <f>(D3+D4)/2</f>
        <v>-1.8958343984962394</v>
      </c>
      <c r="F3">
        <v>70</v>
      </c>
      <c r="G3">
        <v>7381</v>
      </c>
      <c r="H3">
        <f>E3*F3</f>
        <v>-132.70840789473675</v>
      </c>
      <c r="I3">
        <f t="shared" ref="I3:I22" si="0">I4+H3</f>
        <v>261.28187368421015</v>
      </c>
      <c r="J3">
        <f t="shared" ref="J3:J23" si="1">(I3/G3)*1000</f>
        <v>35.399251278175065</v>
      </c>
    </row>
    <row r="4" spans="1:15" x14ac:dyDescent="0.25">
      <c r="A4">
        <v>10</v>
      </c>
      <c r="B4" s="3">
        <v>7.2931947368421044</v>
      </c>
      <c r="C4" s="3">
        <v>7.0711500000000003</v>
      </c>
      <c r="D4">
        <f t="shared" ref="D4:D38" si="2">C4-B4</f>
        <v>-0.22204473684210413</v>
      </c>
      <c r="E4">
        <f t="shared" ref="E4:E38" si="3">(D4+D5)/2</f>
        <v>0.61410921052631728</v>
      </c>
      <c r="F4">
        <v>70</v>
      </c>
      <c r="G4">
        <v>7338</v>
      </c>
      <c r="H4">
        <f t="shared" ref="H4:H38" si="4">E4*F4</f>
        <v>42.987644736842213</v>
      </c>
      <c r="I4">
        <f t="shared" si="0"/>
        <v>393.99028157894691</v>
      </c>
      <c r="J4">
        <f t="shared" si="1"/>
        <v>53.691779991679873</v>
      </c>
      <c r="K4">
        <f>(B5-B3)/(A5-A3)</f>
        <v>-0.31564578947368421</v>
      </c>
      <c r="L4">
        <f>(C5-C3)/(A5-A3)</f>
        <v>-6.465142857142854E-2</v>
      </c>
      <c r="M4">
        <f>(K4+L4)/2</f>
        <v>-0.19014860902255637</v>
      </c>
      <c r="N4">
        <f>-J4/(M4*86400*$L$1)</f>
        <v>5.9424823896664935E-5</v>
      </c>
      <c r="O4" s="3">
        <f>N4*10000</f>
        <v>0.59424823896664936</v>
      </c>
    </row>
    <row r="5" spans="1:15" x14ac:dyDescent="0.25">
      <c r="A5">
        <v>20</v>
      </c>
      <c r="B5" s="3">
        <v>4.9560368421052621</v>
      </c>
      <c r="C5" s="3">
        <v>6.4063000000000008</v>
      </c>
      <c r="D5">
        <f t="shared" si="2"/>
        <v>1.4502631578947387</v>
      </c>
      <c r="E5">
        <f t="shared" si="3"/>
        <v>1.4118513157894745</v>
      </c>
      <c r="F5">
        <v>70</v>
      </c>
      <c r="G5">
        <v>7252</v>
      </c>
      <c r="H5">
        <f t="shared" si="4"/>
        <v>98.829592105263217</v>
      </c>
      <c r="I5">
        <f t="shared" si="0"/>
        <v>351.00263684210472</v>
      </c>
      <c r="J5">
        <f t="shared" si="1"/>
        <v>48.400804859639372</v>
      </c>
      <c r="K5">
        <f t="shared" ref="K5:K38" si="5">(B6-B4)/(A6-A4)</f>
        <v>-0.15043421052631575</v>
      </c>
      <c r="L5">
        <f t="shared" ref="L5:L38" si="6">(C6-C4)/(A6-A4)</f>
        <v>-7.0660000000000028E-2</v>
      </c>
      <c r="M5">
        <f t="shared" ref="M5:M38" si="7">(K5+L5)/2</f>
        <v>-0.11054710526315789</v>
      </c>
      <c r="N5">
        <f t="shared" ref="N5:N38" si="8">-J5/(M5*86400*$L$1)</f>
        <v>9.2142175752417312E-5</v>
      </c>
      <c r="O5" s="3">
        <f t="shared" ref="O5:O38" si="9">N5*10000</f>
        <v>0.9214217575241731</v>
      </c>
    </row>
    <row r="6" spans="1:15" x14ac:dyDescent="0.25">
      <c r="A6">
        <v>30</v>
      </c>
      <c r="B6" s="3">
        <v>4.2845105263157892</v>
      </c>
      <c r="C6" s="3">
        <v>5.6579499999999996</v>
      </c>
      <c r="D6">
        <f t="shared" si="2"/>
        <v>1.3734394736842104</v>
      </c>
      <c r="E6">
        <f t="shared" si="3"/>
        <v>1.1517729323308274</v>
      </c>
      <c r="F6">
        <v>70</v>
      </c>
      <c r="G6">
        <v>7218</v>
      </c>
      <c r="H6">
        <f t="shared" si="4"/>
        <v>80.624105263157915</v>
      </c>
      <c r="I6">
        <f t="shared" si="0"/>
        <v>252.17304473684152</v>
      </c>
      <c r="J6">
        <f t="shared" si="1"/>
        <v>34.936692260576542</v>
      </c>
      <c r="K6">
        <f t="shared" si="5"/>
        <v>-4.5748947368420986E-2</v>
      </c>
      <c r="L6">
        <f t="shared" si="6"/>
        <v>-7.1756785714285704E-2</v>
      </c>
      <c r="M6">
        <f t="shared" si="7"/>
        <v>-5.8752866541353345E-2</v>
      </c>
      <c r="N6">
        <f t="shared" si="8"/>
        <v>1.2514283175681505E-4</v>
      </c>
      <c r="O6" s="3">
        <f t="shared" si="9"/>
        <v>1.2514283175681504</v>
      </c>
    </row>
    <row r="7" spans="1:15" x14ac:dyDescent="0.25">
      <c r="A7">
        <v>40</v>
      </c>
      <c r="B7" s="3">
        <v>4.0410578947368423</v>
      </c>
      <c r="C7" s="3">
        <v>4.9711642857142868</v>
      </c>
      <c r="D7">
        <f t="shared" si="2"/>
        <v>0.93010639097744452</v>
      </c>
      <c r="E7">
        <f t="shared" si="3"/>
        <v>0.75000902255639113</v>
      </c>
      <c r="F7">
        <v>70</v>
      </c>
      <c r="G7">
        <v>7128.25</v>
      </c>
      <c r="H7">
        <f t="shared" si="4"/>
        <v>52.500631578947377</v>
      </c>
      <c r="I7">
        <f t="shared" si="0"/>
        <v>171.54893947368359</v>
      </c>
      <c r="J7">
        <f t="shared" si="1"/>
        <v>24.066066632579325</v>
      </c>
      <c r="K7">
        <f t="shared" si="5"/>
        <v>-1.7067894736842049E-2</v>
      </c>
      <c r="L7">
        <f t="shared" si="6"/>
        <v>-5.7244285714285678E-2</v>
      </c>
      <c r="M7">
        <f t="shared" si="7"/>
        <v>-3.7156090225563862E-2</v>
      </c>
      <c r="N7">
        <f t="shared" si="8"/>
        <v>1.3631020164595964E-4</v>
      </c>
      <c r="O7" s="3">
        <f t="shared" si="9"/>
        <v>1.3631020164595964</v>
      </c>
    </row>
    <row r="8" spans="1:15" x14ac:dyDescent="0.25">
      <c r="A8">
        <v>50</v>
      </c>
      <c r="B8" s="3">
        <v>3.9431526315789482</v>
      </c>
      <c r="C8" s="3">
        <v>4.513064285714286</v>
      </c>
      <c r="D8">
        <f t="shared" si="2"/>
        <v>0.56991165413533773</v>
      </c>
      <c r="E8">
        <f t="shared" si="3"/>
        <v>0.45731503759398517</v>
      </c>
      <c r="F8">
        <v>65</v>
      </c>
      <c r="G8">
        <v>6875.5</v>
      </c>
      <c r="H8">
        <f t="shared" si="4"/>
        <v>29.725477443609037</v>
      </c>
      <c r="I8">
        <f t="shared" si="0"/>
        <v>119.04830789473621</v>
      </c>
      <c r="J8">
        <f t="shared" si="1"/>
        <v>17.314858249543484</v>
      </c>
      <c r="K8">
        <f t="shared" si="5"/>
        <v>-7.2563157894737218E-3</v>
      </c>
      <c r="L8">
        <f t="shared" si="6"/>
        <v>-3.6525714285714314E-2</v>
      </c>
      <c r="M8">
        <f t="shared" si="7"/>
        <v>-2.1891015037594018E-2</v>
      </c>
      <c r="N8">
        <f t="shared" si="8"/>
        <v>1.664586221345827E-4</v>
      </c>
      <c r="O8" s="3">
        <f t="shared" si="9"/>
        <v>1.6645862213458269</v>
      </c>
    </row>
    <row r="9" spans="1:15" x14ac:dyDescent="0.25">
      <c r="A9">
        <v>60</v>
      </c>
      <c r="B9" s="3">
        <v>3.8959315789473679</v>
      </c>
      <c r="C9" s="3">
        <v>4.2406500000000005</v>
      </c>
      <c r="D9">
        <f t="shared" si="2"/>
        <v>0.34471842105263262</v>
      </c>
      <c r="E9">
        <f t="shared" si="3"/>
        <v>0.29332593984962485</v>
      </c>
      <c r="F9">
        <v>65</v>
      </c>
      <c r="G9">
        <v>6622.75</v>
      </c>
      <c r="H9">
        <f t="shared" si="4"/>
        <v>19.066186090225614</v>
      </c>
      <c r="I9">
        <f>I10+H9</f>
        <v>89.322830451127174</v>
      </c>
      <c r="J9">
        <f>(I9/G9)*1000</f>
        <v>13.487271971783198</v>
      </c>
      <c r="K9">
        <f t="shared" si="5"/>
        <v>-3.2439473684211296E-3</v>
      </c>
      <c r="L9">
        <f t="shared" si="6"/>
        <v>-1.9642857142857163E-2</v>
      </c>
      <c r="M9">
        <f t="shared" si="7"/>
        <v>-1.1443402255639147E-2</v>
      </c>
      <c r="N9">
        <f t="shared" si="8"/>
        <v>2.4804027546809781E-4</v>
      </c>
      <c r="O9" s="3">
        <f>N9*10000</f>
        <v>2.4804027546809779</v>
      </c>
    </row>
    <row r="10" spans="1:15" x14ac:dyDescent="0.25">
      <c r="A10">
        <v>70</v>
      </c>
      <c r="B10" s="3">
        <v>3.8782736842105257</v>
      </c>
      <c r="C10" s="3">
        <v>4.1202071428571427</v>
      </c>
      <c r="D10">
        <f t="shared" si="2"/>
        <v>0.24193345864661708</v>
      </c>
      <c r="E10">
        <f t="shared" si="3"/>
        <v>0.2178968045112788</v>
      </c>
      <c r="F10">
        <v>65</v>
      </c>
      <c r="G10">
        <v>6370</v>
      </c>
      <c r="H10">
        <f>E10*F10</f>
        <v>14.163292293233122</v>
      </c>
      <c r="I10">
        <f t="shared" si="0"/>
        <v>70.256644360901561</v>
      </c>
      <c r="J10">
        <f t="shared" si="1"/>
        <v>11.029300527614058</v>
      </c>
      <c r="K10">
        <f t="shared" si="5"/>
        <v>-1.618157894736827E-3</v>
      </c>
      <c r="L10">
        <f t="shared" si="6"/>
        <v>-9.1610714285714316E-3</v>
      </c>
      <c r="M10">
        <f t="shared" si="7"/>
        <v>-5.3896146616541291E-3</v>
      </c>
      <c r="N10">
        <f t="shared" si="8"/>
        <v>4.3066889798639698E-4</v>
      </c>
      <c r="O10" s="3">
        <f t="shared" si="9"/>
        <v>4.3066889798639698</v>
      </c>
    </row>
    <row r="11" spans="1:15" x14ac:dyDescent="0.25">
      <c r="A11">
        <v>80</v>
      </c>
      <c r="B11" s="3">
        <v>3.8635684210526313</v>
      </c>
      <c r="C11" s="3">
        <v>4.0574285714285718</v>
      </c>
      <c r="D11">
        <f t="shared" si="2"/>
        <v>0.19386015037594051</v>
      </c>
      <c r="E11">
        <f>(D11+D12)/2</f>
        <v>0.15823345864661631</v>
      </c>
      <c r="F11">
        <v>65</v>
      </c>
      <c r="G11">
        <v>6223</v>
      </c>
      <c r="H11">
        <f t="shared" si="4"/>
        <v>10.285174812030061</v>
      </c>
      <c r="I11">
        <f t="shared" si="0"/>
        <v>56.093352067668434</v>
      </c>
      <c r="J11">
        <f t="shared" si="1"/>
        <v>9.0138762763407403</v>
      </c>
      <c r="K11">
        <f t="shared" si="5"/>
        <v>-1.6097368421051695E-3</v>
      </c>
      <c r="L11">
        <f t="shared" si="6"/>
        <v>-7.5760714285714181E-3</v>
      </c>
      <c r="M11">
        <f t="shared" si="7"/>
        <v>-4.5929041353382936E-3</v>
      </c>
      <c r="N11">
        <f t="shared" si="8"/>
        <v>4.1302607112925601E-4</v>
      </c>
      <c r="O11" s="3">
        <f t="shared" si="9"/>
        <v>4.1302607112925598</v>
      </c>
    </row>
    <row r="12" spans="1:15" x14ac:dyDescent="0.25">
      <c r="A12">
        <v>90</v>
      </c>
      <c r="B12" s="3">
        <v>3.8460789473684223</v>
      </c>
      <c r="C12" s="3">
        <v>3.9686857142857144</v>
      </c>
      <c r="D12">
        <f t="shared" si="2"/>
        <v>0.12260676691729211</v>
      </c>
      <c r="E12">
        <f t="shared" si="3"/>
        <v>0.10441748120300676</v>
      </c>
      <c r="F12">
        <v>65</v>
      </c>
      <c r="G12">
        <v>6076</v>
      </c>
      <c r="H12">
        <f t="shared" si="4"/>
        <v>6.7871362781954394</v>
      </c>
      <c r="I12">
        <f t="shared" si="0"/>
        <v>45.808177255638377</v>
      </c>
      <c r="J12">
        <f t="shared" si="1"/>
        <v>7.5391996799931498</v>
      </c>
      <c r="K12">
        <f t="shared" si="5"/>
        <v>-1.6344736842104802E-3</v>
      </c>
      <c r="L12">
        <f t="shared" si="6"/>
        <v>-7.0160714285714357E-3</v>
      </c>
      <c r="M12">
        <f t="shared" si="7"/>
        <v>-4.3252725563909583E-3</v>
      </c>
      <c r="N12">
        <f t="shared" si="8"/>
        <v>3.6683014761675856E-4</v>
      </c>
      <c r="O12" s="3">
        <f t="shared" si="9"/>
        <v>3.6683014761675858</v>
      </c>
    </row>
    <row r="13" spans="1:15" x14ac:dyDescent="0.25">
      <c r="A13">
        <v>100</v>
      </c>
      <c r="B13" s="3">
        <v>3.8308789473684217</v>
      </c>
      <c r="C13" s="3">
        <v>3.9171071428571431</v>
      </c>
      <c r="D13">
        <f t="shared" si="2"/>
        <v>8.6228195488721404E-2</v>
      </c>
      <c r="E13">
        <f t="shared" si="3"/>
        <v>6.0357142857141666E-2</v>
      </c>
      <c r="F13">
        <v>315</v>
      </c>
      <c r="G13">
        <v>5919</v>
      </c>
      <c r="H13">
        <f t="shared" si="4"/>
        <v>19.012499999999626</v>
      </c>
      <c r="I13">
        <f t="shared" si="0"/>
        <v>39.021040977442937</v>
      </c>
      <c r="J13">
        <f t="shared" si="1"/>
        <v>6.5925056559288624</v>
      </c>
      <c r="K13">
        <f t="shared" si="5"/>
        <v>-1.8126315789473693E-3</v>
      </c>
      <c r="L13">
        <f t="shared" si="6"/>
        <v>-3.2813095238095392E-3</v>
      </c>
      <c r="M13">
        <f t="shared" si="7"/>
        <v>-2.5469705513784541E-3</v>
      </c>
      <c r="N13">
        <f t="shared" si="8"/>
        <v>5.4472817854900432E-4</v>
      </c>
      <c r="O13" s="3">
        <f t="shared" si="9"/>
        <v>5.447281785490043</v>
      </c>
    </row>
    <row r="14" spans="1:15" x14ac:dyDescent="0.25">
      <c r="A14">
        <v>150</v>
      </c>
      <c r="B14" s="3">
        <v>3.7373210526315801</v>
      </c>
      <c r="C14" s="3">
        <v>3.771807142857142</v>
      </c>
      <c r="D14">
        <f t="shared" si="2"/>
        <v>3.4486090225561927E-2</v>
      </c>
      <c r="E14">
        <f t="shared" si="3"/>
        <v>2.8172368421051752E-2</v>
      </c>
      <c r="F14">
        <v>311</v>
      </c>
      <c r="G14">
        <v>5762</v>
      </c>
      <c r="H14">
        <f t="shared" si="4"/>
        <v>8.7616065789470952</v>
      </c>
      <c r="I14">
        <f t="shared" si="0"/>
        <v>20.00854097744331</v>
      </c>
      <c r="J14">
        <f t="shared" si="1"/>
        <v>3.4724993018818657</v>
      </c>
      <c r="K14">
        <f t="shared" si="5"/>
        <v>-1.6779473684210623E-3</v>
      </c>
      <c r="L14">
        <f t="shared" si="6"/>
        <v>-2.3216428571428607E-3</v>
      </c>
      <c r="M14">
        <f t="shared" si="7"/>
        <v>-1.9997951127819612E-3</v>
      </c>
      <c r="N14">
        <f t="shared" si="8"/>
        <v>3.6543481365073407E-4</v>
      </c>
      <c r="O14" s="3">
        <f t="shared" si="9"/>
        <v>3.6543481365073407</v>
      </c>
    </row>
    <row r="15" spans="1:15" x14ac:dyDescent="0.25">
      <c r="A15">
        <v>200</v>
      </c>
      <c r="B15" s="3">
        <v>3.6630842105263155</v>
      </c>
      <c r="C15" s="3">
        <v>3.6849428571428571</v>
      </c>
      <c r="D15">
        <f t="shared" si="2"/>
        <v>2.1858646616541577E-2</v>
      </c>
      <c r="E15">
        <f t="shared" si="3"/>
        <v>1.9976691729323148E-2</v>
      </c>
      <c r="F15">
        <v>305</v>
      </c>
      <c r="G15">
        <v>5461</v>
      </c>
      <c r="H15">
        <f t="shared" si="4"/>
        <v>6.0928909774435605</v>
      </c>
      <c r="I15">
        <f t="shared" si="0"/>
        <v>11.246934398496213</v>
      </c>
      <c r="J15">
        <f t="shared" si="1"/>
        <v>2.0595008969961937</v>
      </c>
      <c r="K15">
        <f t="shared" si="5"/>
        <v>-1.2861578947368545E-3</v>
      </c>
      <c r="L15">
        <f t="shared" si="6"/>
        <v>-1.4500714285714267E-3</v>
      </c>
      <c r="M15">
        <f t="shared" si="7"/>
        <v>-1.3681146616541405E-3</v>
      </c>
      <c r="N15">
        <f t="shared" si="8"/>
        <v>3.1680552179790081E-4</v>
      </c>
      <c r="O15" s="3">
        <f t="shared" si="9"/>
        <v>3.168055217979008</v>
      </c>
    </row>
    <row r="16" spans="1:15" x14ac:dyDescent="0.25">
      <c r="A16">
        <v>250</v>
      </c>
      <c r="B16" s="3">
        <v>3.6087052631578946</v>
      </c>
      <c r="C16" s="3">
        <v>3.6267999999999994</v>
      </c>
      <c r="D16">
        <f t="shared" si="2"/>
        <v>1.8094736842104719E-2</v>
      </c>
      <c r="E16">
        <f t="shared" si="3"/>
        <v>1.6201691729323286E-2</v>
      </c>
      <c r="F16">
        <v>298</v>
      </c>
      <c r="G16">
        <v>5186</v>
      </c>
      <c r="H16">
        <f t="shared" si="4"/>
        <v>4.8281041353383394</v>
      </c>
      <c r="I16">
        <f t="shared" si="0"/>
        <v>5.1540434210526529</v>
      </c>
      <c r="J16">
        <f t="shared" si="1"/>
        <v>0.99383791381655473</v>
      </c>
      <c r="K16">
        <f t="shared" si="5"/>
        <v>-9.8700000000000003E-4</v>
      </c>
      <c r="L16">
        <f t="shared" si="6"/>
        <v>-1.0624999999999973E-3</v>
      </c>
      <c r="M16">
        <f t="shared" si="7"/>
        <v>-1.0247499999999988E-3</v>
      </c>
      <c r="N16">
        <f t="shared" si="8"/>
        <v>2.0410370476433808E-4</v>
      </c>
      <c r="O16" s="3">
        <f t="shared" si="9"/>
        <v>2.041037047643381</v>
      </c>
    </row>
    <row r="17" spans="1:15" x14ac:dyDescent="0.25">
      <c r="A17">
        <v>300</v>
      </c>
      <c r="B17" s="3">
        <v>3.5643842105263155</v>
      </c>
      <c r="C17" s="3">
        <v>3.5786928571428573</v>
      </c>
      <c r="D17">
        <f t="shared" si="2"/>
        <v>1.4308646616541854E-2</v>
      </c>
      <c r="E17">
        <f t="shared" si="3"/>
        <v>7.4663533834591345E-3</v>
      </c>
      <c r="F17">
        <v>289</v>
      </c>
      <c r="G17">
        <v>4893</v>
      </c>
      <c r="H17">
        <f t="shared" si="4"/>
        <v>2.1577761278196901</v>
      </c>
      <c r="I17">
        <f t="shared" si="0"/>
        <v>0.32593928571431352</v>
      </c>
      <c r="J17">
        <f t="shared" si="1"/>
        <v>6.6613383550850919E-2</v>
      </c>
      <c r="K17">
        <f t="shared" si="5"/>
        <v>-7.6257894736842858E-4</v>
      </c>
      <c r="L17">
        <f t="shared" si="6"/>
        <v>-9.3728571428571157E-4</v>
      </c>
      <c r="M17">
        <f t="shared" si="7"/>
        <v>-8.4993233082707002E-4</v>
      </c>
      <c r="N17">
        <f t="shared" si="8"/>
        <v>1.6494167408316832E-5</v>
      </c>
      <c r="O17" s="3">
        <f t="shared" si="9"/>
        <v>0.16494167408316832</v>
      </c>
    </row>
    <row r="18" spans="1:15" x14ac:dyDescent="0.25">
      <c r="A18">
        <v>350</v>
      </c>
      <c r="B18" s="3">
        <v>3.5324473684210518</v>
      </c>
      <c r="C18" s="3">
        <v>3.5330714285714282</v>
      </c>
      <c r="D18">
        <f t="shared" si="2"/>
        <v>6.2406015037641538E-4</v>
      </c>
      <c r="E18">
        <f t="shared" si="3"/>
        <v>-1.5347744360905136E-3</v>
      </c>
      <c r="F18">
        <v>284</v>
      </c>
      <c r="G18">
        <v>4615</v>
      </c>
      <c r="H18">
        <f t="shared" si="4"/>
        <v>-0.43587593984970585</v>
      </c>
      <c r="I18">
        <f t="shared" si="0"/>
        <v>-1.8318368421053766</v>
      </c>
      <c r="J18">
        <f t="shared" si="1"/>
        <v>-0.39693106004450196</v>
      </c>
      <c r="K18">
        <f t="shared" si="5"/>
        <v>-5.9226315789472571E-4</v>
      </c>
      <c r="L18">
        <f t="shared" si="6"/>
        <v>-7.7228571428571873E-4</v>
      </c>
      <c r="M18">
        <f t="shared" si="7"/>
        <v>-6.8227443609022217E-4</v>
      </c>
      <c r="N18">
        <f t="shared" si="8"/>
        <v>-1.2243602998969296E-4</v>
      </c>
      <c r="O18" s="3">
        <f t="shared" si="9"/>
        <v>-1.2243602998969296</v>
      </c>
    </row>
    <row r="19" spans="1:15" x14ac:dyDescent="0.25">
      <c r="A19">
        <v>400</v>
      </c>
      <c r="B19" s="3">
        <v>3.5051578947368429</v>
      </c>
      <c r="C19" s="3">
        <v>3.5014642857142855</v>
      </c>
      <c r="D19">
        <f t="shared" si="2"/>
        <v>-3.6936090225574425E-3</v>
      </c>
      <c r="E19">
        <f t="shared" si="3"/>
        <v>-2.5201127819551861E-3</v>
      </c>
      <c r="F19">
        <v>279</v>
      </c>
      <c r="G19">
        <v>4306</v>
      </c>
      <c r="H19">
        <f t="shared" si="4"/>
        <v>-0.70311146616549691</v>
      </c>
      <c r="I19">
        <f t="shared" si="0"/>
        <v>-1.3959609022556707</v>
      </c>
      <c r="J19">
        <f t="shared" si="1"/>
        <v>-0.3241897125535696</v>
      </c>
      <c r="K19">
        <f t="shared" si="5"/>
        <v>-5.3457894736841816E-4</v>
      </c>
      <c r="L19">
        <f t="shared" si="6"/>
        <v>-5.5428571428571159E-4</v>
      </c>
      <c r="M19">
        <f t="shared" si="7"/>
        <v>-5.4443233082706482E-4</v>
      </c>
      <c r="N19">
        <f t="shared" si="8"/>
        <v>-1.2531659207771383E-4</v>
      </c>
      <c r="O19" s="3">
        <f t="shared" si="9"/>
        <v>-1.2531659207771384</v>
      </c>
    </row>
    <row r="20" spans="1:15" x14ac:dyDescent="0.25">
      <c r="A20">
        <v>450</v>
      </c>
      <c r="B20" s="3">
        <v>3.47898947368421</v>
      </c>
      <c r="C20" s="3">
        <v>3.477642857142857</v>
      </c>
      <c r="D20">
        <f t="shared" si="2"/>
        <v>-1.3466165413529296E-3</v>
      </c>
      <c r="E20">
        <f t="shared" si="3"/>
        <v>-7.1842105263142386E-4</v>
      </c>
      <c r="F20">
        <v>271</v>
      </c>
      <c r="G20">
        <v>3966</v>
      </c>
      <c r="H20">
        <f t="shared" si="4"/>
        <v>-0.19469210526311587</v>
      </c>
      <c r="I20">
        <f t="shared" si="0"/>
        <v>-0.6928494360901738</v>
      </c>
      <c r="J20">
        <f t="shared" si="1"/>
        <v>-0.17469728595314518</v>
      </c>
      <c r="K20">
        <f t="shared" si="5"/>
        <v>-4.6710526315790535E-4</v>
      </c>
      <c r="L20">
        <f t="shared" si="6"/>
        <v>-4.3107142857143013E-4</v>
      </c>
      <c r="M20">
        <f t="shared" si="7"/>
        <v>-4.4908834586466774E-4</v>
      </c>
      <c r="N20">
        <f t="shared" si="8"/>
        <v>-8.1866764589280091E-5</v>
      </c>
      <c r="O20" s="3">
        <f t="shared" si="9"/>
        <v>-0.81866764589280094</v>
      </c>
    </row>
    <row r="21" spans="1:15" x14ac:dyDescent="0.25">
      <c r="A21">
        <v>500</v>
      </c>
      <c r="B21" s="3">
        <v>3.4584473684210524</v>
      </c>
      <c r="C21" s="3">
        <v>3.4583571428571425</v>
      </c>
      <c r="D21">
        <f t="shared" si="2"/>
        <v>-9.0225563909918094E-5</v>
      </c>
      <c r="E21">
        <f t="shared" si="3"/>
        <v>-4.0319548872158606E-4</v>
      </c>
      <c r="F21">
        <v>262</v>
      </c>
      <c r="G21">
        <v>3571</v>
      </c>
      <c r="H21">
        <f t="shared" si="4"/>
        <v>-0.10563721804505555</v>
      </c>
      <c r="I21">
        <f t="shared" si="0"/>
        <v>-0.49815733082705793</v>
      </c>
      <c r="J21">
        <f t="shared" si="1"/>
        <v>-0.13950079272670343</v>
      </c>
      <c r="K21">
        <f t="shared" si="5"/>
        <v>-3.9194736842104836E-4</v>
      </c>
      <c r="L21">
        <f t="shared" si="6"/>
        <v>-3.856428571428516E-4</v>
      </c>
      <c r="M21">
        <f t="shared" si="7"/>
        <v>-3.8879511278194995E-4</v>
      </c>
      <c r="N21">
        <f t="shared" si="8"/>
        <v>-7.5510810643051723E-5</v>
      </c>
      <c r="O21" s="3">
        <f t="shared" si="9"/>
        <v>-0.75510810643051718</v>
      </c>
    </row>
    <row r="22" spans="1:15" x14ac:dyDescent="0.25">
      <c r="A22">
        <v>550</v>
      </c>
      <c r="B22" s="3">
        <v>3.4397947368421051</v>
      </c>
      <c r="C22" s="3">
        <v>3.4390785714285719</v>
      </c>
      <c r="D22">
        <f t="shared" si="2"/>
        <v>-7.1616541353325402E-4</v>
      </c>
      <c r="E22">
        <f t="shared" si="3"/>
        <v>-3.755639097742236E-4</v>
      </c>
      <c r="F22">
        <v>251</v>
      </c>
      <c r="G22">
        <v>3239</v>
      </c>
      <c r="H22">
        <f t="shared" si="4"/>
        <v>-9.4266541353330124E-2</v>
      </c>
      <c r="I22">
        <f t="shared" si="0"/>
        <v>-0.39252011278200238</v>
      </c>
      <c r="J22">
        <f t="shared" si="1"/>
        <v>-0.1211855859160242</v>
      </c>
      <c r="K22">
        <f t="shared" si="5"/>
        <v>-3.2205263157894845E-4</v>
      </c>
      <c r="L22">
        <f t="shared" si="6"/>
        <v>-3.2150000000000126E-4</v>
      </c>
      <c r="M22">
        <f t="shared" si="7"/>
        <v>-3.2177631578947483E-4</v>
      </c>
      <c r="N22">
        <f t="shared" si="8"/>
        <v>-7.9259284284286698E-5</v>
      </c>
      <c r="O22" s="3">
        <f t="shared" si="9"/>
        <v>-0.79259284284286702</v>
      </c>
    </row>
    <row r="23" spans="1:15" x14ac:dyDescent="0.25">
      <c r="A23">
        <v>600</v>
      </c>
      <c r="B23" s="3">
        <v>3.4262421052631575</v>
      </c>
      <c r="C23" s="3">
        <v>3.4262071428571423</v>
      </c>
      <c r="D23">
        <f t="shared" si="2"/>
        <v>-3.4962406015193181E-5</v>
      </c>
      <c r="E23">
        <f t="shared" si="3"/>
        <v>-1.9511278195505355E-4</v>
      </c>
      <c r="F23">
        <v>240</v>
      </c>
      <c r="G23">
        <v>2767</v>
      </c>
      <c r="H23">
        <f t="shared" si="4"/>
        <v>-4.6827067669212852E-2</v>
      </c>
      <c r="I23">
        <f>I24+H23</f>
        <v>-0.29825357142867226</v>
      </c>
      <c r="J23">
        <f t="shared" si="1"/>
        <v>-0.10778950900927801</v>
      </c>
      <c r="K23">
        <f t="shared" si="5"/>
        <v>-2.5089473684209996E-4</v>
      </c>
      <c r="L23">
        <f t="shared" si="6"/>
        <v>-2.4728571428571654E-4</v>
      </c>
      <c r="M23">
        <f t="shared" si="7"/>
        <v>-2.4909022556390825E-4</v>
      </c>
      <c r="N23">
        <f t="shared" si="8"/>
        <v>-9.1069523031264422E-5</v>
      </c>
      <c r="O23" s="3">
        <f t="shared" si="9"/>
        <v>-0.91069523031264421</v>
      </c>
    </row>
    <row r="24" spans="1:15" x14ac:dyDescent="0.25">
      <c r="A24">
        <v>650</v>
      </c>
      <c r="B24" s="3">
        <v>3.4147052631578951</v>
      </c>
      <c r="C24" s="3">
        <v>3.4143500000000002</v>
      </c>
      <c r="D24">
        <f t="shared" si="2"/>
        <v>-3.5526315789491392E-4</v>
      </c>
      <c r="E24">
        <f t="shared" si="3"/>
        <v>-1.0979323308273337E-3</v>
      </c>
      <c r="F24">
        <v>229</v>
      </c>
      <c r="G24">
        <v>2129</v>
      </c>
      <c r="H24">
        <f t="shared" si="4"/>
        <v>-0.25142650375945941</v>
      </c>
      <c r="I24">
        <f>H24</f>
        <v>-0.25142650375945941</v>
      </c>
      <c r="J24">
        <f>(I24/G24)*1000</f>
        <v>-0.11809605625150747</v>
      </c>
      <c r="K24">
        <f t="shared" si="5"/>
        <v>-2.1015789473683544E-4</v>
      </c>
      <c r="L24">
        <f t="shared" si="6"/>
        <v>-2.2821428571428103E-4</v>
      </c>
      <c r="M24">
        <f t="shared" si="7"/>
        <v>-2.1918609022555824E-4</v>
      </c>
      <c r="N24">
        <f t="shared" si="8"/>
        <v>-1.1339023599450944E-4</v>
      </c>
      <c r="O24" s="3">
        <f t="shared" si="9"/>
        <v>-1.1339023599450944</v>
      </c>
    </row>
    <row r="25" spans="1:15" x14ac:dyDescent="0.25">
      <c r="A25">
        <v>700</v>
      </c>
      <c r="B25" s="3">
        <v>3.405226315789474</v>
      </c>
      <c r="C25" s="3">
        <v>3.4033857142857142</v>
      </c>
      <c r="D25">
        <f t="shared" si="2"/>
        <v>-1.8406015037597534E-3</v>
      </c>
      <c r="E25">
        <f t="shared" si="3"/>
        <v>-1.794924812030807E-3</v>
      </c>
      <c r="F25" s="3">
        <v>216</v>
      </c>
      <c r="G25">
        <v>2130</v>
      </c>
      <c r="H25">
        <f t="shared" si="4"/>
        <v>-0.38770375939865431</v>
      </c>
      <c r="I25">
        <f t="shared" ref="I25:I38" si="10">H25</f>
        <v>-0.38770375939865431</v>
      </c>
      <c r="J25">
        <f t="shared" ref="J25:J38" si="11">(I25/G25)*1000</f>
        <v>-0.18202054431861706</v>
      </c>
      <c r="K25">
        <f t="shared" si="5"/>
        <v>-1.8363157894736305E-4</v>
      </c>
      <c r="L25">
        <f t="shared" si="6"/>
        <v>-1.975714285714325E-4</v>
      </c>
      <c r="M25">
        <f t="shared" si="7"/>
        <v>-1.9060150375939779E-4</v>
      </c>
      <c r="N25">
        <f t="shared" si="8"/>
        <v>-2.0097745402504965E-4</v>
      </c>
      <c r="O25" s="3">
        <f t="shared" si="9"/>
        <v>-2.0097745402504965</v>
      </c>
    </row>
    <row r="26" spans="1:15" x14ac:dyDescent="0.25">
      <c r="A26">
        <v>750</v>
      </c>
      <c r="B26" s="3">
        <v>3.3963421052631588</v>
      </c>
      <c r="C26" s="3">
        <v>3.394592857142857</v>
      </c>
      <c r="D26">
        <f t="shared" si="2"/>
        <v>-1.7492481203018606E-3</v>
      </c>
      <c r="E26">
        <f t="shared" si="3"/>
        <v>-1.0122180451135332E-3</v>
      </c>
      <c r="F26" s="3">
        <v>205</v>
      </c>
      <c r="G26">
        <v>2131</v>
      </c>
      <c r="H26">
        <f t="shared" si="4"/>
        <v>-0.2075046992482743</v>
      </c>
      <c r="I26">
        <f t="shared" si="10"/>
        <v>-0.2075046992482743</v>
      </c>
      <c r="J26">
        <f t="shared" si="11"/>
        <v>-9.7374330947101975E-2</v>
      </c>
      <c r="K26">
        <f t="shared" si="5"/>
        <v>-1.5936842105263249E-4</v>
      </c>
      <c r="L26">
        <f t="shared" si="6"/>
        <v>-1.4371428571428703E-4</v>
      </c>
      <c r="M26">
        <f t="shared" si="7"/>
        <v>-1.5154135338345975E-4</v>
      </c>
      <c r="N26">
        <f t="shared" si="8"/>
        <v>-1.3522798582102217E-4</v>
      </c>
      <c r="O26" s="3">
        <f t="shared" si="9"/>
        <v>-1.3522798582102218</v>
      </c>
    </row>
    <row r="27" spans="1:15" x14ac:dyDescent="0.25">
      <c r="A27">
        <v>800</v>
      </c>
      <c r="B27" s="3">
        <v>3.3892894736842107</v>
      </c>
      <c r="C27" s="3">
        <v>3.3890142857142855</v>
      </c>
      <c r="D27">
        <f t="shared" si="2"/>
        <v>-2.7518796992520578E-4</v>
      </c>
      <c r="E27">
        <f t="shared" si="3"/>
        <v>-9.7274436090222238E-4</v>
      </c>
      <c r="F27" s="3">
        <v>192</v>
      </c>
      <c r="G27">
        <v>2132</v>
      </c>
      <c r="H27">
        <f t="shared" si="4"/>
        <v>-0.1867669172932267</v>
      </c>
      <c r="I27">
        <f t="shared" si="10"/>
        <v>-0.1867669172932267</v>
      </c>
      <c r="J27">
        <f t="shared" si="11"/>
        <v>-8.7601743570931839E-2</v>
      </c>
      <c r="K27">
        <f t="shared" si="5"/>
        <v>-1.28789473684221E-4</v>
      </c>
      <c r="L27">
        <f t="shared" si="6"/>
        <v>-1.2799999999999479E-4</v>
      </c>
      <c r="M27">
        <f t="shared" si="7"/>
        <v>-1.2839473684210788E-4</v>
      </c>
      <c r="N27">
        <f t="shared" si="8"/>
        <v>-1.4358821046106426E-4</v>
      </c>
      <c r="O27" s="3">
        <f t="shared" si="9"/>
        <v>-1.4358821046106427</v>
      </c>
    </row>
    <row r="28" spans="1:15" x14ac:dyDescent="0.25">
      <c r="A28">
        <v>850</v>
      </c>
      <c r="B28" s="3">
        <v>3.3834631578947367</v>
      </c>
      <c r="C28" s="3">
        <v>3.3817928571428575</v>
      </c>
      <c r="D28">
        <f t="shared" si="2"/>
        <v>-1.670300751879239E-3</v>
      </c>
      <c r="E28">
        <f t="shared" si="3"/>
        <v>-6.1372180451124692E-4</v>
      </c>
      <c r="F28" s="3">
        <v>181</v>
      </c>
      <c r="G28">
        <v>2133</v>
      </c>
      <c r="H28">
        <f t="shared" si="4"/>
        <v>-0.11108364661653569</v>
      </c>
      <c r="I28">
        <f t="shared" si="10"/>
        <v>-0.11108364661653569</v>
      </c>
      <c r="J28">
        <f t="shared" si="11"/>
        <v>-5.2078596632224895E-2</v>
      </c>
      <c r="K28">
        <f t="shared" si="5"/>
        <v>-1.1739473684210911E-4</v>
      </c>
      <c r="L28">
        <f t="shared" si="6"/>
        <v>-1.102142857142896E-4</v>
      </c>
      <c r="M28">
        <f t="shared" si="7"/>
        <v>-1.1380451127819935E-4</v>
      </c>
      <c r="N28">
        <f t="shared" si="8"/>
        <v>-9.6305934307793276E-5</v>
      </c>
      <c r="O28" s="3">
        <f t="shared" si="9"/>
        <v>-0.96305934307793273</v>
      </c>
    </row>
    <row r="29" spans="1:15" x14ac:dyDescent="0.25">
      <c r="A29">
        <v>900</v>
      </c>
      <c r="B29" s="3">
        <v>3.3775499999999998</v>
      </c>
      <c r="C29" s="3">
        <v>3.3779928571428566</v>
      </c>
      <c r="D29">
        <f t="shared" si="2"/>
        <v>4.4285714285674516E-4</v>
      </c>
      <c r="E29">
        <f t="shared" si="3"/>
        <v>7.051587301587503E-4</v>
      </c>
      <c r="F29" s="3">
        <v>177</v>
      </c>
      <c r="G29">
        <v>2134</v>
      </c>
      <c r="H29">
        <f t="shared" si="4"/>
        <v>0.1248130952380988</v>
      </c>
      <c r="I29">
        <f t="shared" si="10"/>
        <v>0.1248130952380988</v>
      </c>
      <c r="J29">
        <f t="shared" si="11"/>
        <v>5.8487860936316215E-2</v>
      </c>
      <c r="K29">
        <f t="shared" si="5"/>
        <v>-1.0202046783625463E-4</v>
      </c>
      <c r="L29">
        <f t="shared" si="6"/>
        <v>-7.5642857142854678E-5</v>
      </c>
      <c r="M29">
        <f t="shared" si="7"/>
        <v>-8.883166248955466E-5</v>
      </c>
      <c r="N29">
        <f t="shared" si="8"/>
        <v>1.3856425226024694E-4</v>
      </c>
      <c r="O29" s="3">
        <f t="shared" si="9"/>
        <v>1.3856425226024693</v>
      </c>
    </row>
    <row r="30" spans="1:15" x14ac:dyDescent="0.25">
      <c r="A30">
        <v>950</v>
      </c>
      <c r="B30" s="3">
        <v>3.3732611111111113</v>
      </c>
      <c r="C30" s="3">
        <v>3.374228571428572</v>
      </c>
      <c r="D30">
        <f t="shared" si="2"/>
        <v>9.6746031746075545E-4</v>
      </c>
      <c r="E30">
        <f t="shared" si="3"/>
        <v>1.3516034618974437E-3</v>
      </c>
      <c r="F30" s="3">
        <v>172</v>
      </c>
      <c r="G30">
        <v>2135</v>
      </c>
      <c r="H30">
        <f t="shared" si="4"/>
        <v>0.23247579544636032</v>
      </c>
      <c r="I30">
        <f t="shared" si="10"/>
        <v>0.23247579544636032</v>
      </c>
      <c r="J30">
        <f t="shared" si="11"/>
        <v>0.10888796039642169</v>
      </c>
      <c r="K30">
        <f t="shared" si="5"/>
        <v>-8.2088235294115467E-5</v>
      </c>
      <c r="L30">
        <f t="shared" si="6"/>
        <v>-6.9159340659341589E-5</v>
      </c>
      <c r="M30">
        <f t="shared" si="7"/>
        <v>-7.5623787976728522E-5</v>
      </c>
      <c r="N30">
        <f t="shared" si="8"/>
        <v>3.0302236958870254E-4</v>
      </c>
      <c r="O30" s="3">
        <f t="shared" si="9"/>
        <v>3.0302236958870252</v>
      </c>
    </row>
    <row r="31" spans="1:15" x14ac:dyDescent="0.25">
      <c r="A31">
        <v>1000</v>
      </c>
      <c r="B31" s="3">
        <v>3.3693411764705883</v>
      </c>
      <c r="C31" s="3">
        <v>3.3710769230769224</v>
      </c>
      <c r="D31">
        <f t="shared" si="2"/>
        <v>1.735746606334132E-3</v>
      </c>
      <c r="E31">
        <f t="shared" si="3"/>
        <v>2.7613122171943338E-3</v>
      </c>
      <c r="F31" s="3">
        <v>167</v>
      </c>
      <c r="G31">
        <v>2136</v>
      </c>
      <c r="H31">
        <f t="shared" si="4"/>
        <v>0.46113914027145375</v>
      </c>
      <c r="I31">
        <f t="shared" si="10"/>
        <v>0.46113914027145375</v>
      </c>
      <c r="J31">
        <f t="shared" si="11"/>
        <v>0.21588911061397648</v>
      </c>
      <c r="K31">
        <f t="shared" si="5"/>
        <v>-7.0787581699347516E-5</v>
      </c>
      <c r="L31">
        <f t="shared" si="6"/>
        <v>-4.2593406593409708E-5</v>
      </c>
      <c r="M31">
        <f t="shared" si="7"/>
        <v>-5.6690494146378615E-5</v>
      </c>
      <c r="N31">
        <f t="shared" si="8"/>
        <v>8.014450462695261E-4</v>
      </c>
      <c r="O31" s="3">
        <f t="shared" si="9"/>
        <v>8.0144504626952617</v>
      </c>
    </row>
    <row r="32" spans="1:15" x14ac:dyDescent="0.25">
      <c r="A32">
        <v>1050</v>
      </c>
      <c r="B32" s="3">
        <v>3.3661823529411765</v>
      </c>
      <c r="C32" s="3">
        <v>3.3699692307692311</v>
      </c>
      <c r="D32">
        <f t="shared" si="2"/>
        <v>3.7868778280545357E-3</v>
      </c>
      <c r="E32">
        <f t="shared" si="3"/>
        <v>3.6990950226243324E-3</v>
      </c>
      <c r="F32" s="3">
        <v>160</v>
      </c>
      <c r="G32">
        <v>2137</v>
      </c>
      <c r="H32">
        <f t="shared" si="4"/>
        <v>0.59185520361989319</v>
      </c>
      <c r="I32">
        <f t="shared" si="10"/>
        <v>0.59185520361989319</v>
      </c>
      <c r="J32">
        <f t="shared" si="11"/>
        <v>0.2769561083855373</v>
      </c>
      <c r="K32">
        <f t="shared" si="5"/>
        <v>-6.5294117647058953E-5</v>
      </c>
      <c r="L32">
        <f t="shared" si="6"/>
        <v>-4.6538461538458975E-5</v>
      </c>
      <c r="M32">
        <f t="shared" si="7"/>
        <v>-5.5916289592758964E-5</v>
      </c>
      <c r="N32">
        <f t="shared" si="8"/>
        <v>1.0423794885158484E-3</v>
      </c>
      <c r="O32" s="3">
        <f t="shared" si="9"/>
        <v>10.423794885158484</v>
      </c>
    </row>
    <row r="33" spans="1:15" x14ac:dyDescent="0.25">
      <c r="A33">
        <v>1100</v>
      </c>
      <c r="B33" s="3">
        <v>3.3628117647058824</v>
      </c>
      <c r="C33" s="3">
        <v>3.3664230769230765</v>
      </c>
      <c r="D33">
        <f t="shared" si="2"/>
        <v>3.6113122171941292E-3</v>
      </c>
      <c r="E33">
        <f t="shared" si="3"/>
        <v>2.5331561085972787E-3</v>
      </c>
      <c r="F33" s="3">
        <v>151</v>
      </c>
      <c r="G33">
        <v>2138</v>
      </c>
      <c r="H33">
        <f t="shared" si="4"/>
        <v>0.38250657239818908</v>
      </c>
      <c r="I33">
        <f t="shared" si="10"/>
        <v>0.38250657239818908</v>
      </c>
      <c r="J33">
        <f t="shared" si="11"/>
        <v>0.17890859326388636</v>
      </c>
      <c r="K33">
        <f t="shared" si="5"/>
        <v>-4.3956862745098138E-5</v>
      </c>
      <c r="L33">
        <f t="shared" si="6"/>
        <v>-6.7275641025639208E-5</v>
      </c>
      <c r="M33">
        <f t="shared" si="7"/>
        <v>-5.5616251885368673E-5</v>
      </c>
      <c r="N33">
        <f t="shared" si="8"/>
        <v>6.7699075472117524E-4</v>
      </c>
      <c r="O33" s="3">
        <f t="shared" si="9"/>
        <v>6.7699075472117523</v>
      </c>
    </row>
    <row r="34" spans="1:15" x14ac:dyDescent="0.25">
      <c r="A34">
        <v>1150</v>
      </c>
      <c r="B34" s="3">
        <v>3.3617866666666667</v>
      </c>
      <c r="C34" s="3">
        <v>3.3632416666666671</v>
      </c>
      <c r="D34">
        <f t="shared" si="2"/>
        <v>1.4550000000004282E-3</v>
      </c>
      <c r="E34">
        <f t="shared" si="3"/>
        <v>1.3241666666667928E-3</v>
      </c>
      <c r="F34" s="3">
        <v>145</v>
      </c>
      <c r="G34">
        <v>2139</v>
      </c>
      <c r="H34">
        <f t="shared" si="4"/>
        <v>0.19200416666668496</v>
      </c>
      <c r="I34">
        <f t="shared" si="10"/>
        <v>0.19200416666668496</v>
      </c>
      <c r="J34">
        <f t="shared" si="11"/>
        <v>8.9763518778253837E-2</v>
      </c>
      <c r="K34">
        <f t="shared" si="5"/>
        <v>-3.2717647058819745E-5</v>
      </c>
      <c r="L34">
        <f t="shared" si="6"/>
        <v>-5.689743589742946E-5</v>
      </c>
      <c r="M34">
        <f t="shared" si="7"/>
        <v>-4.4807541478124606E-5</v>
      </c>
      <c r="N34">
        <f t="shared" si="8"/>
        <v>4.2160136429666138E-4</v>
      </c>
      <c r="O34" s="3">
        <f t="shared" si="9"/>
        <v>4.2160136429666135</v>
      </c>
    </row>
    <row r="35" spans="1:15" x14ac:dyDescent="0.25">
      <c r="A35">
        <v>1200</v>
      </c>
      <c r="B35" s="3">
        <v>3.3595400000000004</v>
      </c>
      <c r="C35" s="3">
        <v>3.3607333333333336</v>
      </c>
      <c r="D35">
        <f t="shared" si="2"/>
        <v>1.1933333333331575E-3</v>
      </c>
      <c r="E35">
        <f t="shared" si="3"/>
        <v>1.9743589743548284E-5</v>
      </c>
      <c r="F35" s="3">
        <v>137</v>
      </c>
      <c r="G35">
        <v>2140</v>
      </c>
      <c r="H35">
        <f t="shared" si="4"/>
        <v>2.704871794866115E-3</v>
      </c>
      <c r="I35">
        <f t="shared" si="10"/>
        <v>2.704871794866115E-3</v>
      </c>
      <c r="J35">
        <f t="shared" si="11"/>
        <v>1.2639587826477172E-3</v>
      </c>
      <c r="K35">
        <f t="shared" si="5"/>
        <v>-3.2328205128209218E-5</v>
      </c>
      <c r="L35">
        <f t="shared" si="6"/>
        <v>-5.8416666666674113E-5</v>
      </c>
      <c r="M35">
        <f t="shared" si="7"/>
        <v>-4.5372435897441662E-5</v>
      </c>
      <c r="N35">
        <f t="shared" si="8"/>
        <v>5.8626513885456494E-6</v>
      </c>
      <c r="O35" s="3">
        <f t="shared" si="9"/>
        <v>5.8626513885456491E-2</v>
      </c>
    </row>
    <row r="36" spans="1:15" x14ac:dyDescent="0.25">
      <c r="A36">
        <v>1250</v>
      </c>
      <c r="B36" s="3">
        <v>3.3585538461538458</v>
      </c>
      <c r="C36" s="3">
        <v>3.3573999999999997</v>
      </c>
      <c r="D36">
        <f t="shared" si="2"/>
        <v>-1.1538461538460609E-3</v>
      </c>
      <c r="E36">
        <f t="shared" si="3"/>
        <v>-9.797008547003383E-4</v>
      </c>
      <c r="F36" s="3">
        <v>124</v>
      </c>
      <c r="G36">
        <v>2141</v>
      </c>
      <c r="H36">
        <f t="shared" si="4"/>
        <v>-0.12148290598284195</v>
      </c>
      <c r="I36">
        <f t="shared" si="10"/>
        <v>-0.12148290598284195</v>
      </c>
      <c r="J36">
        <f t="shared" si="11"/>
        <v>-5.6741198497357287E-2</v>
      </c>
      <c r="K36">
        <f t="shared" si="5"/>
        <v>-2.323333333334343E-5</v>
      </c>
      <c r="L36">
        <f t="shared" si="6"/>
        <v>-4.3222222222221162E-5</v>
      </c>
      <c r="M36">
        <f t="shared" si="7"/>
        <v>-3.3227777777782296E-5</v>
      </c>
      <c r="N36">
        <f t="shared" si="8"/>
        <v>-3.59377151235113E-4</v>
      </c>
      <c r="O36" s="3">
        <f t="shared" si="9"/>
        <v>-3.5937715123511298</v>
      </c>
    </row>
    <row r="37" spans="1:15" x14ac:dyDescent="0.25">
      <c r="A37">
        <v>1300</v>
      </c>
      <c r="B37" s="3">
        <v>3.3572166666666661</v>
      </c>
      <c r="C37" s="3">
        <v>3.3564111111111115</v>
      </c>
      <c r="D37">
        <f t="shared" si="2"/>
        <v>-8.0555555555461567E-4</v>
      </c>
      <c r="E37">
        <f t="shared" si="3"/>
        <v>-1.4384920634880061E-4</v>
      </c>
      <c r="F37" s="3">
        <v>101</v>
      </c>
      <c r="G37">
        <v>2142</v>
      </c>
      <c r="H37">
        <f t="shared" si="4"/>
        <v>-1.4528769841228861E-2</v>
      </c>
      <c r="I37">
        <f t="shared" si="10"/>
        <v>-1.4528769841228861E-2</v>
      </c>
      <c r="J37">
        <f t="shared" si="11"/>
        <v>-6.7828057148594124E-3</v>
      </c>
      <c r="K37">
        <f t="shared" si="5"/>
        <v>-2.2967032967029509E-5</v>
      </c>
      <c r="L37">
        <f t="shared" si="6"/>
        <v>-6.2499999999987569E-6</v>
      </c>
      <c r="M37">
        <f t="shared" si="7"/>
        <v>-1.4608516483514133E-5</v>
      </c>
      <c r="N37">
        <f t="shared" si="8"/>
        <v>-9.7713938101735268E-5</v>
      </c>
      <c r="O37" s="3">
        <f t="shared" si="9"/>
        <v>-0.97713938101735265</v>
      </c>
    </row>
    <row r="38" spans="1:15" x14ac:dyDescent="0.25">
      <c r="A38">
        <v>1350</v>
      </c>
      <c r="B38" s="3">
        <v>3.3562571428571428</v>
      </c>
      <c r="C38" s="3">
        <v>3.3567749999999998</v>
      </c>
      <c r="D38">
        <f t="shared" si="2"/>
        <v>5.1785714285701445E-4</v>
      </c>
      <c r="E38">
        <f t="shared" si="3"/>
        <v>2.5892857142850723E-4</v>
      </c>
      <c r="F38" s="3">
        <v>67</v>
      </c>
      <c r="G38">
        <v>2143</v>
      </c>
      <c r="H38">
        <f t="shared" si="4"/>
        <v>1.7348214285709984E-2</v>
      </c>
      <c r="I38">
        <f t="shared" si="10"/>
        <v>1.7348214285709984E-2</v>
      </c>
      <c r="J38">
        <f t="shared" si="11"/>
        <v>8.0952936470881868E-3</v>
      </c>
      <c r="K38">
        <f t="shared" si="5"/>
        <v>-1.6666666666660389E-5</v>
      </c>
      <c r="L38">
        <f t="shared" si="6"/>
        <v>6.3888888888818937E-6</v>
      </c>
      <c r="M38">
        <f t="shared" si="7"/>
        <v>-5.1388888888892478E-6</v>
      </c>
      <c r="N38">
        <f t="shared" si="8"/>
        <v>3.31525266997939E-4</v>
      </c>
      <c r="O38" s="3">
        <f t="shared" si="9"/>
        <v>3.3152526699793898</v>
      </c>
    </row>
    <row r="39" spans="1:15" x14ac:dyDescent="0.25">
      <c r="A39">
        <v>1400</v>
      </c>
      <c r="B39" s="3">
        <v>3.35555</v>
      </c>
      <c r="C39" s="3">
        <v>3.3570499999999996</v>
      </c>
      <c r="F39" s="3">
        <v>25.9</v>
      </c>
      <c r="O39" s="3"/>
    </row>
    <row r="40" spans="1:15" x14ac:dyDescent="0.25">
      <c r="B40" s="3"/>
      <c r="C40" s="3"/>
      <c r="D40" s="8"/>
      <c r="E40" s="8"/>
      <c r="F40" s="3"/>
      <c r="G40" s="9"/>
      <c r="O40" s="3"/>
    </row>
    <row r="41" spans="1:15" x14ac:dyDescent="0.25">
      <c r="B41" s="3"/>
      <c r="C41" s="3"/>
      <c r="D41" s="8"/>
      <c r="E41" s="8"/>
      <c r="F41" s="3"/>
      <c r="G41" s="9"/>
      <c r="O41" s="3"/>
    </row>
    <row r="42" spans="1:15" x14ac:dyDescent="0.25">
      <c r="B42" s="3"/>
      <c r="C42" s="3"/>
      <c r="D42" s="8"/>
      <c r="E42" s="8"/>
      <c r="F42" s="3"/>
      <c r="G42" s="9"/>
      <c r="O42" s="3"/>
    </row>
    <row r="43" spans="1:15" x14ac:dyDescent="0.25">
      <c r="B43" s="3"/>
      <c r="C43" s="3"/>
      <c r="D43" s="8"/>
      <c r="E43" s="8"/>
      <c r="F43" s="3"/>
      <c r="G43" s="9"/>
      <c r="O43" s="3"/>
    </row>
    <row r="44" spans="1:15" x14ac:dyDescent="0.25">
      <c r="B44" s="3"/>
      <c r="C44" s="3"/>
      <c r="D44" s="8"/>
      <c r="E44" s="8"/>
      <c r="F44" s="3"/>
      <c r="G44" s="9"/>
      <c r="O44" s="3"/>
    </row>
    <row r="45" spans="1:15" x14ac:dyDescent="0.25">
      <c r="B45" s="3"/>
      <c r="C45" s="3"/>
      <c r="D45" s="8"/>
      <c r="E45" s="8"/>
      <c r="F45" s="3"/>
      <c r="G45" s="9"/>
      <c r="O45" s="3"/>
    </row>
    <row r="46" spans="1:15" x14ac:dyDescent="0.25">
      <c r="B46" s="3"/>
      <c r="C46" s="3"/>
      <c r="D46" s="8"/>
      <c r="E46" s="8"/>
      <c r="F46" s="3"/>
      <c r="G46" s="9"/>
      <c r="O46" s="3"/>
    </row>
    <row r="47" spans="1:15" x14ac:dyDescent="0.25">
      <c r="B47" s="3"/>
      <c r="C47" s="3"/>
      <c r="D47" s="8"/>
      <c r="E47" s="8"/>
      <c r="F47" s="3"/>
      <c r="G47" s="9"/>
      <c r="O47" s="3"/>
    </row>
    <row r="48" spans="1:15" x14ac:dyDescent="0.25">
      <c r="B48" s="3"/>
      <c r="C48" s="3"/>
      <c r="D48" s="8"/>
      <c r="E48" s="8"/>
      <c r="F48" s="3"/>
      <c r="G48" s="9"/>
      <c r="O48" s="3"/>
    </row>
    <row r="49" spans="2:15" x14ac:dyDescent="0.25">
      <c r="B49" s="3"/>
      <c r="C49" s="3"/>
      <c r="D49" s="8"/>
      <c r="E49" s="8"/>
      <c r="F49" s="3"/>
      <c r="G49" s="9"/>
      <c r="O49" s="3"/>
    </row>
    <row r="50" spans="2:15" x14ac:dyDescent="0.25">
      <c r="B50" s="3"/>
      <c r="C50" s="3"/>
      <c r="D50" s="8"/>
      <c r="E50" s="8"/>
      <c r="F50" s="3"/>
      <c r="G50" s="9"/>
      <c r="O50" s="3"/>
    </row>
    <row r="51" spans="2:15" x14ac:dyDescent="0.25">
      <c r="B51" s="3"/>
      <c r="C51" s="3"/>
      <c r="D51" s="8"/>
      <c r="E51" s="8"/>
      <c r="F51" s="3"/>
      <c r="G51" s="9"/>
      <c r="O51" s="3"/>
    </row>
    <row r="52" spans="2:15" x14ac:dyDescent="0.25">
      <c r="B52" s="3"/>
      <c r="C52" s="3"/>
      <c r="D52" s="8"/>
      <c r="E52" s="8"/>
      <c r="F52" s="3"/>
      <c r="O52" s="3"/>
    </row>
    <row r="53" spans="2:15" x14ac:dyDescent="0.25">
      <c r="B53" s="3"/>
      <c r="C53" s="3"/>
      <c r="D53" s="8"/>
      <c r="E53" s="8"/>
      <c r="F53" s="3"/>
      <c r="G53" s="9"/>
      <c r="O53" s="3"/>
    </row>
    <row r="54" spans="2:15" x14ac:dyDescent="0.25">
      <c r="B54" s="3"/>
      <c r="C54" s="3"/>
      <c r="D54" s="8"/>
      <c r="E54" s="8"/>
      <c r="F54" s="3"/>
      <c r="G54" s="9"/>
      <c r="O54" s="3"/>
    </row>
    <row r="55" spans="2:15" x14ac:dyDescent="0.25">
      <c r="B55" s="3"/>
      <c r="C55" s="3"/>
      <c r="D55" s="8"/>
      <c r="E55" s="8"/>
      <c r="F55" s="3"/>
      <c r="G55" s="9"/>
      <c r="O55" s="3"/>
    </row>
    <row r="56" spans="2:15" x14ac:dyDescent="0.25">
      <c r="B56" s="3"/>
      <c r="C56" s="3"/>
      <c r="D56" s="8"/>
      <c r="E56" s="8"/>
      <c r="F56" s="3"/>
      <c r="G56" s="9"/>
      <c r="O56" s="3"/>
    </row>
    <row r="57" spans="2:15" x14ac:dyDescent="0.25">
      <c r="B57" s="3"/>
      <c r="D57" s="8"/>
      <c r="E57" s="8"/>
      <c r="F57" s="3"/>
      <c r="G57" s="9"/>
      <c r="O57" s="3"/>
    </row>
    <row r="58" spans="2:15" x14ac:dyDescent="0.25">
      <c r="B58" s="3"/>
      <c r="D58" s="8"/>
      <c r="E58" s="8"/>
      <c r="F58" s="3"/>
      <c r="G58" s="9"/>
      <c r="O58" s="3"/>
    </row>
    <row r="59" spans="2:15" x14ac:dyDescent="0.25">
      <c r="B59" s="3"/>
      <c r="D59" s="8"/>
      <c r="E59" s="8"/>
      <c r="F59" s="3"/>
      <c r="G59" s="9"/>
      <c r="O59" s="3"/>
    </row>
    <row r="60" spans="2:15" x14ac:dyDescent="0.25">
      <c r="B60" s="3"/>
      <c r="D60" s="8"/>
      <c r="E60" s="8"/>
      <c r="F60" s="3"/>
      <c r="G60" s="9"/>
      <c r="O60" s="3"/>
    </row>
    <row r="61" spans="2:15" x14ac:dyDescent="0.25">
      <c r="B61" s="3"/>
      <c r="D61" s="8"/>
      <c r="E61" s="8"/>
      <c r="F61" s="3"/>
      <c r="G61" s="9"/>
      <c r="O61" s="3"/>
    </row>
    <row r="62" spans="2:15" x14ac:dyDescent="0.25">
      <c r="B62" s="3"/>
      <c r="D62" s="8"/>
      <c r="E62" s="8"/>
      <c r="F62" s="3"/>
      <c r="G62" s="9"/>
      <c r="O62" s="3"/>
    </row>
    <row r="63" spans="2:15" x14ac:dyDescent="0.25">
      <c r="B63" s="3"/>
      <c r="D63" s="8"/>
      <c r="E63" s="8"/>
      <c r="F63" s="3"/>
      <c r="G63" s="9"/>
      <c r="O63" s="3"/>
    </row>
    <row r="64" spans="2:15" x14ac:dyDescent="0.25">
      <c r="B64" s="3"/>
      <c r="D64" s="8"/>
      <c r="E64" s="8"/>
      <c r="F64" s="3"/>
      <c r="G64" s="9"/>
      <c r="O64" s="3"/>
    </row>
    <row r="65" spans="2:15" x14ac:dyDescent="0.25">
      <c r="B65" s="3"/>
      <c r="D65" s="8"/>
      <c r="E65" s="8"/>
      <c r="F65" s="3"/>
      <c r="G65" s="9"/>
      <c r="O65" s="3"/>
    </row>
    <row r="66" spans="2:15" x14ac:dyDescent="0.25">
      <c r="B66" s="3"/>
      <c r="D66" s="8"/>
      <c r="E66" s="8"/>
      <c r="F66" s="3"/>
      <c r="G66" s="9"/>
      <c r="O66" s="3"/>
    </row>
    <row r="67" spans="2:15" x14ac:dyDescent="0.25">
      <c r="B67" s="3"/>
      <c r="D67" s="8"/>
      <c r="E67" s="8"/>
      <c r="F67" s="3"/>
      <c r="G67" s="9"/>
      <c r="O67" s="3"/>
    </row>
    <row r="68" spans="2:15" x14ac:dyDescent="0.25">
      <c r="B68" s="3"/>
      <c r="D68" s="8"/>
      <c r="E68" s="8"/>
      <c r="F68" s="3"/>
      <c r="G68" s="9"/>
      <c r="O68" s="3"/>
    </row>
    <row r="69" spans="2:15" x14ac:dyDescent="0.25">
      <c r="B69" s="3"/>
      <c r="D69" s="8"/>
      <c r="E69" s="8"/>
      <c r="F69" s="3"/>
      <c r="G69" s="9"/>
      <c r="O69" s="3"/>
    </row>
    <row r="70" spans="2:15" x14ac:dyDescent="0.25">
      <c r="B70" s="3"/>
      <c r="D70" s="8"/>
      <c r="E70" s="8"/>
      <c r="F70" s="3"/>
      <c r="G70" s="9"/>
      <c r="O70" s="3"/>
    </row>
    <row r="71" spans="2:15" x14ac:dyDescent="0.25">
      <c r="B71" s="3"/>
      <c r="D71" s="8"/>
      <c r="E71" s="8"/>
      <c r="F71" s="3"/>
      <c r="G71" s="9"/>
      <c r="O71" s="3"/>
    </row>
    <row r="72" spans="2:15" x14ac:dyDescent="0.25">
      <c r="B72" s="3"/>
      <c r="D72" s="8"/>
      <c r="E72" s="8"/>
      <c r="F72" s="3"/>
      <c r="G72" s="9"/>
      <c r="O72" s="3"/>
    </row>
    <row r="73" spans="2:15" x14ac:dyDescent="0.25">
      <c r="B73" s="3"/>
      <c r="D73" s="8"/>
      <c r="E73" s="8"/>
      <c r="F73" s="3"/>
      <c r="G73" s="9"/>
      <c r="O73" s="3"/>
    </row>
    <row r="74" spans="2:15" x14ac:dyDescent="0.25">
      <c r="B74" s="3"/>
      <c r="D74" s="8"/>
      <c r="E74" s="8"/>
      <c r="F74" s="3"/>
      <c r="G74" s="9"/>
      <c r="O74" s="3"/>
    </row>
    <row r="75" spans="2:15" x14ac:dyDescent="0.25">
      <c r="B75" s="3"/>
      <c r="D75" s="8"/>
      <c r="E75" s="8"/>
      <c r="F75" s="3"/>
      <c r="G75" s="9"/>
      <c r="O75" s="3"/>
    </row>
    <row r="76" spans="2:15" x14ac:dyDescent="0.25">
      <c r="B76" s="3"/>
      <c r="D76" s="8"/>
      <c r="E76" s="8"/>
      <c r="F76" s="3"/>
      <c r="G76" s="9"/>
      <c r="O76" s="3"/>
    </row>
    <row r="77" spans="2:15" x14ac:dyDescent="0.25">
      <c r="B77" s="3"/>
      <c r="D77" s="8"/>
      <c r="E77" s="8"/>
      <c r="F77" s="3"/>
      <c r="O77" s="3"/>
    </row>
    <row r="78" spans="2:15" x14ac:dyDescent="0.25">
      <c r="B78" s="3"/>
      <c r="D78" s="8"/>
      <c r="E78" s="8"/>
      <c r="F78" s="3"/>
      <c r="G78" s="9"/>
      <c r="O78" s="3"/>
    </row>
    <row r="79" spans="2:15" x14ac:dyDescent="0.25">
      <c r="B79" s="3"/>
      <c r="D79" s="8"/>
      <c r="E79" s="8"/>
      <c r="F79" s="3"/>
      <c r="G79" s="9"/>
      <c r="O79" s="3"/>
    </row>
    <row r="80" spans="2:15" x14ac:dyDescent="0.25">
      <c r="D80" s="8"/>
      <c r="E80" s="8"/>
      <c r="F80" s="3"/>
      <c r="G80" s="9"/>
      <c r="O80" s="3"/>
    </row>
    <row r="81" spans="4:15" x14ac:dyDescent="0.25">
      <c r="D81" s="8"/>
      <c r="E81" s="8"/>
      <c r="F81" s="3"/>
      <c r="G81" s="9"/>
      <c r="O81" s="3"/>
    </row>
    <row r="82" spans="4:15" x14ac:dyDescent="0.25">
      <c r="D82" s="8"/>
      <c r="E82" s="8"/>
      <c r="F82" s="3"/>
      <c r="G82" s="9"/>
      <c r="O82" s="3"/>
    </row>
    <row r="83" spans="4:15" x14ac:dyDescent="0.25">
      <c r="D83" s="8"/>
      <c r="E83" s="8"/>
      <c r="F83" s="3"/>
      <c r="G83" s="9"/>
      <c r="O83" s="3"/>
    </row>
    <row r="84" spans="4:15" x14ac:dyDescent="0.25">
      <c r="D84" s="8"/>
      <c r="E84" s="8"/>
      <c r="F84" s="3"/>
      <c r="G84" s="9"/>
      <c r="O84" s="3"/>
    </row>
    <row r="85" spans="4:15" x14ac:dyDescent="0.25">
      <c r="D85" s="8"/>
      <c r="E85" s="8"/>
      <c r="F85" s="3"/>
      <c r="G85" s="9"/>
      <c r="O85" s="3"/>
    </row>
    <row r="86" spans="4:15" x14ac:dyDescent="0.25">
      <c r="D86" s="8"/>
      <c r="E86" s="8"/>
      <c r="F86" s="3"/>
      <c r="G86" s="9"/>
      <c r="O86" s="3"/>
    </row>
    <row r="87" spans="4:15" x14ac:dyDescent="0.25">
      <c r="D87" s="8"/>
      <c r="E87" s="8"/>
      <c r="F87" s="3"/>
      <c r="G87" s="9"/>
      <c r="O87" s="3"/>
    </row>
    <row r="88" spans="4:15" x14ac:dyDescent="0.25">
      <c r="D88" s="8"/>
      <c r="E88" s="8"/>
      <c r="F88" s="3"/>
      <c r="G88" s="9"/>
      <c r="O88" s="3"/>
    </row>
    <row r="89" spans="4:15" x14ac:dyDescent="0.25">
      <c r="D89" s="8"/>
      <c r="E89" s="8"/>
      <c r="F89" s="3"/>
      <c r="G89" s="9"/>
      <c r="O89" s="3"/>
    </row>
    <row r="90" spans="4:15" x14ac:dyDescent="0.25">
      <c r="D90" s="8"/>
      <c r="E90" s="8"/>
      <c r="F90" s="3"/>
      <c r="G90" s="9"/>
      <c r="O90" s="3"/>
    </row>
    <row r="91" spans="4:15" x14ac:dyDescent="0.25">
      <c r="D91" s="8"/>
      <c r="E91" s="8"/>
      <c r="F91" s="3"/>
      <c r="G91" s="9"/>
      <c r="O91" s="3"/>
    </row>
    <row r="92" spans="4:15" x14ac:dyDescent="0.25">
      <c r="D92" s="8"/>
      <c r="E92" s="8"/>
      <c r="F92" s="3"/>
      <c r="G92" s="9"/>
      <c r="O92" s="3"/>
    </row>
    <row r="93" spans="4:15" x14ac:dyDescent="0.25">
      <c r="D93" s="8"/>
      <c r="E93" s="8"/>
      <c r="F93" s="3"/>
      <c r="G93" s="9"/>
      <c r="O93" s="3"/>
    </row>
    <row r="94" spans="4:15" x14ac:dyDescent="0.25">
      <c r="D94" s="8"/>
      <c r="E94" s="8"/>
      <c r="F94" s="3"/>
      <c r="G94" s="9"/>
      <c r="O94" s="3"/>
    </row>
    <row r="95" spans="4:15" x14ac:dyDescent="0.25">
      <c r="D95" s="8"/>
      <c r="E95" s="8"/>
      <c r="F95" s="3"/>
      <c r="G95" s="9"/>
      <c r="O95" s="3"/>
    </row>
    <row r="96" spans="4:15" x14ac:dyDescent="0.25">
      <c r="D96" s="8"/>
      <c r="E96" s="8"/>
      <c r="F96" s="3"/>
      <c r="G96" s="9"/>
      <c r="O96" s="3"/>
    </row>
    <row r="97" spans="4:15" x14ac:dyDescent="0.25">
      <c r="D97" s="8"/>
      <c r="E97" s="8"/>
      <c r="F97" s="3"/>
      <c r="G97" s="9"/>
      <c r="O97" s="3"/>
    </row>
    <row r="98" spans="4:15" x14ac:dyDescent="0.25">
      <c r="D98" s="8"/>
      <c r="E98" s="8"/>
      <c r="F98" s="3"/>
      <c r="G98" s="9"/>
      <c r="O98" s="3"/>
    </row>
    <row r="99" spans="4:15" x14ac:dyDescent="0.25">
      <c r="D99" s="8"/>
      <c r="E99" s="8"/>
      <c r="F99" s="3"/>
      <c r="G99" s="9"/>
      <c r="O99" s="3"/>
    </row>
    <row r="100" spans="4:15" x14ac:dyDescent="0.25">
      <c r="D100" s="8"/>
      <c r="E100" s="8"/>
      <c r="F100" s="3"/>
      <c r="G100" s="9"/>
      <c r="O100" s="3"/>
    </row>
    <row r="101" spans="4:15" x14ac:dyDescent="0.25">
      <c r="D101" s="8"/>
      <c r="E101" s="8"/>
      <c r="F101" s="3"/>
      <c r="G101" s="9"/>
      <c r="O101" s="3"/>
    </row>
    <row r="102" spans="4:15" x14ac:dyDescent="0.25">
      <c r="D102" s="8"/>
      <c r="E102" s="8"/>
      <c r="F102" s="3"/>
      <c r="O102" s="3"/>
    </row>
    <row r="103" spans="4:15" x14ac:dyDescent="0.25">
      <c r="D103" s="8"/>
      <c r="E103" s="8"/>
      <c r="F103" s="3"/>
      <c r="G103" s="9"/>
      <c r="O103" s="3"/>
    </row>
    <row r="104" spans="4:15" x14ac:dyDescent="0.25">
      <c r="D104" s="8"/>
      <c r="E104" s="8"/>
      <c r="F104" s="3"/>
      <c r="G104" s="9"/>
      <c r="O104" s="3"/>
    </row>
    <row r="105" spans="4:15" x14ac:dyDescent="0.25">
      <c r="D105" s="8"/>
      <c r="E105" s="8"/>
      <c r="F105" s="3"/>
      <c r="G105" s="9"/>
      <c r="O105" s="3"/>
    </row>
    <row r="106" spans="4:15" x14ac:dyDescent="0.25">
      <c r="D106" s="8"/>
      <c r="E106" s="8"/>
      <c r="F106" s="3"/>
      <c r="G106" s="9"/>
      <c r="O106" s="3"/>
    </row>
    <row r="107" spans="4:15" x14ac:dyDescent="0.25">
      <c r="D107" s="8"/>
      <c r="E107" s="8"/>
      <c r="F107" s="3"/>
      <c r="G107" s="9"/>
      <c r="O107" s="3"/>
    </row>
    <row r="108" spans="4:15" x14ac:dyDescent="0.25">
      <c r="D108" s="8"/>
      <c r="E108" s="8"/>
      <c r="F108" s="3"/>
      <c r="G108" s="9"/>
      <c r="O108" s="3"/>
    </row>
    <row r="109" spans="4:15" x14ac:dyDescent="0.25">
      <c r="D109" s="8"/>
      <c r="E109" s="8"/>
      <c r="F109" s="3"/>
      <c r="G109" s="9"/>
      <c r="O109" s="3"/>
    </row>
    <row r="110" spans="4:15" x14ac:dyDescent="0.25">
      <c r="D110" s="8"/>
      <c r="E110" s="8"/>
      <c r="F110" s="3"/>
      <c r="G110" s="9"/>
      <c r="O110" s="3"/>
    </row>
    <row r="111" spans="4:15" x14ac:dyDescent="0.25">
      <c r="D111" s="8"/>
      <c r="E111" s="8"/>
      <c r="F111" s="3"/>
      <c r="G111" s="9"/>
      <c r="O111" s="3"/>
    </row>
    <row r="112" spans="4:15" x14ac:dyDescent="0.25">
      <c r="D112" s="8"/>
      <c r="E112" s="8"/>
      <c r="F112" s="3"/>
      <c r="G112" s="9"/>
      <c r="O112" s="3"/>
    </row>
    <row r="113" spans="4:15" x14ac:dyDescent="0.25">
      <c r="D113" s="8"/>
      <c r="E113" s="8"/>
      <c r="F113" s="3"/>
      <c r="G113" s="9"/>
      <c r="O113" s="3"/>
    </row>
    <row r="114" spans="4:15" x14ac:dyDescent="0.25">
      <c r="D114" s="8"/>
      <c r="E114" s="8"/>
      <c r="F114" s="3"/>
      <c r="G114" s="9"/>
      <c r="O114" s="3"/>
    </row>
    <row r="115" spans="4:15" x14ac:dyDescent="0.25">
      <c r="D115" s="8"/>
      <c r="E115" s="8"/>
      <c r="F115" s="3"/>
      <c r="G115" s="9"/>
      <c r="O115" s="3"/>
    </row>
    <row r="116" spans="4:15" x14ac:dyDescent="0.25">
      <c r="D116" s="8"/>
      <c r="E116" s="8"/>
      <c r="F116" s="3"/>
      <c r="G116" s="9"/>
      <c r="O116" s="3"/>
    </row>
    <row r="117" spans="4:15" x14ac:dyDescent="0.25">
      <c r="D117" s="8"/>
      <c r="E117" s="8"/>
      <c r="F117" s="3"/>
      <c r="G117" s="9"/>
      <c r="O117" s="3"/>
    </row>
    <row r="118" spans="4:15" x14ac:dyDescent="0.25">
      <c r="D118" s="8"/>
      <c r="E118" s="8"/>
      <c r="F118" s="3"/>
      <c r="G118" s="9"/>
      <c r="O118" s="3"/>
    </row>
    <row r="119" spans="4:15" x14ac:dyDescent="0.25">
      <c r="D119" s="8"/>
      <c r="E119" s="8"/>
      <c r="F119" s="3"/>
      <c r="G119" s="9"/>
      <c r="O119" s="3"/>
    </row>
    <row r="120" spans="4:15" x14ac:dyDescent="0.25">
      <c r="D120" s="8"/>
      <c r="E120" s="8"/>
      <c r="F120" s="3"/>
      <c r="G120" s="9"/>
      <c r="O120" s="3"/>
    </row>
    <row r="121" spans="4:15" x14ac:dyDescent="0.25">
      <c r="D121" s="8"/>
      <c r="E121" s="8"/>
      <c r="F121" s="3"/>
      <c r="G121" s="9"/>
      <c r="O121" s="3"/>
    </row>
    <row r="122" spans="4:15" x14ac:dyDescent="0.25">
      <c r="D122" s="8"/>
      <c r="E122" s="8"/>
      <c r="F122" s="3"/>
      <c r="G122" s="9"/>
      <c r="O122" s="3"/>
    </row>
    <row r="123" spans="4:15" x14ac:dyDescent="0.25">
      <c r="D123" s="8"/>
      <c r="E123" s="8"/>
      <c r="F123" s="3"/>
      <c r="G123" s="9"/>
      <c r="O123" s="3"/>
    </row>
    <row r="124" spans="4:15" x14ac:dyDescent="0.25">
      <c r="D124" s="8"/>
      <c r="E124" s="8"/>
      <c r="F124" s="3"/>
      <c r="G124" s="9"/>
      <c r="O124" s="3"/>
    </row>
    <row r="125" spans="4:15" x14ac:dyDescent="0.25">
      <c r="D125" s="8"/>
      <c r="E125" s="8"/>
      <c r="F125" s="3"/>
      <c r="G125" s="9"/>
      <c r="O125" s="3"/>
    </row>
    <row r="126" spans="4:15" x14ac:dyDescent="0.25">
      <c r="D126" s="8"/>
      <c r="E126" s="8"/>
      <c r="F126" s="3"/>
      <c r="G126" s="9"/>
      <c r="O126" s="3"/>
    </row>
    <row r="127" spans="4:15" x14ac:dyDescent="0.25">
      <c r="D127" s="8"/>
      <c r="E127" s="8"/>
      <c r="F127" s="3"/>
      <c r="O127" s="3"/>
    </row>
    <row r="128" spans="4:15" x14ac:dyDescent="0.25">
      <c r="D128" s="8"/>
      <c r="E128" s="8"/>
      <c r="F128" s="3"/>
      <c r="G128" s="9"/>
      <c r="O128" s="3"/>
    </row>
    <row r="129" spans="4:15" x14ac:dyDescent="0.25">
      <c r="D129" s="8"/>
      <c r="E129" s="8"/>
      <c r="F129" s="3"/>
      <c r="G129" s="9"/>
      <c r="O129" s="3"/>
    </row>
    <row r="130" spans="4:15" x14ac:dyDescent="0.25">
      <c r="D130" s="8"/>
      <c r="E130" s="8"/>
      <c r="F130" s="3"/>
      <c r="G130" s="9"/>
      <c r="O130" s="3"/>
    </row>
    <row r="131" spans="4:15" x14ac:dyDescent="0.25">
      <c r="D131" s="8"/>
      <c r="E131" s="8"/>
      <c r="F131" s="3"/>
      <c r="G131" s="9"/>
      <c r="O131" s="3"/>
    </row>
    <row r="132" spans="4:15" x14ac:dyDescent="0.25">
      <c r="D132" s="8"/>
      <c r="E132" s="8"/>
      <c r="F132" s="3"/>
      <c r="G132" s="9"/>
      <c r="O132" s="3"/>
    </row>
    <row r="133" spans="4:15" x14ac:dyDescent="0.25">
      <c r="D133" s="8"/>
      <c r="E133" s="8"/>
      <c r="F133" s="3"/>
      <c r="G133" s="9"/>
      <c r="O133" s="3"/>
    </row>
    <row r="134" spans="4:15" x14ac:dyDescent="0.25">
      <c r="D134" s="8"/>
      <c r="E134" s="8"/>
      <c r="F134" s="3"/>
      <c r="G134" s="9"/>
      <c r="O134" s="3"/>
    </row>
    <row r="135" spans="4:15" x14ac:dyDescent="0.25">
      <c r="D135" s="8"/>
      <c r="E135" s="8"/>
      <c r="F135" s="3"/>
      <c r="G135" s="9"/>
      <c r="O135" s="3"/>
    </row>
    <row r="136" spans="4:15" x14ac:dyDescent="0.25">
      <c r="D136" s="8"/>
      <c r="E136" s="8"/>
      <c r="F136" s="3"/>
      <c r="G136" s="9"/>
      <c r="O136" s="3"/>
    </row>
    <row r="137" spans="4:15" x14ac:dyDescent="0.25">
      <c r="D137" s="8"/>
      <c r="E137" s="8"/>
      <c r="F137" s="3"/>
      <c r="G137" s="9"/>
      <c r="O137" s="3"/>
    </row>
    <row r="138" spans="4:15" x14ac:dyDescent="0.25">
      <c r="D138" s="8"/>
      <c r="E138" s="8"/>
      <c r="F138" s="3"/>
      <c r="G138" s="9"/>
      <c r="O138" s="3"/>
    </row>
    <row r="139" spans="4:15" x14ac:dyDescent="0.25">
      <c r="D139" s="8"/>
      <c r="E139" s="8"/>
      <c r="F139" s="3"/>
      <c r="G139" s="9"/>
      <c r="O139" s="3"/>
    </row>
    <row r="140" spans="4:15" x14ac:dyDescent="0.25">
      <c r="D140" s="8"/>
      <c r="E140" s="8"/>
      <c r="F140" s="3"/>
      <c r="G140" s="9"/>
      <c r="O140" s="3"/>
    </row>
    <row r="141" spans="4:15" x14ac:dyDescent="0.25">
      <c r="D141" s="8"/>
      <c r="E141" s="8"/>
      <c r="F141" s="3"/>
      <c r="G141" s="9"/>
      <c r="O141" s="3"/>
    </row>
    <row r="142" spans="4:15" x14ac:dyDescent="0.25">
      <c r="D142" s="8"/>
      <c r="E142" s="8"/>
      <c r="F142" s="3"/>
      <c r="G142" s="9"/>
      <c r="O142" s="3"/>
    </row>
    <row r="143" spans="4:15" x14ac:dyDescent="0.25">
      <c r="D143" s="8"/>
      <c r="E143" s="8"/>
      <c r="F143" s="3"/>
      <c r="G143" s="9"/>
      <c r="O143" s="3"/>
    </row>
    <row r="144" spans="4:15" x14ac:dyDescent="0.25">
      <c r="D144" s="8"/>
      <c r="E144" s="8"/>
      <c r="F144" s="3"/>
      <c r="G144" s="9"/>
      <c r="O144" s="3"/>
    </row>
    <row r="145" spans="4:15" x14ac:dyDescent="0.25">
      <c r="D145" s="8"/>
      <c r="E145" s="8"/>
      <c r="F145" s="3"/>
      <c r="G145" s="9"/>
      <c r="O145" s="3"/>
    </row>
    <row r="146" spans="4:15" x14ac:dyDescent="0.25">
      <c r="D146" s="8"/>
      <c r="E146" s="8"/>
      <c r="F146" s="3"/>
      <c r="G146" s="9"/>
      <c r="O146" s="3"/>
    </row>
    <row r="147" spans="4:15" x14ac:dyDescent="0.25">
      <c r="D147" s="8"/>
      <c r="E147" s="8"/>
      <c r="F147" s="3"/>
      <c r="G147" s="9"/>
      <c r="O147" s="3"/>
    </row>
    <row r="148" spans="4:15" x14ac:dyDescent="0.25">
      <c r="D148" s="8"/>
      <c r="E148" s="8"/>
      <c r="F148" s="3"/>
      <c r="G148" s="9"/>
      <c r="O148" s="3"/>
    </row>
    <row r="149" spans="4:15" x14ac:dyDescent="0.25">
      <c r="D149" s="8"/>
      <c r="E149" s="8"/>
      <c r="F149" s="3"/>
      <c r="G149" s="9"/>
      <c r="O149" s="3"/>
    </row>
    <row r="150" spans="4:15" x14ac:dyDescent="0.25">
      <c r="D150" s="8"/>
      <c r="E150" s="8"/>
      <c r="F150" s="3"/>
      <c r="G150" s="9"/>
      <c r="O150" s="3"/>
    </row>
    <row r="151" spans="4:15" x14ac:dyDescent="0.25">
      <c r="D151" s="8"/>
      <c r="E151" s="8"/>
      <c r="F151" s="3"/>
      <c r="G151" s="9"/>
      <c r="O151" s="3"/>
    </row>
    <row r="152" spans="4:15" x14ac:dyDescent="0.25">
      <c r="D152" s="8"/>
      <c r="E152" s="8"/>
      <c r="F152" s="3"/>
      <c r="O152" s="3"/>
    </row>
    <row r="153" spans="4:15" x14ac:dyDescent="0.25">
      <c r="D153" s="8"/>
      <c r="E153" s="8"/>
      <c r="F153" s="3"/>
      <c r="G153" s="9"/>
      <c r="O153" s="3"/>
    </row>
    <row r="154" spans="4:15" x14ac:dyDescent="0.25">
      <c r="D154" s="8"/>
      <c r="E154" s="8"/>
      <c r="F154" s="3"/>
      <c r="G154" s="9"/>
      <c r="O154" s="3"/>
    </row>
    <row r="155" spans="4:15" x14ac:dyDescent="0.25">
      <c r="D155" s="8"/>
      <c r="E155" s="8"/>
      <c r="F155" s="3"/>
      <c r="G155" s="9"/>
      <c r="O155" s="3"/>
    </row>
    <row r="156" spans="4:15" x14ac:dyDescent="0.25">
      <c r="D156" s="8"/>
      <c r="E156" s="8"/>
      <c r="F156" s="3"/>
      <c r="G156" s="9"/>
      <c r="O156" s="3"/>
    </row>
    <row r="157" spans="4:15" x14ac:dyDescent="0.25">
      <c r="D157" s="8"/>
      <c r="E157" s="8"/>
      <c r="F157" s="3"/>
      <c r="G157" s="9"/>
      <c r="O157" s="3"/>
    </row>
    <row r="158" spans="4:15" x14ac:dyDescent="0.25">
      <c r="D158" s="8"/>
      <c r="E158" s="8"/>
      <c r="F158" s="3"/>
      <c r="G158" s="9"/>
      <c r="O158" s="3"/>
    </row>
    <row r="159" spans="4:15" x14ac:dyDescent="0.25">
      <c r="D159" s="8"/>
      <c r="E159" s="8"/>
      <c r="F159" s="3"/>
      <c r="G159" s="9"/>
      <c r="O159" s="3"/>
    </row>
    <row r="160" spans="4:15" x14ac:dyDescent="0.25">
      <c r="D160" s="8"/>
      <c r="E160" s="8"/>
      <c r="F160" s="3"/>
      <c r="G160" s="9"/>
      <c r="O160" s="3"/>
    </row>
    <row r="161" spans="4:15" x14ac:dyDescent="0.25">
      <c r="D161" s="8"/>
      <c r="E161" s="8"/>
      <c r="F161" s="3"/>
      <c r="G161" s="9"/>
      <c r="O161" s="3"/>
    </row>
    <row r="162" spans="4:15" x14ac:dyDescent="0.25">
      <c r="D162" s="8"/>
      <c r="E162" s="8"/>
      <c r="F162" s="3"/>
      <c r="G162" s="9"/>
      <c r="O162" s="3"/>
    </row>
    <row r="163" spans="4:15" x14ac:dyDescent="0.25">
      <c r="D163" s="8"/>
      <c r="E163" s="8"/>
      <c r="F163" s="3"/>
      <c r="G163" s="9"/>
      <c r="O163" s="3"/>
    </row>
    <row r="164" spans="4:15" x14ac:dyDescent="0.25">
      <c r="D164" s="8"/>
      <c r="E164" s="8"/>
      <c r="F164" s="3"/>
      <c r="G164" s="9"/>
      <c r="O164" s="3"/>
    </row>
    <row r="165" spans="4:15" x14ac:dyDescent="0.25">
      <c r="D165" s="8"/>
      <c r="E165" s="8"/>
      <c r="F165" s="3"/>
      <c r="G165" s="9"/>
      <c r="O165" s="3"/>
    </row>
    <row r="166" spans="4:15" x14ac:dyDescent="0.25">
      <c r="D166" s="8"/>
      <c r="E166" s="8"/>
      <c r="F166" s="3"/>
      <c r="G166" s="9"/>
      <c r="O166" s="3"/>
    </row>
    <row r="167" spans="4:15" x14ac:dyDescent="0.25">
      <c r="D167" s="8"/>
      <c r="E167" s="8"/>
      <c r="F167" s="3"/>
      <c r="G167" s="9"/>
      <c r="O167" s="3"/>
    </row>
    <row r="168" spans="4:15" x14ac:dyDescent="0.25">
      <c r="D168" s="8"/>
      <c r="E168" s="8"/>
      <c r="F168" s="3"/>
      <c r="G168" s="9"/>
      <c r="O168" s="3"/>
    </row>
    <row r="169" spans="4:15" x14ac:dyDescent="0.25">
      <c r="D169" s="8"/>
      <c r="E169" s="8"/>
      <c r="F169" s="3"/>
      <c r="G169" s="9"/>
      <c r="O169" s="3"/>
    </row>
    <row r="170" spans="4:15" x14ac:dyDescent="0.25">
      <c r="D170" s="8"/>
      <c r="E170" s="8"/>
      <c r="F170" s="3"/>
      <c r="G170" s="9"/>
      <c r="O170" s="3"/>
    </row>
    <row r="171" spans="4:15" x14ac:dyDescent="0.25">
      <c r="D171" s="8"/>
      <c r="E171" s="8"/>
      <c r="F171" s="3"/>
      <c r="G171" s="9"/>
      <c r="O171" s="3"/>
    </row>
    <row r="172" spans="4:15" x14ac:dyDescent="0.25">
      <c r="D172" s="8"/>
      <c r="E172" s="8"/>
      <c r="F172" s="3"/>
      <c r="G172" s="9"/>
      <c r="O172" s="3"/>
    </row>
    <row r="173" spans="4:15" x14ac:dyDescent="0.25">
      <c r="D173" s="8"/>
      <c r="E173" s="8"/>
      <c r="F173" s="3"/>
      <c r="G173" s="9"/>
      <c r="O173" s="3"/>
    </row>
    <row r="174" spans="4:15" x14ac:dyDescent="0.25">
      <c r="D174" s="8"/>
      <c r="E174" s="8"/>
      <c r="F174" s="3"/>
      <c r="G174" s="9"/>
      <c r="O174" s="3"/>
    </row>
    <row r="175" spans="4:15" x14ac:dyDescent="0.25">
      <c r="D175" s="8"/>
      <c r="E175" s="8"/>
      <c r="F175" s="3"/>
      <c r="G175" s="9"/>
      <c r="O175" s="3"/>
    </row>
    <row r="176" spans="4:15" x14ac:dyDescent="0.25">
      <c r="D176" s="8"/>
      <c r="E176" s="8"/>
      <c r="F176" s="3"/>
      <c r="G176" s="9"/>
      <c r="O176" s="3"/>
    </row>
    <row r="177" spans="4:15" x14ac:dyDescent="0.25">
      <c r="D177" s="8"/>
      <c r="E177" s="8"/>
      <c r="F177" s="3"/>
      <c r="O177" s="3"/>
    </row>
    <row r="178" spans="4:15" x14ac:dyDescent="0.25">
      <c r="D178" s="8"/>
      <c r="E178" s="8"/>
      <c r="F178" s="3"/>
      <c r="G178" s="9"/>
      <c r="O178" s="3"/>
    </row>
    <row r="179" spans="4:15" x14ac:dyDescent="0.25">
      <c r="D179" s="8"/>
      <c r="E179" s="8"/>
      <c r="F179" s="3"/>
      <c r="G179" s="9"/>
      <c r="O179" s="3"/>
    </row>
    <row r="180" spans="4:15" x14ac:dyDescent="0.25">
      <c r="D180" s="8"/>
      <c r="E180" s="8"/>
      <c r="F180" s="3"/>
      <c r="G180" s="9"/>
      <c r="O180" s="3"/>
    </row>
    <row r="181" spans="4:15" x14ac:dyDescent="0.25">
      <c r="D181" s="8"/>
      <c r="E181" s="8"/>
      <c r="F181" s="3"/>
      <c r="G181" s="9"/>
      <c r="O181" s="3"/>
    </row>
    <row r="182" spans="4:15" x14ac:dyDescent="0.25">
      <c r="D182" s="8"/>
      <c r="E182" s="8"/>
      <c r="F182" s="3"/>
      <c r="G182" s="9"/>
      <c r="O182" s="3"/>
    </row>
    <row r="183" spans="4:15" x14ac:dyDescent="0.25">
      <c r="D183" s="8"/>
      <c r="E183" s="8"/>
      <c r="F183" s="3"/>
      <c r="G183" s="9"/>
      <c r="O183" s="3"/>
    </row>
    <row r="184" spans="4:15" x14ac:dyDescent="0.25">
      <c r="D184" s="8"/>
      <c r="E184" s="8"/>
      <c r="F184" s="3"/>
      <c r="G184" s="9"/>
      <c r="O184" s="3"/>
    </row>
    <row r="185" spans="4:15" x14ac:dyDescent="0.25">
      <c r="D185" s="8"/>
      <c r="E185" s="8"/>
      <c r="F185" s="3"/>
      <c r="G185" s="9"/>
      <c r="O185" s="3"/>
    </row>
    <row r="186" spans="4:15" x14ac:dyDescent="0.25">
      <c r="D186" s="8"/>
      <c r="E186" s="8"/>
      <c r="F186" s="3"/>
      <c r="G186" s="9"/>
      <c r="O186" s="3"/>
    </row>
    <row r="187" spans="4:15" x14ac:dyDescent="0.25">
      <c r="D187" s="8"/>
      <c r="E187" s="8"/>
      <c r="F187" s="3"/>
      <c r="G187" s="9"/>
      <c r="O187" s="3"/>
    </row>
    <row r="188" spans="4:15" x14ac:dyDescent="0.25">
      <c r="D188" s="8"/>
      <c r="E188" s="8"/>
      <c r="F188" s="3"/>
      <c r="G188" s="9"/>
      <c r="O188" s="3"/>
    </row>
    <row r="189" spans="4:15" x14ac:dyDescent="0.25">
      <c r="D189" s="8"/>
      <c r="E189" s="8"/>
      <c r="F189" s="3"/>
      <c r="G189" s="9"/>
      <c r="O189" s="3"/>
    </row>
    <row r="190" spans="4:15" x14ac:dyDescent="0.25">
      <c r="D190" s="8"/>
      <c r="E190" s="8"/>
      <c r="F190" s="3"/>
      <c r="G190" s="9"/>
      <c r="O190" s="3"/>
    </row>
    <row r="191" spans="4:15" x14ac:dyDescent="0.25">
      <c r="D191" s="8"/>
      <c r="E191" s="8"/>
      <c r="F191" s="3"/>
      <c r="G191" s="9"/>
      <c r="O191" s="3"/>
    </row>
    <row r="192" spans="4:15" x14ac:dyDescent="0.25">
      <c r="D192" s="8"/>
      <c r="E192" s="8"/>
      <c r="F192" s="3"/>
      <c r="G192" s="9"/>
      <c r="O192" s="3"/>
    </row>
    <row r="193" spans="4:15" x14ac:dyDescent="0.25">
      <c r="D193" s="8"/>
      <c r="E193" s="8"/>
      <c r="F193" s="3"/>
      <c r="G193" s="9"/>
      <c r="O193" s="3"/>
    </row>
    <row r="194" spans="4:15" x14ac:dyDescent="0.25">
      <c r="D194" s="8"/>
      <c r="E194" s="8"/>
      <c r="F194" s="3"/>
      <c r="G194" s="9"/>
      <c r="O194" s="3"/>
    </row>
    <row r="195" spans="4:15" x14ac:dyDescent="0.25">
      <c r="D195" s="8"/>
      <c r="E195" s="8"/>
      <c r="F195" s="3"/>
      <c r="G195" s="9"/>
      <c r="O195" s="3"/>
    </row>
    <row r="196" spans="4:15" x14ac:dyDescent="0.25">
      <c r="D196" s="8"/>
      <c r="E196" s="8"/>
      <c r="F196" s="3"/>
      <c r="G196" s="9"/>
      <c r="O196" s="3"/>
    </row>
    <row r="197" spans="4:15" x14ac:dyDescent="0.25">
      <c r="D197" s="8"/>
      <c r="E197" s="8"/>
      <c r="F197" s="3"/>
      <c r="G197" s="9"/>
      <c r="O197" s="3"/>
    </row>
    <row r="198" spans="4:15" x14ac:dyDescent="0.25">
      <c r="D198" s="8"/>
      <c r="E198" s="8"/>
      <c r="F198" s="3"/>
      <c r="G198" s="9"/>
      <c r="O198" s="3"/>
    </row>
    <row r="199" spans="4:15" x14ac:dyDescent="0.25">
      <c r="D199" s="8"/>
      <c r="E199" s="8"/>
      <c r="F199" s="3"/>
      <c r="G199" s="9"/>
      <c r="O199" s="3"/>
    </row>
    <row r="200" spans="4:15" x14ac:dyDescent="0.25">
      <c r="D200" s="8"/>
      <c r="E200" s="8"/>
      <c r="F200" s="3"/>
      <c r="G200" s="9"/>
      <c r="O200" s="3"/>
    </row>
    <row r="201" spans="4:15" x14ac:dyDescent="0.25">
      <c r="D201" s="8"/>
      <c r="E201" s="8"/>
      <c r="F201" s="3"/>
      <c r="G201" s="9"/>
      <c r="O201" s="3"/>
    </row>
    <row r="202" spans="4:15" x14ac:dyDescent="0.25">
      <c r="D202" s="8"/>
      <c r="E202" s="8"/>
      <c r="F202" s="3"/>
      <c r="O202" s="3"/>
    </row>
    <row r="203" spans="4:15" x14ac:dyDescent="0.25">
      <c r="D203" s="8"/>
      <c r="E203" s="8"/>
      <c r="F203" s="3"/>
      <c r="G203" s="9"/>
      <c r="O203" s="3"/>
    </row>
    <row r="204" spans="4:15" x14ac:dyDescent="0.25">
      <c r="D204" s="8"/>
      <c r="E204" s="8"/>
      <c r="F204" s="3"/>
      <c r="G204" s="9"/>
      <c r="O204" s="3"/>
    </row>
    <row r="205" spans="4:15" x14ac:dyDescent="0.25">
      <c r="D205" s="8"/>
      <c r="E205" s="8"/>
      <c r="F205" s="3"/>
      <c r="G205" s="9"/>
      <c r="O205" s="3"/>
    </row>
    <row r="206" spans="4:15" x14ac:dyDescent="0.25">
      <c r="D206" s="8"/>
      <c r="E206" s="8"/>
      <c r="F206" s="3"/>
      <c r="G206" s="9"/>
      <c r="O206" s="3"/>
    </row>
    <row r="207" spans="4:15" x14ac:dyDescent="0.25">
      <c r="D207" s="8"/>
      <c r="E207" s="8"/>
      <c r="F207" s="3"/>
      <c r="G207" s="9"/>
      <c r="O207" s="3"/>
    </row>
    <row r="208" spans="4:15" x14ac:dyDescent="0.25">
      <c r="D208" s="8"/>
      <c r="E208" s="8"/>
      <c r="F208" s="3"/>
      <c r="G208" s="9"/>
      <c r="O208" s="3"/>
    </row>
    <row r="209" spans="4:15" x14ac:dyDescent="0.25">
      <c r="D209" s="8"/>
      <c r="E209" s="8"/>
      <c r="F209" s="3"/>
      <c r="G209" s="9"/>
      <c r="O209" s="3"/>
    </row>
    <row r="210" spans="4:15" x14ac:dyDescent="0.25">
      <c r="D210" s="8"/>
      <c r="E210" s="8"/>
      <c r="F210" s="3"/>
      <c r="G210" s="9"/>
      <c r="O210" s="3"/>
    </row>
    <row r="211" spans="4:15" x14ac:dyDescent="0.25">
      <c r="D211" s="8"/>
      <c r="E211" s="8"/>
      <c r="F211" s="3"/>
      <c r="G211" s="9"/>
      <c r="O211" s="3"/>
    </row>
    <row r="212" spans="4:15" x14ac:dyDescent="0.25">
      <c r="D212" s="8"/>
      <c r="E212" s="8"/>
      <c r="F212" s="3"/>
      <c r="G212" s="9"/>
      <c r="O212" s="3"/>
    </row>
    <row r="213" spans="4:15" x14ac:dyDescent="0.25">
      <c r="D213" s="8"/>
      <c r="E213" s="8"/>
      <c r="F213" s="3"/>
      <c r="G213" s="9"/>
      <c r="O213" s="3"/>
    </row>
    <row r="214" spans="4:15" x14ac:dyDescent="0.25">
      <c r="D214" s="8"/>
      <c r="E214" s="8"/>
      <c r="F214" s="3"/>
      <c r="G214" s="9"/>
      <c r="O214" s="3"/>
    </row>
    <row r="215" spans="4:15" x14ac:dyDescent="0.25">
      <c r="D215" s="8"/>
      <c r="E215" s="8"/>
      <c r="F215" s="3"/>
      <c r="G215" s="9"/>
      <c r="O215" s="3"/>
    </row>
    <row r="216" spans="4:15" x14ac:dyDescent="0.25">
      <c r="D216" s="8"/>
      <c r="E216" s="8"/>
      <c r="F216" s="3"/>
      <c r="G216" s="9"/>
      <c r="O216" s="3"/>
    </row>
    <row r="217" spans="4:15" x14ac:dyDescent="0.25">
      <c r="D217" s="8"/>
      <c r="E217" s="8"/>
      <c r="F217" s="3"/>
      <c r="G217" s="9"/>
      <c r="O217" s="3"/>
    </row>
    <row r="218" spans="4:15" x14ac:dyDescent="0.25">
      <c r="D218" s="8"/>
      <c r="E218" s="8"/>
      <c r="F218" s="3"/>
      <c r="G218" s="9"/>
      <c r="O218" s="3"/>
    </row>
    <row r="219" spans="4:15" x14ac:dyDescent="0.25">
      <c r="D219" s="8"/>
      <c r="E219" s="8"/>
      <c r="F219" s="3"/>
      <c r="G219" s="9"/>
      <c r="O219" s="3"/>
    </row>
    <row r="220" spans="4:15" x14ac:dyDescent="0.25">
      <c r="D220" s="8"/>
      <c r="E220" s="8"/>
      <c r="F220" s="3"/>
      <c r="G220" s="9"/>
      <c r="O220" s="3"/>
    </row>
    <row r="221" spans="4:15" x14ac:dyDescent="0.25">
      <c r="D221" s="8"/>
      <c r="E221" s="8"/>
      <c r="F221" s="3"/>
      <c r="G221" s="9"/>
      <c r="O221" s="3"/>
    </row>
    <row r="222" spans="4:15" x14ac:dyDescent="0.25">
      <c r="D222" s="8"/>
      <c r="E222" s="8"/>
      <c r="F222" s="3"/>
      <c r="G222" s="9"/>
      <c r="O222" s="3"/>
    </row>
    <row r="223" spans="4:15" x14ac:dyDescent="0.25">
      <c r="D223" s="8"/>
      <c r="E223" s="8"/>
      <c r="F223" s="3"/>
      <c r="G223" s="9"/>
      <c r="O223" s="3"/>
    </row>
    <row r="224" spans="4:15" x14ac:dyDescent="0.25">
      <c r="D224" s="8"/>
      <c r="E224" s="8"/>
      <c r="F224" s="3"/>
      <c r="G224" s="9"/>
      <c r="O224" s="3"/>
    </row>
    <row r="225" spans="4:15" x14ac:dyDescent="0.25">
      <c r="D225" s="8"/>
      <c r="E225" s="8"/>
      <c r="F225" s="3"/>
      <c r="G225" s="9"/>
      <c r="O225" s="3"/>
    </row>
    <row r="226" spans="4:15" x14ac:dyDescent="0.25">
      <c r="D226" s="8"/>
      <c r="E226" s="8"/>
      <c r="F226" s="3"/>
      <c r="G226" s="9"/>
      <c r="O226" s="3"/>
    </row>
    <row r="227" spans="4:15" x14ac:dyDescent="0.25">
      <c r="D227" s="8"/>
      <c r="E227" s="8"/>
      <c r="F227" s="3"/>
      <c r="O227" s="3"/>
    </row>
    <row r="228" spans="4:15" x14ac:dyDescent="0.25">
      <c r="D228" s="8"/>
      <c r="E228" s="8"/>
      <c r="F228" s="3"/>
      <c r="G228" s="9"/>
      <c r="O228" s="3"/>
    </row>
    <row r="229" spans="4:15" x14ac:dyDescent="0.25">
      <c r="D229" s="8"/>
      <c r="E229" s="8"/>
      <c r="F229" s="3"/>
      <c r="G229" s="9"/>
      <c r="O229" s="3"/>
    </row>
    <row r="230" spans="4:15" x14ac:dyDescent="0.25">
      <c r="D230" s="8"/>
      <c r="E230" s="8"/>
      <c r="F230" s="3"/>
      <c r="G230" s="9"/>
      <c r="O230" s="3"/>
    </row>
    <row r="231" spans="4:15" x14ac:dyDescent="0.25">
      <c r="D231" s="8"/>
      <c r="E231" s="8"/>
      <c r="F231" s="3"/>
      <c r="G231" s="9"/>
      <c r="O231" s="3"/>
    </row>
    <row r="232" spans="4:15" x14ac:dyDescent="0.25">
      <c r="D232" s="8"/>
      <c r="E232" s="8"/>
      <c r="F232" s="3"/>
      <c r="G232" s="9"/>
      <c r="O232" s="3"/>
    </row>
    <row r="233" spans="4:15" x14ac:dyDescent="0.25">
      <c r="D233" s="8"/>
      <c r="E233" s="8"/>
      <c r="F233" s="3"/>
      <c r="G233" s="9"/>
      <c r="O233" s="3"/>
    </row>
    <row r="234" spans="4:15" x14ac:dyDescent="0.25">
      <c r="D234" s="8"/>
      <c r="E234" s="8"/>
      <c r="F234" s="3"/>
      <c r="G234" s="9"/>
      <c r="O234" s="3"/>
    </row>
    <row r="235" spans="4:15" x14ac:dyDescent="0.25">
      <c r="D235" s="8"/>
      <c r="E235" s="8"/>
      <c r="F235" s="3"/>
      <c r="G235" s="9"/>
      <c r="O235" s="3"/>
    </row>
    <row r="236" spans="4:15" x14ac:dyDescent="0.25">
      <c r="D236" s="8"/>
      <c r="E236" s="8"/>
      <c r="F236" s="3"/>
      <c r="G236" s="9"/>
      <c r="O236" s="3"/>
    </row>
    <row r="237" spans="4:15" x14ac:dyDescent="0.25">
      <c r="D237" s="8"/>
      <c r="E237" s="8"/>
      <c r="F237" s="3"/>
      <c r="G237" s="9"/>
      <c r="O237" s="3"/>
    </row>
    <row r="238" spans="4:15" x14ac:dyDescent="0.25">
      <c r="D238" s="8"/>
      <c r="E238" s="8"/>
      <c r="F238" s="3"/>
      <c r="G238" s="9"/>
      <c r="O238" s="3"/>
    </row>
    <row r="239" spans="4:15" x14ac:dyDescent="0.25">
      <c r="D239" s="8"/>
      <c r="E239" s="8"/>
      <c r="F239" s="3"/>
      <c r="G239" s="9"/>
      <c r="O239" s="3"/>
    </row>
    <row r="240" spans="4:15" x14ac:dyDescent="0.25">
      <c r="D240" s="8"/>
      <c r="E240" s="8"/>
      <c r="F240" s="3"/>
      <c r="G240" s="9"/>
      <c r="O240" s="3"/>
    </row>
    <row r="241" spans="4:15" x14ac:dyDescent="0.25">
      <c r="D241" s="8"/>
      <c r="E241" s="8"/>
      <c r="F241" s="3"/>
      <c r="G241" s="9"/>
      <c r="O241" s="3"/>
    </row>
    <row r="242" spans="4:15" x14ac:dyDescent="0.25">
      <c r="D242" s="8"/>
      <c r="E242" s="8"/>
      <c r="F242" s="3"/>
      <c r="G242" s="9"/>
      <c r="O242" s="3"/>
    </row>
    <row r="243" spans="4:15" x14ac:dyDescent="0.25">
      <c r="D243" s="8"/>
      <c r="E243" s="8"/>
      <c r="F243" s="3"/>
      <c r="G243" s="9"/>
      <c r="O243" s="3"/>
    </row>
    <row r="244" spans="4:15" x14ac:dyDescent="0.25">
      <c r="D244" s="8"/>
      <c r="E244" s="8"/>
      <c r="F244" s="3"/>
      <c r="G244" s="9"/>
      <c r="O244" s="3"/>
    </row>
    <row r="245" spans="4:15" x14ac:dyDescent="0.25">
      <c r="D245" s="8"/>
      <c r="E245" s="8"/>
      <c r="F245" s="3"/>
      <c r="G245" s="9"/>
      <c r="O245" s="3"/>
    </row>
    <row r="246" spans="4:15" x14ac:dyDescent="0.25">
      <c r="D246" s="8"/>
      <c r="E246" s="8"/>
      <c r="F246" s="3"/>
      <c r="G246" s="9"/>
      <c r="O246" s="3"/>
    </row>
    <row r="247" spans="4:15" x14ac:dyDescent="0.25">
      <c r="D247" s="8"/>
      <c r="E247" s="8"/>
      <c r="F247" s="3"/>
      <c r="G247" s="9"/>
      <c r="O247" s="3"/>
    </row>
    <row r="248" spans="4:15" x14ac:dyDescent="0.25">
      <c r="D248" s="8"/>
      <c r="E248" s="8"/>
      <c r="F248" s="3"/>
      <c r="G248" s="9"/>
      <c r="O248" s="3"/>
    </row>
    <row r="249" spans="4:15" x14ac:dyDescent="0.25">
      <c r="D249" s="8"/>
      <c r="E249" s="8"/>
      <c r="F249" s="3"/>
      <c r="G249" s="9"/>
      <c r="O249" s="3"/>
    </row>
    <row r="250" spans="4:15" x14ac:dyDescent="0.25">
      <c r="D250" s="8"/>
      <c r="E250" s="8"/>
      <c r="F250" s="3"/>
      <c r="G250" s="9"/>
      <c r="O250" s="3"/>
    </row>
    <row r="251" spans="4:15" x14ac:dyDescent="0.25">
      <c r="D251" s="8"/>
      <c r="E251" s="8"/>
      <c r="F251" s="3"/>
      <c r="G251" s="9"/>
      <c r="O251" s="3"/>
    </row>
    <row r="252" spans="4:15" x14ac:dyDescent="0.25">
      <c r="D252" s="8"/>
      <c r="E252" s="8"/>
      <c r="F252" s="3"/>
      <c r="O252" s="3"/>
    </row>
    <row r="253" spans="4:15" x14ac:dyDescent="0.25">
      <c r="D253" s="8"/>
      <c r="E253" s="8"/>
      <c r="F253" s="3"/>
      <c r="G253" s="9"/>
      <c r="O253" s="3"/>
    </row>
    <row r="254" spans="4:15" x14ac:dyDescent="0.25">
      <c r="D254" s="8"/>
      <c r="E254" s="8"/>
      <c r="F254" s="3"/>
      <c r="G254" s="9"/>
      <c r="O254" s="3"/>
    </row>
    <row r="255" spans="4:15" x14ac:dyDescent="0.25">
      <c r="D255" s="8"/>
      <c r="E255" s="8"/>
      <c r="F255" s="3"/>
      <c r="G255" s="9"/>
      <c r="O255" s="3"/>
    </row>
    <row r="256" spans="4:15" x14ac:dyDescent="0.25">
      <c r="D256" s="8"/>
      <c r="E256" s="8"/>
      <c r="F256" s="3"/>
      <c r="G256" s="9"/>
      <c r="O256" s="3"/>
    </row>
    <row r="257" spans="4:15" x14ac:dyDescent="0.25">
      <c r="D257" s="8"/>
      <c r="E257" s="8"/>
      <c r="F257" s="3"/>
      <c r="G257" s="9"/>
      <c r="O257" s="3"/>
    </row>
    <row r="258" spans="4:15" x14ac:dyDescent="0.25">
      <c r="D258" s="8"/>
      <c r="E258" s="8"/>
      <c r="F258" s="3"/>
      <c r="G258" s="9"/>
      <c r="O258" s="3"/>
    </row>
    <row r="259" spans="4:15" x14ac:dyDescent="0.25">
      <c r="D259" s="8"/>
      <c r="E259" s="8"/>
      <c r="F259" s="3"/>
      <c r="G259" s="9"/>
      <c r="O259" s="3"/>
    </row>
    <row r="260" spans="4:15" x14ac:dyDescent="0.25">
      <c r="D260" s="8"/>
      <c r="E260" s="8"/>
      <c r="F260" s="3"/>
      <c r="G260" s="9"/>
      <c r="O260" s="3"/>
    </row>
    <row r="261" spans="4:15" x14ac:dyDescent="0.25">
      <c r="D261" s="8"/>
      <c r="E261" s="8"/>
      <c r="F261" s="3"/>
      <c r="G261" s="9"/>
      <c r="O261" s="3"/>
    </row>
    <row r="262" spans="4:15" x14ac:dyDescent="0.25">
      <c r="D262" s="8"/>
      <c r="E262" s="8"/>
      <c r="F262" s="3"/>
      <c r="G262" s="9"/>
      <c r="O262" s="3"/>
    </row>
    <row r="263" spans="4:15" x14ac:dyDescent="0.25">
      <c r="D263" s="8"/>
      <c r="E263" s="8"/>
      <c r="F263" s="3"/>
      <c r="G263" s="9"/>
      <c r="O263" s="3"/>
    </row>
    <row r="264" spans="4:15" x14ac:dyDescent="0.25">
      <c r="D264" s="8"/>
      <c r="E264" s="8"/>
      <c r="F264" s="3"/>
      <c r="G264" s="9"/>
      <c r="O264" s="3"/>
    </row>
    <row r="265" spans="4:15" x14ac:dyDescent="0.25">
      <c r="D265" s="8"/>
      <c r="E265" s="8"/>
      <c r="F265" s="3"/>
      <c r="G265" s="9"/>
      <c r="O265" s="3"/>
    </row>
    <row r="266" spans="4:15" x14ac:dyDescent="0.25">
      <c r="D266" s="8"/>
      <c r="E266" s="8"/>
      <c r="F266" s="3"/>
      <c r="G266" s="9"/>
      <c r="O266" s="3"/>
    </row>
    <row r="267" spans="4:15" x14ac:dyDescent="0.25">
      <c r="D267" s="8"/>
      <c r="E267" s="8"/>
      <c r="F267" s="3"/>
      <c r="G267" s="9"/>
      <c r="O267" s="3"/>
    </row>
    <row r="268" spans="4:15" x14ac:dyDescent="0.25">
      <c r="D268" s="8"/>
      <c r="E268" s="8"/>
      <c r="F268" s="3"/>
      <c r="G268" s="9"/>
      <c r="O268" s="3"/>
    </row>
    <row r="269" spans="4:15" x14ac:dyDescent="0.25">
      <c r="D269" s="8"/>
      <c r="E269" s="8"/>
      <c r="F269" s="3"/>
      <c r="G269" s="9"/>
      <c r="O269" s="3"/>
    </row>
    <row r="270" spans="4:15" x14ac:dyDescent="0.25">
      <c r="D270" s="8"/>
      <c r="E270" s="8"/>
      <c r="F270" s="3"/>
      <c r="G270" s="9"/>
      <c r="O270" s="3"/>
    </row>
    <row r="271" spans="4:15" x14ac:dyDescent="0.25">
      <c r="D271" s="8"/>
      <c r="E271" s="8"/>
      <c r="F271" s="3"/>
      <c r="G271" s="9"/>
      <c r="O271" s="3"/>
    </row>
    <row r="272" spans="4:15" x14ac:dyDescent="0.25">
      <c r="D272" s="8"/>
      <c r="E272" s="8"/>
      <c r="F272" s="3"/>
      <c r="G272" s="9"/>
      <c r="O272" s="3"/>
    </row>
    <row r="273" spans="4:15" x14ac:dyDescent="0.25">
      <c r="D273" s="8"/>
      <c r="E273" s="8"/>
      <c r="F273" s="3"/>
      <c r="G273" s="9"/>
      <c r="O273" s="3"/>
    </row>
    <row r="274" spans="4:15" x14ac:dyDescent="0.25">
      <c r="D274" s="8"/>
      <c r="E274" s="8"/>
      <c r="F274" s="3"/>
      <c r="G274" s="9"/>
      <c r="O274" s="3"/>
    </row>
    <row r="275" spans="4:15" x14ac:dyDescent="0.25">
      <c r="D275" s="8"/>
      <c r="E275" s="8"/>
      <c r="F275" s="3"/>
      <c r="G275" s="9"/>
      <c r="O275" s="3"/>
    </row>
    <row r="276" spans="4:15" x14ac:dyDescent="0.25">
      <c r="D276" s="8"/>
      <c r="E276" s="8"/>
      <c r="F276" s="3"/>
      <c r="G276" s="9"/>
      <c r="O276" s="3"/>
    </row>
    <row r="277" spans="4:15" x14ac:dyDescent="0.25">
      <c r="D277" s="8"/>
      <c r="E277" s="8"/>
      <c r="F277" s="3"/>
      <c r="O277" s="3"/>
    </row>
    <row r="278" spans="4:15" x14ac:dyDescent="0.25">
      <c r="D278" s="8"/>
      <c r="E278" s="8"/>
      <c r="F278" s="3"/>
      <c r="G278" s="9"/>
      <c r="O278" s="3"/>
    </row>
    <row r="279" spans="4:15" x14ac:dyDescent="0.25">
      <c r="D279" s="8"/>
      <c r="E279" s="8"/>
      <c r="F279" s="3"/>
      <c r="G279" s="9"/>
      <c r="O279" s="3"/>
    </row>
    <row r="280" spans="4:15" x14ac:dyDescent="0.25">
      <c r="D280" s="8"/>
      <c r="E280" s="8"/>
      <c r="F280" s="3"/>
      <c r="G280" s="9"/>
      <c r="O280" s="3"/>
    </row>
    <row r="281" spans="4:15" x14ac:dyDescent="0.25">
      <c r="D281" s="8"/>
      <c r="E281" s="8"/>
      <c r="F281" s="3"/>
      <c r="G281" s="9"/>
      <c r="O281" s="3"/>
    </row>
    <row r="282" spans="4:15" x14ac:dyDescent="0.25">
      <c r="D282" s="8"/>
      <c r="E282" s="8"/>
      <c r="F282" s="3"/>
      <c r="G282" s="9"/>
      <c r="O282" s="3"/>
    </row>
    <row r="283" spans="4:15" x14ac:dyDescent="0.25">
      <c r="D283" s="8"/>
      <c r="E283" s="8"/>
      <c r="F283" s="3"/>
      <c r="G283" s="9"/>
      <c r="O283" s="3"/>
    </row>
    <row r="284" spans="4:15" x14ac:dyDescent="0.25">
      <c r="D284" s="8"/>
      <c r="E284" s="8"/>
      <c r="F284" s="3"/>
      <c r="G284" s="9"/>
      <c r="O284" s="3"/>
    </row>
    <row r="285" spans="4:15" x14ac:dyDescent="0.25">
      <c r="D285" s="8"/>
      <c r="E285" s="8"/>
      <c r="F285" s="3"/>
      <c r="G285" s="9"/>
      <c r="O285" s="3"/>
    </row>
    <row r="286" spans="4:15" x14ac:dyDescent="0.25">
      <c r="D286" s="8"/>
      <c r="E286" s="8"/>
      <c r="F286" s="3"/>
      <c r="G286" s="9"/>
      <c r="O286" s="3"/>
    </row>
    <row r="287" spans="4:15" x14ac:dyDescent="0.25">
      <c r="D287" s="8"/>
      <c r="E287" s="8"/>
      <c r="F287" s="3"/>
      <c r="G287" s="9"/>
      <c r="O287" s="3"/>
    </row>
    <row r="288" spans="4:15" x14ac:dyDescent="0.25">
      <c r="D288" s="8"/>
      <c r="E288" s="8"/>
      <c r="F288" s="3"/>
      <c r="G288" s="9"/>
      <c r="O288" s="3"/>
    </row>
    <row r="289" spans="4:15" x14ac:dyDescent="0.25">
      <c r="D289" s="8"/>
      <c r="E289" s="8"/>
      <c r="F289" s="3"/>
      <c r="G289" s="9"/>
      <c r="O289" s="3"/>
    </row>
    <row r="290" spans="4:15" x14ac:dyDescent="0.25">
      <c r="D290" s="8"/>
      <c r="E290" s="8"/>
      <c r="F290" s="3"/>
      <c r="G290" s="9"/>
      <c r="O290" s="3"/>
    </row>
    <row r="291" spans="4:15" x14ac:dyDescent="0.25">
      <c r="D291" s="8"/>
      <c r="E291" s="8"/>
      <c r="F291" s="3"/>
      <c r="G291" s="9"/>
      <c r="O291" s="3"/>
    </row>
    <row r="292" spans="4:15" x14ac:dyDescent="0.25">
      <c r="D292" s="8"/>
      <c r="E292" s="8"/>
      <c r="F292" s="3"/>
      <c r="G292" s="9"/>
      <c r="O292" s="3"/>
    </row>
    <row r="293" spans="4:15" x14ac:dyDescent="0.25">
      <c r="D293" s="8"/>
      <c r="E293" s="8"/>
      <c r="F293" s="3"/>
      <c r="G293" s="9"/>
      <c r="O293" s="3"/>
    </row>
    <row r="294" spans="4:15" x14ac:dyDescent="0.25">
      <c r="D294" s="8"/>
      <c r="E294" s="8"/>
      <c r="F294" s="3"/>
      <c r="G294" s="9"/>
      <c r="O294" s="3"/>
    </row>
    <row r="295" spans="4:15" x14ac:dyDescent="0.25">
      <c r="D295" s="8"/>
      <c r="E295" s="8"/>
      <c r="F295" s="3"/>
      <c r="G295" s="9"/>
      <c r="O295" s="3"/>
    </row>
    <row r="296" spans="4:15" x14ac:dyDescent="0.25">
      <c r="D296" s="8"/>
      <c r="E296" s="8"/>
      <c r="F296" s="3"/>
      <c r="G296" s="9"/>
      <c r="O296" s="3"/>
    </row>
    <row r="297" spans="4:15" x14ac:dyDescent="0.25">
      <c r="D297" s="8"/>
      <c r="E297" s="8"/>
      <c r="F297" s="3"/>
      <c r="G297" s="9"/>
      <c r="O297" s="3"/>
    </row>
    <row r="298" spans="4:15" x14ac:dyDescent="0.25">
      <c r="D298" s="8"/>
      <c r="E298" s="8"/>
      <c r="F298" s="3"/>
      <c r="G298" s="9"/>
      <c r="O298" s="3"/>
    </row>
    <row r="299" spans="4:15" x14ac:dyDescent="0.25">
      <c r="D299" s="8"/>
      <c r="E299" s="8"/>
      <c r="F299" s="3"/>
      <c r="G299" s="9"/>
      <c r="O299" s="3"/>
    </row>
    <row r="300" spans="4:15" x14ac:dyDescent="0.25">
      <c r="D300" s="8"/>
      <c r="E300" s="8"/>
      <c r="F300" s="3"/>
      <c r="G300" s="9"/>
      <c r="O300" s="3"/>
    </row>
    <row r="301" spans="4:15" x14ac:dyDescent="0.25">
      <c r="D301" s="8"/>
      <c r="E301" s="8"/>
      <c r="F301" s="3"/>
      <c r="G301" s="9"/>
      <c r="O301" s="3"/>
    </row>
    <row r="302" spans="4:15" x14ac:dyDescent="0.25">
      <c r="D302" s="8"/>
      <c r="E302" s="8"/>
      <c r="F302" s="3"/>
      <c r="O302" s="3"/>
    </row>
    <row r="303" spans="4:15" x14ac:dyDescent="0.25">
      <c r="D303" s="8"/>
      <c r="E303" s="8"/>
      <c r="F303" s="3"/>
      <c r="G303" s="9"/>
      <c r="O303" s="3"/>
    </row>
    <row r="304" spans="4:15" x14ac:dyDescent="0.25">
      <c r="D304" s="8"/>
      <c r="E304" s="8"/>
      <c r="F304" s="3"/>
      <c r="G304" s="9"/>
      <c r="O304" s="3"/>
    </row>
    <row r="305" spans="4:15" x14ac:dyDescent="0.25">
      <c r="D305" s="8"/>
      <c r="E305" s="8"/>
      <c r="F305" s="3"/>
      <c r="G305" s="9"/>
      <c r="O305" s="3"/>
    </row>
    <row r="306" spans="4:15" x14ac:dyDescent="0.25">
      <c r="D306" s="8"/>
      <c r="E306" s="8"/>
      <c r="F306" s="3"/>
      <c r="G306" s="9"/>
      <c r="O306" s="3"/>
    </row>
    <row r="307" spans="4:15" x14ac:dyDescent="0.25">
      <c r="D307" s="8"/>
      <c r="E307" s="8"/>
      <c r="F307" s="3"/>
      <c r="G307" s="9"/>
      <c r="O307" s="3"/>
    </row>
    <row r="308" spans="4:15" x14ac:dyDescent="0.25">
      <c r="D308" s="8"/>
      <c r="E308" s="8"/>
      <c r="F308" s="3"/>
      <c r="G308" s="9"/>
      <c r="O308" s="3"/>
    </row>
    <row r="309" spans="4:15" x14ac:dyDescent="0.25">
      <c r="D309" s="8"/>
      <c r="E309" s="8"/>
      <c r="F309" s="3"/>
      <c r="G309" s="9"/>
      <c r="O309" s="3"/>
    </row>
    <row r="310" spans="4:15" x14ac:dyDescent="0.25">
      <c r="D310" s="8"/>
      <c r="E310" s="8"/>
      <c r="F310" s="3"/>
      <c r="G310" s="9"/>
      <c r="O310" s="3"/>
    </row>
    <row r="311" spans="4:15" x14ac:dyDescent="0.25">
      <c r="D311" s="8"/>
      <c r="E311" s="8"/>
      <c r="F311" s="3"/>
      <c r="G311" s="9"/>
      <c r="O311" s="3"/>
    </row>
    <row r="312" spans="4:15" x14ac:dyDescent="0.25">
      <c r="D312" s="8"/>
      <c r="E312" s="8"/>
      <c r="F312" s="3"/>
      <c r="G312" s="9"/>
      <c r="O312" s="3"/>
    </row>
    <row r="313" spans="4:15" x14ac:dyDescent="0.25">
      <c r="D313" s="8"/>
      <c r="E313" s="8"/>
      <c r="F313" s="3"/>
      <c r="G313" s="9"/>
      <c r="O313" s="3"/>
    </row>
    <row r="314" spans="4:15" x14ac:dyDescent="0.25">
      <c r="D314" s="8"/>
      <c r="E314" s="8"/>
      <c r="F314" s="3"/>
      <c r="G314" s="9"/>
      <c r="O314" s="3"/>
    </row>
    <row r="315" spans="4:15" x14ac:dyDescent="0.25">
      <c r="D315" s="8"/>
      <c r="E315" s="8"/>
      <c r="F315" s="3"/>
      <c r="G315" s="9"/>
      <c r="O315" s="3"/>
    </row>
    <row r="316" spans="4:15" x14ac:dyDescent="0.25">
      <c r="D316" s="8"/>
      <c r="E316" s="8"/>
      <c r="F316" s="3"/>
      <c r="G316" s="9"/>
      <c r="O316" s="3"/>
    </row>
    <row r="317" spans="4:15" x14ac:dyDescent="0.25">
      <c r="D317" s="8"/>
      <c r="E317" s="8"/>
      <c r="F317" s="3"/>
      <c r="G317" s="9"/>
      <c r="O317" s="3"/>
    </row>
    <row r="318" spans="4:15" x14ac:dyDescent="0.25">
      <c r="D318" s="8"/>
      <c r="E318" s="8"/>
      <c r="F318" s="3"/>
      <c r="G318" s="9"/>
      <c r="O318" s="3"/>
    </row>
    <row r="319" spans="4:15" x14ac:dyDescent="0.25">
      <c r="D319" s="8"/>
      <c r="E319" s="8"/>
      <c r="F319" s="3"/>
      <c r="G319" s="9"/>
      <c r="O319" s="3"/>
    </row>
    <row r="320" spans="4:15" x14ac:dyDescent="0.25">
      <c r="D320" s="8"/>
      <c r="E320" s="8"/>
      <c r="F320" s="3"/>
      <c r="G320" s="9"/>
      <c r="O320" s="3"/>
    </row>
    <row r="321" spans="4:15" x14ac:dyDescent="0.25">
      <c r="D321" s="8"/>
      <c r="E321" s="8"/>
      <c r="F321" s="3"/>
      <c r="G321" s="9"/>
      <c r="O321" s="3"/>
    </row>
    <row r="322" spans="4:15" x14ac:dyDescent="0.25">
      <c r="D322" s="8"/>
      <c r="E322" s="8"/>
      <c r="F322" s="3"/>
      <c r="G322" s="9"/>
      <c r="O322" s="3"/>
    </row>
    <row r="323" spans="4:15" x14ac:dyDescent="0.25">
      <c r="D323" s="8"/>
      <c r="E323" s="8"/>
      <c r="F323" s="3"/>
      <c r="G323" s="9"/>
      <c r="O323" s="3"/>
    </row>
    <row r="324" spans="4:15" x14ac:dyDescent="0.25">
      <c r="D324" s="8"/>
      <c r="E324" s="8"/>
      <c r="F324" s="3"/>
      <c r="G324" s="9"/>
      <c r="O324" s="3"/>
    </row>
    <row r="325" spans="4:15" x14ac:dyDescent="0.25">
      <c r="D325" s="8"/>
      <c r="E325" s="8"/>
      <c r="F325" s="3"/>
      <c r="G325" s="9"/>
      <c r="O325" s="3"/>
    </row>
    <row r="326" spans="4:15" x14ac:dyDescent="0.25">
      <c r="D326" s="8"/>
      <c r="E326" s="8"/>
      <c r="F326" s="3"/>
      <c r="G326" s="9"/>
      <c r="O326" s="3"/>
    </row>
    <row r="327" spans="4:15" x14ac:dyDescent="0.25">
      <c r="D327" s="8"/>
      <c r="E327" s="8"/>
      <c r="F327" s="3"/>
      <c r="O327" s="3"/>
    </row>
    <row r="328" spans="4:15" x14ac:dyDescent="0.25">
      <c r="D328" s="8"/>
      <c r="E328" s="8"/>
      <c r="F328" s="3"/>
      <c r="G328" s="9"/>
      <c r="O328" s="3"/>
    </row>
    <row r="329" spans="4:15" x14ac:dyDescent="0.25">
      <c r="D329" s="8"/>
      <c r="E329" s="8"/>
      <c r="F329" s="3"/>
      <c r="G329" s="9"/>
      <c r="O329" s="3"/>
    </row>
    <row r="330" spans="4:15" x14ac:dyDescent="0.25">
      <c r="D330" s="8"/>
      <c r="E330" s="8"/>
      <c r="F330" s="3"/>
      <c r="G330" s="9"/>
      <c r="O330" s="3"/>
    </row>
    <row r="331" spans="4:15" x14ac:dyDescent="0.25">
      <c r="D331" s="8"/>
      <c r="E331" s="8"/>
      <c r="F331" s="3"/>
      <c r="G331" s="9"/>
      <c r="O331" s="3"/>
    </row>
    <row r="332" spans="4:15" x14ac:dyDescent="0.25">
      <c r="D332" s="8"/>
      <c r="E332" s="8"/>
      <c r="F332" s="3"/>
      <c r="G332" s="9"/>
      <c r="O332" s="3"/>
    </row>
    <row r="333" spans="4:15" x14ac:dyDescent="0.25">
      <c r="D333" s="8"/>
      <c r="E333" s="8"/>
      <c r="F333" s="3"/>
      <c r="G333" s="9"/>
      <c r="O333" s="3"/>
    </row>
    <row r="334" spans="4:15" x14ac:dyDescent="0.25">
      <c r="D334" s="8"/>
      <c r="E334" s="8"/>
      <c r="F334" s="3"/>
      <c r="G334" s="9"/>
      <c r="O334" s="3"/>
    </row>
    <row r="335" spans="4:15" x14ac:dyDescent="0.25">
      <c r="D335" s="8"/>
      <c r="E335" s="8"/>
      <c r="F335" s="3"/>
      <c r="G335" s="9"/>
      <c r="O335" s="3"/>
    </row>
    <row r="336" spans="4:15" x14ac:dyDescent="0.25">
      <c r="D336" s="8"/>
      <c r="E336" s="8"/>
      <c r="F336" s="3"/>
      <c r="G336" s="9"/>
      <c r="O336" s="3"/>
    </row>
    <row r="337" spans="4:15" x14ac:dyDescent="0.25">
      <c r="D337" s="8"/>
      <c r="E337" s="8"/>
      <c r="F337" s="3"/>
      <c r="G337" s="9"/>
      <c r="O337" s="3"/>
    </row>
    <row r="338" spans="4:15" x14ac:dyDescent="0.25">
      <c r="D338" s="8"/>
      <c r="E338" s="8"/>
      <c r="F338" s="3"/>
      <c r="G338" s="9"/>
      <c r="O338" s="3"/>
    </row>
    <row r="339" spans="4:15" x14ac:dyDescent="0.25">
      <c r="D339" s="8"/>
      <c r="E339" s="8"/>
      <c r="F339" s="3"/>
      <c r="G339" s="9"/>
      <c r="O339" s="3"/>
    </row>
    <row r="340" spans="4:15" x14ac:dyDescent="0.25">
      <c r="D340" s="8"/>
      <c r="E340" s="8"/>
      <c r="F340" s="3"/>
      <c r="G340" s="9"/>
      <c r="O340" s="3"/>
    </row>
    <row r="341" spans="4:15" x14ac:dyDescent="0.25">
      <c r="D341" s="8"/>
      <c r="E341" s="8"/>
      <c r="F341" s="3"/>
      <c r="G341" s="9"/>
      <c r="O341" s="3"/>
    </row>
    <row r="342" spans="4:15" x14ac:dyDescent="0.25">
      <c r="D342" s="8"/>
      <c r="E342" s="8"/>
      <c r="F342" s="3"/>
      <c r="G342" s="9"/>
      <c r="O342" s="3"/>
    </row>
    <row r="343" spans="4:15" x14ac:dyDescent="0.25">
      <c r="D343" s="8"/>
      <c r="E343" s="8"/>
      <c r="F343" s="3"/>
      <c r="G343" s="9"/>
      <c r="O343" s="3"/>
    </row>
    <row r="344" spans="4:15" x14ac:dyDescent="0.25">
      <c r="D344" s="8"/>
      <c r="E344" s="8"/>
      <c r="F344" s="3"/>
      <c r="G344" s="9"/>
      <c r="O344" s="3"/>
    </row>
    <row r="345" spans="4:15" x14ac:dyDescent="0.25">
      <c r="D345" s="8"/>
      <c r="E345" s="8"/>
      <c r="F345" s="3"/>
      <c r="G345" s="9"/>
      <c r="O345" s="3"/>
    </row>
    <row r="346" spans="4:15" x14ac:dyDescent="0.25">
      <c r="D346" s="8"/>
      <c r="E346" s="8"/>
      <c r="F346" s="3"/>
      <c r="G346" s="9"/>
      <c r="O346" s="3"/>
    </row>
    <row r="347" spans="4:15" x14ac:dyDescent="0.25">
      <c r="D347" s="8"/>
      <c r="E347" s="8"/>
      <c r="F347" s="3"/>
      <c r="G347" s="9"/>
      <c r="O347" s="3"/>
    </row>
    <row r="348" spans="4:15" x14ac:dyDescent="0.25">
      <c r="D348" s="8"/>
      <c r="E348" s="8"/>
      <c r="F348" s="3"/>
      <c r="G348" s="9"/>
      <c r="O348" s="3"/>
    </row>
    <row r="349" spans="4:15" x14ac:dyDescent="0.25">
      <c r="D349" s="8"/>
      <c r="E349" s="8"/>
      <c r="F349" s="3"/>
      <c r="G349" s="9"/>
      <c r="O349" s="3"/>
    </row>
    <row r="350" spans="4:15" x14ac:dyDescent="0.25">
      <c r="D350" s="8"/>
      <c r="E350" s="8"/>
      <c r="F350" s="3"/>
      <c r="G350" s="9"/>
      <c r="O350" s="3"/>
    </row>
    <row r="351" spans="4:15" x14ac:dyDescent="0.25">
      <c r="D351" s="8"/>
      <c r="E351" s="8"/>
      <c r="F351" s="3"/>
      <c r="G351" s="9"/>
      <c r="O351" s="3"/>
    </row>
    <row r="352" spans="4:15" x14ac:dyDescent="0.25">
      <c r="D352" s="8"/>
      <c r="E352" s="8"/>
      <c r="F352" s="3"/>
      <c r="O352" s="3"/>
    </row>
    <row r="353" spans="4:15" x14ac:dyDescent="0.25">
      <c r="D353" s="8"/>
      <c r="E353" s="8"/>
      <c r="F353" s="3"/>
      <c r="G353" s="9"/>
      <c r="O353" s="3"/>
    </row>
    <row r="354" spans="4:15" x14ac:dyDescent="0.25">
      <c r="D354" s="8"/>
      <c r="E354" s="8"/>
      <c r="F354" s="3"/>
      <c r="G354" s="9"/>
      <c r="O354" s="3"/>
    </row>
    <row r="355" spans="4:15" x14ac:dyDescent="0.25">
      <c r="D355" s="8"/>
      <c r="E355" s="8"/>
      <c r="F355" s="3"/>
      <c r="G355" s="9"/>
      <c r="O355" s="3"/>
    </row>
    <row r="356" spans="4:15" x14ac:dyDescent="0.25">
      <c r="D356" s="8"/>
      <c r="E356" s="8"/>
      <c r="F356" s="3"/>
      <c r="G356" s="9"/>
      <c r="O356" s="3"/>
    </row>
    <row r="357" spans="4:15" x14ac:dyDescent="0.25">
      <c r="D357" s="8"/>
      <c r="E357" s="8"/>
      <c r="F357" s="3"/>
      <c r="G357" s="9"/>
      <c r="O357" s="3"/>
    </row>
    <row r="358" spans="4:15" x14ac:dyDescent="0.25">
      <c r="D358" s="8"/>
      <c r="E358" s="8"/>
      <c r="F358" s="3"/>
      <c r="G358" s="9"/>
      <c r="O358" s="3"/>
    </row>
    <row r="359" spans="4:15" x14ac:dyDescent="0.25">
      <c r="D359" s="8"/>
      <c r="E359" s="8"/>
      <c r="F359" s="3"/>
      <c r="G359" s="9"/>
      <c r="O359" s="3"/>
    </row>
    <row r="360" spans="4:15" x14ac:dyDescent="0.25">
      <c r="D360" s="8"/>
      <c r="E360" s="8"/>
      <c r="F360" s="3"/>
      <c r="G360" s="9"/>
      <c r="O360" s="3"/>
    </row>
    <row r="361" spans="4:15" x14ac:dyDescent="0.25">
      <c r="D361" s="8"/>
      <c r="E361" s="8"/>
      <c r="F361" s="3"/>
      <c r="G361" s="9"/>
      <c r="O361" s="3"/>
    </row>
    <row r="362" spans="4:15" x14ac:dyDescent="0.25">
      <c r="D362" s="8"/>
      <c r="E362" s="8"/>
      <c r="F362" s="3"/>
      <c r="G362" s="9"/>
      <c r="O362" s="3"/>
    </row>
    <row r="363" spans="4:15" x14ac:dyDescent="0.25">
      <c r="D363" s="8"/>
      <c r="E363" s="8"/>
      <c r="F363" s="3"/>
      <c r="G363" s="9"/>
      <c r="O363" s="3"/>
    </row>
    <row r="364" spans="4:15" x14ac:dyDescent="0.25">
      <c r="D364" s="8"/>
      <c r="E364" s="8"/>
      <c r="F364" s="3"/>
      <c r="G364" s="9"/>
      <c r="O364" s="3"/>
    </row>
    <row r="365" spans="4:15" x14ac:dyDescent="0.25">
      <c r="D365" s="8"/>
      <c r="E365" s="8"/>
      <c r="F365" s="3"/>
      <c r="G365" s="9"/>
      <c r="O365" s="3"/>
    </row>
    <row r="366" spans="4:15" x14ac:dyDescent="0.25">
      <c r="D366" s="8"/>
      <c r="E366" s="8"/>
      <c r="F366" s="3"/>
      <c r="G366" s="9"/>
      <c r="O366" s="3"/>
    </row>
    <row r="367" spans="4:15" x14ac:dyDescent="0.25">
      <c r="D367" s="8"/>
      <c r="E367" s="8"/>
      <c r="F367" s="3"/>
      <c r="G367" s="9"/>
      <c r="O367" s="3"/>
    </row>
    <row r="368" spans="4:15" x14ac:dyDescent="0.25">
      <c r="D368" s="8"/>
      <c r="E368" s="8"/>
      <c r="F368" s="3"/>
      <c r="G368" s="9"/>
      <c r="O368" s="3"/>
    </row>
    <row r="369" spans="4:15" x14ac:dyDescent="0.25">
      <c r="D369" s="8"/>
      <c r="E369" s="8"/>
      <c r="F369" s="3"/>
      <c r="G369" s="9"/>
      <c r="O369" s="3"/>
    </row>
    <row r="370" spans="4:15" x14ac:dyDescent="0.25">
      <c r="D370" s="8"/>
      <c r="E370" s="8"/>
      <c r="F370" s="3"/>
      <c r="G370" s="9"/>
      <c r="O370" s="3"/>
    </row>
    <row r="371" spans="4:15" x14ac:dyDescent="0.25">
      <c r="D371" s="8"/>
      <c r="E371" s="8"/>
      <c r="F371" s="3"/>
      <c r="G371" s="9"/>
      <c r="O371" s="3"/>
    </row>
    <row r="372" spans="4:15" x14ac:dyDescent="0.25">
      <c r="D372" s="8"/>
      <c r="E372" s="8"/>
      <c r="F372" s="3"/>
      <c r="G372" s="9"/>
      <c r="O372" s="3"/>
    </row>
    <row r="373" spans="4:15" x14ac:dyDescent="0.25">
      <c r="D373" s="8"/>
      <c r="E373" s="8"/>
      <c r="F373" s="3"/>
      <c r="G373" s="9"/>
      <c r="O373" s="3"/>
    </row>
    <row r="374" spans="4:15" x14ac:dyDescent="0.25">
      <c r="D374" s="8"/>
      <c r="E374" s="8"/>
      <c r="F374" s="3"/>
      <c r="G374" s="9"/>
      <c r="O374" s="3"/>
    </row>
    <row r="375" spans="4:15" x14ac:dyDescent="0.25">
      <c r="D375" s="8"/>
      <c r="E375" s="8"/>
      <c r="F375" s="3"/>
      <c r="G375" s="9"/>
      <c r="O375" s="3"/>
    </row>
    <row r="376" spans="4:15" x14ac:dyDescent="0.25">
      <c r="D376" s="8"/>
      <c r="E376" s="8"/>
      <c r="F376" s="3"/>
      <c r="G376" s="9"/>
      <c r="O376" s="3"/>
    </row>
    <row r="377" spans="4:15" x14ac:dyDescent="0.25">
      <c r="D377" s="8"/>
      <c r="E377" s="8"/>
      <c r="F377" s="3"/>
      <c r="O377" s="3"/>
    </row>
    <row r="378" spans="4:15" x14ac:dyDescent="0.25">
      <c r="D378" s="8"/>
      <c r="E378" s="8"/>
      <c r="F378" s="3"/>
      <c r="G378" s="9"/>
      <c r="O378" s="3"/>
    </row>
    <row r="379" spans="4:15" x14ac:dyDescent="0.25">
      <c r="D379" s="8"/>
      <c r="E379" s="8"/>
      <c r="F379" s="3"/>
      <c r="G379" s="9"/>
      <c r="O379" s="3"/>
    </row>
    <row r="380" spans="4:15" x14ac:dyDescent="0.25">
      <c r="D380" s="8"/>
      <c r="E380" s="8"/>
      <c r="F380" s="3"/>
      <c r="G380" s="9"/>
      <c r="O380" s="3"/>
    </row>
    <row r="381" spans="4:15" x14ac:dyDescent="0.25">
      <c r="D381" s="8"/>
      <c r="E381" s="8"/>
      <c r="F381" s="3"/>
      <c r="G381" s="9"/>
      <c r="O381" s="3"/>
    </row>
    <row r="382" spans="4:15" x14ac:dyDescent="0.25">
      <c r="D382" s="8"/>
      <c r="E382" s="8"/>
      <c r="F382" s="3"/>
      <c r="G382" s="9"/>
      <c r="O382" s="3"/>
    </row>
    <row r="383" spans="4:15" x14ac:dyDescent="0.25">
      <c r="D383" s="8"/>
      <c r="E383" s="8"/>
      <c r="F383" s="3"/>
      <c r="G383" s="9"/>
      <c r="O383" s="3"/>
    </row>
    <row r="384" spans="4:15" x14ac:dyDescent="0.25">
      <c r="D384" s="8"/>
      <c r="E384" s="8"/>
      <c r="F384" s="3"/>
      <c r="G384" s="9"/>
      <c r="O384" s="3"/>
    </row>
    <row r="385" spans="4:15" x14ac:dyDescent="0.25">
      <c r="D385" s="8"/>
      <c r="E385" s="8"/>
      <c r="F385" s="3"/>
      <c r="G385" s="9"/>
      <c r="O385" s="3"/>
    </row>
    <row r="386" spans="4:15" x14ac:dyDescent="0.25">
      <c r="D386" s="8"/>
      <c r="E386" s="8"/>
      <c r="F386" s="3"/>
      <c r="G386" s="9"/>
      <c r="O386" s="3"/>
    </row>
    <row r="387" spans="4:15" x14ac:dyDescent="0.25">
      <c r="D387" s="8"/>
      <c r="E387" s="8"/>
      <c r="F387" s="3"/>
      <c r="G387" s="9"/>
      <c r="O387" s="3"/>
    </row>
    <row r="388" spans="4:15" x14ac:dyDescent="0.25">
      <c r="D388" s="8"/>
      <c r="E388" s="8"/>
      <c r="F388" s="3"/>
      <c r="G388" s="9"/>
      <c r="O388" s="3"/>
    </row>
    <row r="389" spans="4:15" x14ac:dyDescent="0.25">
      <c r="D389" s="8"/>
      <c r="E389" s="8"/>
      <c r="F389" s="3"/>
      <c r="G389" s="9"/>
      <c r="O389" s="3"/>
    </row>
    <row r="390" spans="4:15" x14ac:dyDescent="0.25">
      <c r="D390" s="8"/>
      <c r="E390" s="8"/>
      <c r="F390" s="3"/>
      <c r="G390" s="9"/>
      <c r="O390" s="3"/>
    </row>
    <row r="391" spans="4:15" x14ac:dyDescent="0.25">
      <c r="D391" s="8"/>
      <c r="E391" s="8"/>
      <c r="F391" s="3"/>
      <c r="G391" s="9"/>
      <c r="O391" s="3"/>
    </row>
    <row r="392" spans="4:15" x14ac:dyDescent="0.25">
      <c r="D392" s="8"/>
      <c r="E392" s="8"/>
      <c r="F392" s="3"/>
      <c r="G392" s="9"/>
      <c r="O392" s="3"/>
    </row>
    <row r="393" spans="4:15" x14ac:dyDescent="0.25">
      <c r="D393" s="8"/>
      <c r="E393" s="8"/>
      <c r="F393" s="3"/>
      <c r="G393" s="9"/>
      <c r="O393" s="3"/>
    </row>
    <row r="394" spans="4:15" x14ac:dyDescent="0.25">
      <c r="D394" s="8"/>
      <c r="E394" s="8"/>
      <c r="F394" s="3"/>
      <c r="G394" s="9"/>
      <c r="O394" s="3"/>
    </row>
    <row r="395" spans="4:15" x14ac:dyDescent="0.25">
      <c r="D395" s="8"/>
      <c r="E395" s="8"/>
      <c r="F395" s="3"/>
      <c r="G395" s="9"/>
      <c r="O395" s="3"/>
    </row>
    <row r="396" spans="4:15" x14ac:dyDescent="0.25">
      <c r="D396" s="8"/>
      <c r="E396" s="8"/>
      <c r="F396" s="3"/>
      <c r="G396" s="9"/>
      <c r="O396" s="3"/>
    </row>
    <row r="397" spans="4:15" x14ac:dyDescent="0.25">
      <c r="D397" s="8"/>
      <c r="E397" s="8"/>
      <c r="F397" s="3"/>
      <c r="G397" s="9"/>
      <c r="O397" s="3"/>
    </row>
    <row r="398" spans="4:15" x14ac:dyDescent="0.25">
      <c r="D398" s="8"/>
      <c r="E398" s="8"/>
      <c r="F398" s="3"/>
      <c r="G398" s="9"/>
      <c r="O398" s="3"/>
    </row>
    <row r="399" spans="4:15" x14ac:dyDescent="0.25">
      <c r="D399" s="8"/>
      <c r="E399" s="8"/>
      <c r="F399" s="3"/>
      <c r="G399" s="9"/>
      <c r="O399" s="3"/>
    </row>
    <row r="400" spans="4:15" x14ac:dyDescent="0.25">
      <c r="D400" s="8"/>
      <c r="E400" s="8"/>
      <c r="F400" s="3"/>
      <c r="G400" s="9"/>
      <c r="O400" s="3"/>
    </row>
    <row r="401" spans="4:15" x14ac:dyDescent="0.25">
      <c r="D401" s="8"/>
      <c r="E401" s="8"/>
      <c r="F401" s="3"/>
      <c r="G401" s="9"/>
      <c r="O401" s="3"/>
    </row>
    <row r="402" spans="4:15" x14ac:dyDescent="0.25">
      <c r="D402" s="8"/>
      <c r="E402" s="8"/>
      <c r="F402" s="3"/>
      <c r="O402" s="3"/>
    </row>
    <row r="403" spans="4:15" x14ac:dyDescent="0.25">
      <c r="D403" s="8"/>
      <c r="E403" s="8"/>
      <c r="F403" s="3"/>
      <c r="G403" s="9"/>
      <c r="O403" s="3"/>
    </row>
    <row r="404" spans="4:15" x14ac:dyDescent="0.25">
      <c r="D404" s="8"/>
      <c r="E404" s="8"/>
      <c r="F404" s="3"/>
      <c r="G404" s="9"/>
      <c r="O404" s="3"/>
    </row>
    <row r="405" spans="4:15" x14ac:dyDescent="0.25">
      <c r="D405" s="8"/>
      <c r="E405" s="8"/>
      <c r="F405" s="3"/>
      <c r="G405" s="9"/>
      <c r="O405" s="3"/>
    </row>
    <row r="406" spans="4:15" x14ac:dyDescent="0.25">
      <c r="D406" s="8"/>
      <c r="E406" s="8"/>
      <c r="F406" s="3"/>
      <c r="G406" s="9"/>
      <c r="O406" s="3"/>
    </row>
    <row r="407" spans="4:15" x14ac:dyDescent="0.25">
      <c r="D407" s="8"/>
      <c r="E407" s="8"/>
      <c r="F407" s="3"/>
      <c r="G407" s="9"/>
      <c r="O407" s="3"/>
    </row>
    <row r="408" spans="4:15" x14ac:dyDescent="0.25">
      <c r="D408" s="8"/>
      <c r="E408" s="8"/>
      <c r="F408" s="3"/>
      <c r="G408" s="9"/>
      <c r="O408" s="3"/>
    </row>
    <row r="409" spans="4:15" x14ac:dyDescent="0.25">
      <c r="D409" s="8"/>
      <c r="E409" s="8"/>
      <c r="F409" s="3"/>
      <c r="G409" s="9"/>
      <c r="O409" s="3"/>
    </row>
    <row r="410" spans="4:15" x14ac:dyDescent="0.25">
      <c r="D410" s="8"/>
      <c r="E410" s="8"/>
      <c r="F410" s="3"/>
      <c r="G410" s="9"/>
      <c r="O410" s="3"/>
    </row>
    <row r="411" spans="4:15" x14ac:dyDescent="0.25">
      <c r="D411" s="8"/>
      <c r="E411" s="8"/>
      <c r="F411" s="3"/>
      <c r="G411" s="9"/>
      <c r="O411" s="3"/>
    </row>
    <row r="412" spans="4:15" x14ac:dyDescent="0.25">
      <c r="D412" s="8"/>
      <c r="E412" s="8"/>
      <c r="F412" s="3"/>
      <c r="G412" s="9"/>
      <c r="O412" s="3"/>
    </row>
    <row r="413" spans="4:15" x14ac:dyDescent="0.25">
      <c r="D413" s="8"/>
      <c r="E413" s="8"/>
      <c r="F413" s="3"/>
      <c r="G413" s="9"/>
      <c r="O413" s="3"/>
    </row>
    <row r="414" spans="4:15" x14ac:dyDescent="0.25">
      <c r="D414" s="8"/>
      <c r="E414" s="8"/>
      <c r="F414" s="3"/>
      <c r="G414" s="9"/>
      <c r="O414" s="3"/>
    </row>
    <row r="415" spans="4:15" x14ac:dyDescent="0.25">
      <c r="D415" s="8"/>
      <c r="E415" s="8"/>
      <c r="F415" s="3"/>
      <c r="G415" s="9"/>
      <c r="O415" s="3"/>
    </row>
    <row r="416" spans="4:15" x14ac:dyDescent="0.25">
      <c r="D416" s="8"/>
      <c r="E416" s="8"/>
      <c r="F416" s="3"/>
      <c r="G416" s="9"/>
      <c r="O416" s="3"/>
    </row>
    <row r="417" spans="4:15" x14ac:dyDescent="0.25">
      <c r="D417" s="8"/>
      <c r="E417" s="8"/>
      <c r="F417" s="3"/>
      <c r="G417" s="9"/>
      <c r="O417" s="3"/>
    </row>
    <row r="418" spans="4:15" x14ac:dyDescent="0.25">
      <c r="D418" s="8"/>
      <c r="E418" s="8"/>
      <c r="F418" s="3"/>
      <c r="G418" s="9"/>
      <c r="O418" s="3"/>
    </row>
    <row r="419" spans="4:15" x14ac:dyDescent="0.25">
      <c r="D419" s="8"/>
      <c r="E419" s="8"/>
      <c r="F419" s="3"/>
      <c r="G419" s="9"/>
      <c r="O419" s="3"/>
    </row>
    <row r="420" spans="4:15" x14ac:dyDescent="0.25">
      <c r="D420" s="8"/>
      <c r="E420" s="8"/>
      <c r="F420" s="3"/>
      <c r="G420" s="9"/>
      <c r="O420" s="3"/>
    </row>
    <row r="421" spans="4:15" x14ac:dyDescent="0.25">
      <c r="D421" s="8"/>
      <c r="E421" s="8"/>
      <c r="F421" s="3"/>
      <c r="G421" s="9"/>
      <c r="O421" s="3"/>
    </row>
    <row r="422" spans="4:15" x14ac:dyDescent="0.25">
      <c r="D422" s="8"/>
      <c r="E422" s="8"/>
      <c r="F422" s="3"/>
      <c r="G422" s="9"/>
      <c r="O422" s="3"/>
    </row>
    <row r="423" spans="4:15" x14ac:dyDescent="0.25">
      <c r="D423" s="8"/>
      <c r="E423" s="8"/>
      <c r="F423" s="3"/>
      <c r="G423" s="9"/>
      <c r="O423" s="3"/>
    </row>
    <row r="424" spans="4:15" x14ac:dyDescent="0.25">
      <c r="D424" s="8"/>
      <c r="E424" s="8"/>
      <c r="F424" s="3"/>
      <c r="G424" s="9"/>
      <c r="O424" s="3"/>
    </row>
    <row r="425" spans="4:15" x14ac:dyDescent="0.25">
      <c r="D425" s="8"/>
      <c r="E425" s="8"/>
      <c r="F425" s="3"/>
      <c r="G425" s="9"/>
      <c r="O425" s="3"/>
    </row>
    <row r="426" spans="4:15" x14ac:dyDescent="0.25">
      <c r="D426" s="8"/>
      <c r="E426" s="8"/>
      <c r="F426" s="3"/>
      <c r="G426" s="9"/>
      <c r="O426" s="3"/>
    </row>
    <row r="427" spans="4:15" x14ac:dyDescent="0.25">
      <c r="D427" s="8"/>
      <c r="E427" s="8"/>
      <c r="F427" s="3"/>
      <c r="O427" s="3"/>
    </row>
    <row r="428" spans="4:15" x14ac:dyDescent="0.25">
      <c r="D428" s="8"/>
      <c r="E428" s="8"/>
      <c r="F428" s="3"/>
      <c r="G428" s="9"/>
      <c r="O428" s="3"/>
    </row>
    <row r="429" spans="4:15" x14ac:dyDescent="0.25">
      <c r="D429" s="8"/>
      <c r="E429" s="8"/>
      <c r="F429" s="3"/>
      <c r="G429" s="9"/>
      <c r="O429" s="3"/>
    </row>
    <row r="430" spans="4:15" x14ac:dyDescent="0.25">
      <c r="D430" s="8"/>
      <c r="E430" s="8"/>
      <c r="F430" s="3"/>
      <c r="G430" s="9"/>
      <c r="O430" s="3"/>
    </row>
    <row r="431" spans="4:15" x14ac:dyDescent="0.25">
      <c r="D431" s="8"/>
      <c r="E431" s="8"/>
      <c r="F431" s="3"/>
      <c r="G431" s="9"/>
      <c r="O431" s="3"/>
    </row>
    <row r="432" spans="4:15" x14ac:dyDescent="0.25">
      <c r="D432" s="8"/>
      <c r="E432" s="8"/>
      <c r="F432" s="3"/>
      <c r="G432" s="9"/>
      <c r="O432" s="3"/>
    </row>
    <row r="433" spans="4:15" x14ac:dyDescent="0.25">
      <c r="D433" s="8"/>
      <c r="E433" s="8"/>
      <c r="F433" s="3"/>
      <c r="G433" s="9"/>
      <c r="O433" s="3"/>
    </row>
    <row r="434" spans="4:15" x14ac:dyDescent="0.25">
      <c r="D434" s="8"/>
      <c r="E434" s="8"/>
      <c r="F434" s="3"/>
      <c r="G434" s="9"/>
      <c r="O434" s="3"/>
    </row>
    <row r="435" spans="4:15" x14ac:dyDescent="0.25">
      <c r="D435" s="8"/>
      <c r="E435" s="8"/>
      <c r="F435" s="3"/>
      <c r="G435" s="9"/>
      <c r="O435" s="3"/>
    </row>
    <row r="436" spans="4:15" x14ac:dyDescent="0.25">
      <c r="D436" s="8"/>
      <c r="E436" s="8"/>
      <c r="F436" s="3"/>
      <c r="G436" s="9"/>
      <c r="O436" s="3"/>
    </row>
    <row r="437" spans="4:15" x14ac:dyDescent="0.25">
      <c r="D437" s="8"/>
      <c r="E437" s="8"/>
      <c r="F437" s="3"/>
      <c r="G437" s="9"/>
      <c r="O437" s="3"/>
    </row>
    <row r="438" spans="4:15" x14ac:dyDescent="0.25">
      <c r="D438" s="8"/>
      <c r="E438" s="8"/>
      <c r="F438" s="3"/>
      <c r="G438" s="9"/>
      <c r="O438" s="3"/>
    </row>
    <row r="439" spans="4:15" x14ac:dyDescent="0.25">
      <c r="D439" s="8"/>
      <c r="E439" s="8"/>
      <c r="F439" s="3"/>
      <c r="G439" s="9"/>
      <c r="O439" s="3"/>
    </row>
    <row r="440" spans="4:15" x14ac:dyDescent="0.25">
      <c r="D440" s="8"/>
      <c r="E440" s="8"/>
      <c r="F440" s="3"/>
      <c r="G440" s="9"/>
      <c r="O440" s="3"/>
    </row>
    <row r="441" spans="4:15" x14ac:dyDescent="0.25">
      <c r="D441" s="8"/>
      <c r="E441" s="8"/>
      <c r="F441" s="3"/>
      <c r="G441" s="9"/>
      <c r="O441" s="3"/>
    </row>
    <row r="442" spans="4:15" x14ac:dyDescent="0.25">
      <c r="D442" s="8"/>
      <c r="E442" s="8"/>
      <c r="F442" s="3"/>
      <c r="G442" s="9"/>
      <c r="O442" s="3"/>
    </row>
    <row r="443" spans="4:15" x14ac:dyDescent="0.25">
      <c r="D443" s="8"/>
      <c r="E443" s="8"/>
      <c r="F443" s="3"/>
      <c r="G443" s="9"/>
      <c r="O443" s="3"/>
    </row>
    <row r="444" spans="4:15" x14ac:dyDescent="0.25">
      <c r="D444" s="8"/>
      <c r="E444" s="8"/>
      <c r="F444" s="3"/>
      <c r="G444" s="9"/>
      <c r="O444" s="3"/>
    </row>
    <row r="445" spans="4:15" x14ac:dyDescent="0.25">
      <c r="D445" s="8"/>
      <c r="E445" s="8"/>
      <c r="F445" s="3"/>
      <c r="G445" s="9"/>
      <c r="O445" s="3"/>
    </row>
    <row r="446" spans="4:15" x14ac:dyDescent="0.25">
      <c r="D446" s="8"/>
      <c r="E446" s="8"/>
      <c r="F446" s="3"/>
      <c r="G446" s="9"/>
      <c r="O446" s="3"/>
    </row>
    <row r="447" spans="4:15" x14ac:dyDescent="0.25">
      <c r="D447" s="8"/>
      <c r="E447" s="8"/>
      <c r="F447" s="3"/>
      <c r="G447" s="9"/>
      <c r="O447" s="3"/>
    </row>
    <row r="448" spans="4:15" x14ac:dyDescent="0.25">
      <c r="D448" s="8"/>
      <c r="E448" s="8"/>
      <c r="F448" s="3"/>
      <c r="G448" s="9"/>
      <c r="O448" s="3"/>
    </row>
    <row r="449" spans="4:15" x14ac:dyDescent="0.25">
      <c r="D449" s="8"/>
      <c r="E449" s="8"/>
      <c r="F449" s="3"/>
      <c r="G449" s="9"/>
      <c r="O449" s="3"/>
    </row>
    <row r="450" spans="4:15" x14ac:dyDescent="0.25">
      <c r="D450" s="8"/>
      <c r="E450" s="8"/>
      <c r="F450" s="3"/>
      <c r="G450" s="9"/>
      <c r="O450" s="3"/>
    </row>
    <row r="451" spans="4:15" x14ac:dyDescent="0.25">
      <c r="D451" s="8"/>
      <c r="E451" s="8"/>
      <c r="F451" s="3"/>
      <c r="G451" s="9"/>
      <c r="O451" s="3"/>
    </row>
    <row r="452" spans="4:15" x14ac:dyDescent="0.25">
      <c r="D452" s="8"/>
      <c r="E452" s="8"/>
      <c r="F452" s="3"/>
      <c r="O452" s="3"/>
    </row>
    <row r="453" spans="4:15" x14ac:dyDescent="0.25">
      <c r="D453" s="8"/>
      <c r="E453" s="8"/>
      <c r="F453" s="3"/>
      <c r="G453" s="9"/>
      <c r="O453" s="3"/>
    </row>
    <row r="454" spans="4:15" x14ac:dyDescent="0.25">
      <c r="D454" s="8"/>
      <c r="E454" s="8"/>
      <c r="F454" s="3"/>
      <c r="G454" s="9"/>
      <c r="O454" s="3"/>
    </row>
    <row r="455" spans="4:15" x14ac:dyDescent="0.25">
      <c r="D455" s="8"/>
      <c r="E455" s="8"/>
      <c r="F455" s="3"/>
      <c r="G455" s="9"/>
      <c r="O455" s="3"/>
    </row>
    <row r="456" spans="4:15" x14ac:dyDescent="0.25">
      <c r="D456" s="8"/>
      <c r="E456" s="8"/>
      <c r="F456" s="3"/>
      <c r="G456" s="9"/>
      <c r="O456" s="3"/>
    </row>
    <row r="457" spans="4:15" x14ac:dyDescent="0.25">
      <c r="D457" s="8"/>
      <c r="E457" s="8"/>
      <c r="F457" s="3"/>
      <c r="G457" s="9"/>
      <c r="O457" s="3"/>
    </row>
    <row r="458" spans="4:15" x14ac:dyDescent="0.25">
      <c r="D458" s="8"/>
      <c r="E458" s="8"/>
      <c r="F458" s="3"/>
      <c r="G458" s="9"/>
      <c r="O458" s="3"/>
    </row>
    <row r="459" spans="4:15" x14ac:dyDescent="0.25">
      <c r="D459" s="8"/>
      <c r="E459" s="8"/>
      <c r="F459" s="3"/>
      <c r="G459" s="9"/>
      <c r="O459" s="3"/>
    </row>
    <row r="460" spans="4:15" x14ac:dyDescent="0.25">
      <c r="D460" s="8"/>
      <c r="E460" s="8"/>
      <c r="F460" s="3"/>
      <c r="G460" s="9"/>
      <c r="O460" s="3"/>
    </row>
    <row r="461" spans="4:15" x14ac:dyDescent="0.25">
      <c r="D461" s="8"/>
      <c r="E461" s="8"/>
      <c r="F461" s="3"/>
      <c r="G461" s="9"/>
      <c r="O461" s="3"/>
    </row>
    <row r="462" spans="4:15" x14ac:dyDescent="0.25">
      <c r="D462" s="8"/>
      <c r="E462" s="8"/>
      <c r="F462" s="3"/>
      <c r="G462" s="9"/>
      <c r="O462" s="3"/>
    </row>
    <row r="463" spans="4:15" x14ac:dyDescent="0.25">
      <c r="D463" s="8"/>
      <c r="E463" s="8"/>
      <c r="F463" s="3"/>
      <c r="G463" s="9"/>
      <c r="O463" s="3"/>
    </row>
    <row r="464" spans="4:15" x14ac:dyDescent="0.25">
      <c r="D464" s="8"/>
      <c r="E464" s="8"/>
      <c r="F464" s="3"/>
      <c r="G464" s="9"/>
      <c r="O464" s="3"/>
    </row>
    <row r="465" spans="4:15" x14ac:dyDescent="0.25">
      <c r="D465" s="8"/>
      <c r="E465" s="8"/>
      <c r="F465" s="3"/>
      <c r="G465" s="9"/>
      <c r="O465" s="3"/>
    </row>
    <row r="466" spans="4:15" x14ac:dyDescent="0.25">
      <c r="D466" s="8"/>
      <c r="E466" s="8"/>
      <c r="F466" s="3"/>
      <c r="G466" s="9"/>
      <c r="O466" s="3"/>
    </row>
    <row r="467" spans="4:15" x14ac:dyDescent="0.25">
      <c r="D467" s="8"/>
      <c r="E467" s="8"/>
      <c r="F467" s="3"/>
      <c r="G467" s="9"/>
      <c r="O467" s="3"/>
    </row>
    <row r="468" spans="4:15" x14ac:dyDescent="0.25">
      <c r="D468" s="8"/>
      <c r="E468" s="8"/>
      <c r="F468" s="3"/>
      <c r="G468" s="9"/>
      <c r="O468" s="3"/>
    </row>
    <row r="469" spans="4:15" x14ac:dyDescent="0.25">
      <c r="D469" s="8"/>
      <c r="E469" s="8"/>
      <c r="F469" s="3"/>
      <c r="G469" s="9"/>
      <c r="O469" s="3"/>
    </row>
    <row r="470" spans="4:15" x14ac:dyDescent="0.25">
      <c r="D470" s="8"/>
      <c r="E470" s="8"/>
      <c r="F470" s="3"/>
      <c r="G470" s="9"/>
      <c r="O470" s="3"/>
    </row>
    <row r="471" spans="4:15" x14ac:dyDescent="0.25">
      <c r="D471" s="8"/>
      <c r="E471" s="8"/>
      <c r="F471" s="3"/>
      <c r="G471" s="9"/>
      <c r="O471" s="3"/>
    </row>
    <row r="472" spans="4:15" x14ac:dyDescent="0.25">
      <c r="D472" s="8"/>
      <c r="E472" s="8"/>
      <c r="F472" s="3"/>
      <c r="G472" s="9"/>
      <c r="O472" s="3"/>
    </row>
    <row r="473" spans="4:15" x14ac:dyDescent="0.25">
      <c r="D473" s="8"/>
      <c r="E473" s="8"/>
      <c r="F473" s="3"/>
      <c r="G473" s="9"/>
      <c r="O473" s="3"/>
    </row>
    <row r="474" spans="4:15" x14ac:dyDescent="0.25">
      <c r="D474" s="8"/>
      <c r="E474" s="8"/>
      <c r="F474" s="3"/>
      <c r="G474" s="9"/>
      <c r="O474" s="3"/>
    </row>
    <row r="475" spans="4:15" x14ac:dyDescent="0.25">
      <c r="D475" s="8"/>
      <c r="E475" s="8"/>
      <c r="F475" s="3"/>
      <c r="G475" s="9"/>
      <c r="O475" s="3"/>
    </row>
    <row r="476" spans="4:15" x14ac:dyDescent="0.25">
      <c r="D476" s="8"/>
      <c r="E476" s="8"/>
      <c r="F476" s="3"/>
      <c r="G476" s="9"/>
      <c r="O476" s="3"/>
    </row>
    <row r="477" spans="4:15" x14ac:dyDescent="0.25">
      <c r="D477" s="8"/>
      <c r="E477" s="8"/>
      <c r="F477" s="3"/>
      <c r="O477" s="3"/>
    </row>
    <row r="478" spans="4:15" x14ac:dyDescent="0.25">
      <c r="D478" s="8"/>
      <c r="E478" s="8"/>
      <c r="F478" s="3"/>
      <c r="G478" s="9"/>
      <c r="O478" s="3"/>
    </row>
    <row r="479" spans="4:15" x14ac:dyDescent="0.25">
      <c r="D479" s="8"/>
      <c r="E479" s="8"/>
      <c r="F479" s="3"/>
      <c r="G479" s="9"/>
      <c r="O479" s="3"/>
    </row>
    <row r="480" spans="4:15" x14ac:dyDescent="0.25">
      <c r="D480" s="8"/>
      <c r="E480" s="8"/>
      <c r="F480" s="3"/>
      <c r="G480" s="9"/>
      <c r="O480" s="3"/>
    </row>
    <row r="481" spans="4:15" x14ac:dyDescent="0.25">
      <c r="D481" s="8"/>
      <c r="E481" s="8"/>
      <c r="F481" s="3"/>
      <c r="G481" s="9"/>
      <c r="O481" s="3"/>
    </row>
    <row r="482" spans="4:15" x14ac:dyDescent="0.25">
      <c r="D482" s="8"/>
      <c r="E482" s="8"/>
      <c r="F482" s="3"/>
      <c r="G482" s="9"/>
      <c r="O482" s="3"/>
    </row>
    <row r="483" spans="4:15" x14ac:dyDescent="0.25">
      <c r="D483" s="8"/>
      <c r="E483" s="8"/>
      <c r="F483" s="3"/>
      <c r="G483" s="9"/>
      <c r="O483" s="3"/>
    </row>
    <row r="484" spans="4:15" x14ac:dyDescent="0.25">
      <c r="D484" s="8"/>
      <c r="E484" s="8"/>
      <c r="F484" s="3"/>
      <c r="G484" s="9"/>
      <c r="O484" s="3"/>
    </row>
    <row r="485" spans="4:15" x14ac:dyDescent="0.25">
      <c r="D485" s="8"/>
      <c r="E485" s="8"/>
      <c r="F485" s="3"/>
      <c r="G485" s="9"/>
      <c r="O485" s="3"/>
    </row>
    <row r="486" spans="4:15" x14ac:dyDescent="0.25">
      <c r="D486" s="8"/>
      <c r="E486" s="8"/>
      <c r="F486" s="3"/>
      <c r="G486" s="9"/>
      <c r="O486" s="3"/>
    </row>
    <row r="487" spans="4:15" x14ac:dyDescent="0.25">
      <c r="D487" s="8"/>
      <c r="E487" s="8"/>
      <c r="F487" s="3"/>
      <c r="G487" s="9"/>
      <c r="O487" s="3"/>
    </row>
    <row r="488" spans="4:15" x14ac:dyDescent="0.25">
      <c r="D488" s="8"/>
      <c r="E488" s="8"/>
      <c r="F488" s="3"/>
      <c r="G488" s="9"/>
      <c r="O488" s="3"/>
    </row>
    <row r="489" spans="4:15" x14ac:dyDescent="0.25">
      <c r="D489" s="8"/>
      <c r="E489" s="8"/>
      <c r="F489" s="3"/>
      <c r="G489" s="9"/>
      <c r="O489" s="3"/>
    </row>
    <row r="490" spans="4:15" x14ac:dyDescent="0.25">
      <c r="D490" s="8"/>
      <c r="E490" s="8"/>
      <c r="F490" s="3"/>
      <c r="G490" s="9"/>
      <c r="O490" s="3"/>
    </row>
    <row r="491" spans="4:15" x14ac:dyDescent="0.25">
      <c r="D491" s="8"/>
      <c r="E491" s="8"/>
      <c r="F491" s="3"/>
      <c r="G491" s="9"/>
      <c r="O491" s="3"/>
    </row>
    <row r="492" spans="4:15" x14ac:dyDescent="0.25">
      <c r="D492" s="8"/>
      <c r="E492" s="8"/>
      <c r="F492" s="3"/>
      <c r="G492" s="9"/>
      <c r="O492" s="3"/>
    </row>
    <row r="493" spans="4:15" x14ac:dyDescent="0.25">
      <c r="D493" s="8"/>
      <c r="E493" s="8"/>
      <c r="F493" s="3"/>
      <c r="G493" s="9"/>
      <c r="O493" s="3"/>
    </row>
    <row r="494" spans="4:15" x14ac:dyDescent="0.25">
      <c r="D494" s="8"/>
      <c r="E494" s="8"/>
      <c r="F494" s="3"/>
      <c r="G494" s="9"/>
      <c r="O494" s="3"/>
    </row>
    <row r="495" spans="4:15" x14ac:dyDescent="0.25">
      <c r="D495" s="8"/>
      <c r="E495" s="8"/>
      <c r="F495" s="3"/>
      <c r="G495" s="9"/>
      <c r="O495" s="3"/>
    </row>
    <row r="496" spans="4:15" x14ac:dyDescent="0.25">
      <c r="D496" s="8"/>
      <c r="E496" s="8"/>
      <c r="F496" s="3"/>
      <c r="G496" s="9"/>
      <c r="O496" s="3"/>
    </row>
    <row r="497" spans="4:15" x14ac:dyDescent="0.25">
      <c r="D497" s="8"/>
      <c r="E497" s="8"/>
      <c r="F497" s="3"/>
      <c r="G497" s="9"/>
      <c r="O497" s="3"/>
    </row>
    <row r="498" spans="4:15" x14ac:dyDescent="0.25">
      <c r="D498" s="8"/>
      <c r="E498" s="8"/>
      <c r="F498" s="3"/>
      <c r="G498" s="9"/>
      <c r="O498" s="3"/>
    </row>
    <row r="499" spans="4:15" x14ac:dyDescent="0.25">
      <c r="D499" s="8"/>
      <c r="E499" s="8"/>
      <c r="F499" s="3"/>
      <c r="G499" s="9"/>
      <c r="O499" s="3"/>
    </row>
    <row r="500" spans="4:15" x14ac:dyDescent="0.25">
      <c r="D500" s="8"/>
      <c r="E500" s="8"/>
      <c r="F500" s="3"/>
      <c r="G500" s="9"/>
      <c r="O500" s="3"/>
    </row>
    <row r="501" spans="4:15" x14ac:dyDescent="0.25">
      <c r="D501" s="8"/>
      <c r="E501" s="8"/>
      <c r="F501" s="3"/>
      <c r="G501" s="9"/>
      <c r="O501" s="3"/>
    </row>
    <row r="502" spans="4:15" x14ac:dyDescent="0.25">
      <c r="D502" s="8"/>
      <c r="E502" s="8"/>
      <c r="F502" s="3"/>
      <c r="O502" s="3"/>
    </row>
    <row r="503" spans="4:15" x14ac:dyDescent="0.25">
      <c r="D503" s="8"/>
      <c r="E503" s="8"/>
      <c r="F503" s="3"/>
      <c r="G503" s="9"/>
      <c r="O503" s="3"/>
    </row>
    <row r="504" spans="4:15" x14ac:dyDescent="0.25">
      <c r="D504" s="8"/>
      <c r="E504" s="8"/>
      <c r="F504" s="3"/>
      <c r="G504" s="9"/>
      <c r="O504" s="3"/>
    </row>
    <row r="505" spans="4:15" x14ac:dyDescent="0.25">
      <c r="D505" s="8"/>
      <c r="E505" s="8"/>
      <c r="F505" s="3"/>
      <c r="G505" s="9"/>
      <c r="O505" s="3"/>
    </row>
    <row r="506" spans="4:15" x14ac:dyDescent="0.25">
      <c r="D506" s="8"/>
      <c r="E506" s="8"/>
      <c r="F506" s="3"/>
      <c r="G506" s="9"/>
      <c r="O506" s="3"/>
    </row>
    <row r="507" spans="4:15" x14ac:dyDescent="0.25">
      <c r="D507" s="8"/>
      <c r="E507" s="8"/>
      <c r="F507" s="3"/>
      <c r="G507" s="9"/>
      <c r="O507" s="3"/>
    </row>
    <row r="508" spans="4:15" x14ac:dyDescent="0.25">
      <c r="D508" s="8"/>
      <c r="E508" s="8"/>
      <c r="F508" s="3"/>
      <c r="G508" s="9"/>
      <c r="O508" s="3"/>
    </row>
    <row r="509" spans="4:15" x14ac:dyDescent="0.25">
      <c r="D509" s="8"/>
      <c r="E509" s="8"/>
      <c r="F509" s="3"/>
      <c r="G509" s="9"/>
      <c r="O509" s="3"/>
    </row>
    <row r="510" spans="4:15" x14ac:dyDescent="0.25">
      <c r="D510" s="8"/>
      <c r="E510" s="8"/>
      <c r="F510" s="3"/>
      <c r="G510" s="9"/>
      <c r="O510" s="3"/>
    </row>
    <row r="511" spans="4:15" x14ac:dyDescent="0.25">
      <c r="D511" s="8"/>
      <c r="E511" s="8"/>
      <c r="F511" s="3"/>
      <c r="G511" s="9"/>
      <c r="O511" s="3"/>
    </row>
    <row r="512" spans="4:15" x14ac:dyDescent="0.25">
      <c r="D512" s="8"/>
      <c r="E512" s="8"/>
      <c r="F512" s="3"/>
      <c r="G512" s="9"/>
      <c r="O512" s="3"/>
    </row>
    <row r="513" spans="4:15" x14ac:dyDescent="0.25">
      <c r="D513" s="8"/>
      <c r="E513" s="8"/>
      <c r="F513" s="3"/>
      <c r="G513" s="9"/>
      <c r="O513" s="3"/>
    </row>
    <row r="514" spans="4:15" x14ac:dyDescent="0.25">
      <c r="D514" s="8"/>
      <c r="E514" s="8"/>
      <c r="F514" s="3"/>
      <c r="G514" s="9"/>
      <c r="O514" s="3"/>
    </row>
    <row r="515" spans="4:15" x14ac:dyDescent="0.25">
      <c r="D515" s="8"/>
      <c r="E515" s="8"/>
      <c r="F515" s="3"/>
      <c r="G515" s="9"/>
      <c r="O515" s="3"/>
    </row>
    <row r="516" spans="4:15" x14ac:dyDescent="0.25">
      <c r="D516" s="8"/>
      <c r="E516" s="8"/>
      <c r="F516" s="3"/>
      <c r="G516" s="9"/>
      <c r="O516" s="3"/>
    </row>
    <row r="517" spans="4:15" x14ac:dyDescent="0.25">
      <c r="D517" s="8"/>
      <c r="E517" s="8"/>
      <c r="F517" s="3"/>
      <c r="G517" s="9"/>
      <c r="O517" s="3"/>
    </row>
    <row r="518" spans="4:15" x14ac:dyDescent="0.25">
      <c r="D518" s="8"/>
      <c r="E518" s="8"/>
      <c r="F518" s="3"/>
      <c r="G518" s="9"/>
      <c r="O518" s="3"/>
    </row>
    <row r="519" spans="4:15" x14ac:dyDescent="0.25">
      <c r="D519" s="8"/>
      <c r="E519" s="8"/>
      <c r="F519" s="3"/>
      <c r="G519" s="9"/>
      <c r="O519" s="3"/>
    </row>
    <row r="520" spans="4:15" x14ac:dyDescent="0.25">
      <c r="D520" s="8"/>
      <c r="E520" s="8"/>
      <c r="F520" s="3"/>
      <c r="G520" s="9"/>
      <c r="O520" s="3"/>
    </row>
    <row r="521" spans="4:15" x14ac:dyDescent="0.25">
      <c r="D521" s="8"/>
      <c r="E521" s="8"/>
      <c r="F521" s="3"/>
      <c r="G521" s="9"/>
      <c r="O521" s="3"/>
    </row>
    <row r="522" spans="4:15" x14ac:dyDescent="0.25">
      <c r="D522" s="8"/>
      <c r="E522" s="8"/>
      <c r="F522" s="3"/>
      <c r="G522" s="9"/>
      <c r="O522" s="3"/>
    </row>
    <row r="523" spans="4:15" x14ac:dyDescent="0.25">
      <c r="D523" s="8"/>
      <c r="E523" s="8"/>
      <c r="F523" s="3"/>
      <c r="G523" s="9"/>
      <c r="O523" s="3"/>
    </row>
    <row r="524" spans="4:15" x14ac:dyDescent="0.25">
      <c r="D524" s="8"/>
      <c r="E524" s="8"/>
      <c r="F524" s="3"/>
      <c r="G524" s="9"/>
      <c r="O524" s="3"/>
    </row>
    <row r="525" spans="4:15" x14ac:dyDescent="0.25">
      <c r="D525" s="8"/>
      <c r="E525" s="8"/>
      <c r="F525" s="3"/>
      <c r="G525" s="9"/>
      <c r="O525" s="3"/>
    </row>
    <row r="526" spans="4:15" x14ac:dyDescent="0.25">
      <c r="D526" s="8"/>
      <c r="E526" s="8"/>
      <c r="F526" s="3"/>
      <c r="G526" s="9"/>
      <c r="O526" s="3"/>
    </row>
    <row r="527" spans="4:15" x14ac:dyDescent="0.25">
      <c r="D527" s="8"/>
      <c r="E527" s="8"/>
      <c r="F527" s="3"/>
      <c r="O527" s="3"/>
    </row>
    <row r="528" spans="4:15" x14ac:dyDescent="0.25">
      <c r="D528" s="8"/>
      <c r="E528" s="8"/>
      <c r="F528" s="3"/>
      <c r="G528" s="9"/>
      <c r="O528" s="3"/>
    </row>
    <row r="529" spans="4:15" x14ac:dyDescent="0.25">
      <c r="D529" s="8"/>
      <c r="E529" s="8"/>
      <c r="F529" s="3"/>
      <c r="G529" s="9"/>
      <c r="O529" s="3"/>
    </row>
    <row r="530" spans="4:15" x14ac:dyDescent="0.25">
      <c r="D530" s="8"/>
      <c r="E530" s="8"/>
      <c r="F530" s="3"/>
      <c r="G530" s="9"/>
      <c r="O530" s="3"/>
    </row>
    <row r="531" spans="4:15" x14ac:dyDescent="0.25">
      <c r="D531" s="8"/>
      <c r="E531" s="8"/>
      <c r="F531" s="3"/>
      <c r="G531" s="9"/>
      <c r="O531" s="3"/>
    </row>
    <row r="532" spans="4:15" x14ac:dyDescent="0.25">
      <c r="D532" s="8"/>
      <c r="E532" s="8"/>
      <c r="F532" s="3"/>
      <c r="G532" s="9"/>
      <c r="O532" s="3"/>
    </row>
    <row r="533" spans="4:15" x14ac:dyDescent="0.25">
      <c r="D533" s="8"/>
      <c r="E533" s="8"/>
      <c r="F533" s="3"/>
      <c r="G533" s="9"/>
      <c r="O533" s="3"/>
    </row>
    <row r="534" spans="4:15" x14ac:dyDescent="0.25">
      <c r="D534" s="8"/>
      <c r="E534" s="8"/>
      <c r="F534" s="3"/>
      <c r="G534" s="9"/>
      <c r="O534" s="3"/>
    </row>
    <row r="535" spans="4:15" x14ac:dyDescent="0.25">
      <c r="D535" s="8"/>
      <c r="E535" s="8"/>
      <c r="F535" s="3"/>
      <c r="G535" s="9"/>
      <c r="O535" s="3"/>
    </row>
    <row r="536" spans="4:15" x14ac:dyDescent="0.25">
      <c r="D536" s="8"/>
      <c r="E536" s="8"/>
      <c r="F536" s="3"/>
      <c r="G536" s="9"/>
      <c r="O536" s="3"/>
    </row>
    <row r="537" spans="4:15" x14ac:dyDescent="0.25">
      <c r="D537" s="8"/>
      <c r="E537" s="8"/>
      <c r="F537" s="3"/>
      <c r="G537" s="9"/>
      <c r="O537" s="3"/>
    </row>
    <row r="538" spans="4:15" x14ac:dyDescent="0.25">
      <c r="D538" s="8"/>
      <c r="E538" s="8"/>
      <c r="F538" s="3"/>
      <c r="G538" s="9"/>
      <c r="O538" s="3"/>
    </row>
    <row r="539" spans="4:15" x14ac:dyDescent="0.25">
      <c r="D539" s="8"/>
      <c r="E539" s="8"/>
      <c r="F539" s="3"/>
      <c r="G539" s="9"/>
      <c r="O539" s="3"/>
    </row>
    <row r="540" spans="4:15" x14ac:dyDescent="0.25">
      <c r="D540" s="8"/>
      <c r="E540" s="8"/>
      <c r="F540" s="3"/>
      <c r="G540" s="9"/>
      <c r="O540" s="3"/>
    </row>
    <row r="541" spans="4:15" x14ac:dyDescent="0.25">
      <c r="D541" s="8"/>
      <c r="E541" s="8"/>
      <c r="F541" s="3"/>
      <c r="G541" s="9"/>
      <c r="O541" s="3"/>
    </row>
    <row r="542" spans="4:15" x14ac:dyDescent="0.25">
      <c r="D542" s="8"/>
      <c r="E542" s="8"/>
      <c r="F542" s="3"/>
      <c r="G542" s="9"/>
      <c r="O542" s="3"/>
    </row>
    <row r="543" spans="4:15" x14ac:dyDescent="0.25">
      <c r="D543" s="8"/>
      <c r="E543" s="8"/>
      <c r="F543" s="3"/>
      <c r="G543" s="9"/>
      <c r="O543" s="3"/>
    </row>
    <row r="544" spans="4:15" x14ac:dyDescent="0.25">
      <c r="D544" s="8"/>
      <c r="E544" s="8"/>
      <c r="F544" s="3"/>
      <c r="G544" s="9"/>
      <c r="O544" s="3"/>
    </row>
    <row r="545" spans="4:15" x14ac:dyDescent="0.25">
      <c r="D545" s="8"/>
      <c r="E545" s="8"/>
      <c r="F545" s="3"/>
      <c r="G545" s="9"/>
      <c r="O545" s="3"/>
    </row>
    <row r="546" spans="4:15" x14ac:dyDescent="0.25">
      <c r="D546" s="8"/>
      <c r="E546" s="8"/>
      <c r="F546" s="3"/>
      <c r="G546" s="9"/>
      <c r="O546" s="3"/>
    </row>
    <row r="547" spans="4:15" x14ac:dyDescent="0.25">
      <c r="D547" s="8"/>
      <c r="E547" s="8"/>
      <c r="F547" s="3"/>
      <c r="G547" s="9"/>
      <c r="O547" s="3"/>
    </row>
    <row r="548" spans="4:15" x14ac:dyDescent="0.25">
      <c r="D548" s="8"/>
      <c r="E548" s="8"/>
      <c r="F548" s="3"/>
      <c r="G548" s="9"/>
      <c r="O548" s="3"/>
    </row>
    <row r="549" spans="4:15" x14ac:dyDescent="0.25">
      <c r="D549" s="8"/>
      <c r="E549" s="8"/>
      <c r="F549" s="3"/>
      <c r="G549" s="9"/>
      <c r="O549" s="3"/>
    </row>
    <row r="550" spans="4:15" x14ac:dyDescent="0.25">
      <c r="D550" s="8"/>
      <c r="E550" s="8"/>
      <c r="F550" s="3"/>
      <c r="G550" s="9"/>
      <c r="O550" s="3"/>
    </row>
    <row r="551" spans="4:15" x14ac:dyDescent="0.25">
      <c r="D551" s="8"/>
      <c r="E551" s="8"/>
      <c r="F551" s="3"/>
      <c r="G551" s="9"/>
      <c r="O551" s="3"/>
    </row>
    <row r="552" spans="4:15" x14ac:dyDescent="0.25">
      <c r="D552" s="8"/>
      <c r="E552" s="8"/>
      <c r="F552" s="3"/>
      <c r="O552" s="3"/>
    </row>
    <row r="553" spans="4:15" x14ac:dyDescent="0.25">
      <c r="D553" s="8"/>
      <c r="E553" s="8"/>
      <c r="F553" s="3"/>
      <c r="G553" s="9"/>
      <c r="O553" s="3"/>
    </row>
    <row r="554" spans="4:15" x14ac:dyDescent="0.25">
      <c r="D554" s="8"/>
      <c r="E554" s="8"/>
      <c r="F554" s="3"/>
      <c r="G554" s="9"/>
      <c r="O554" s="3"/>
    </row>
    <row r="555" spans="4:15" x14ac:dyDescent="0.25">
      <c r="D555" s="8"/>
      <c r="E555" s="8"/>
      <c r="F555" s="3"/>
      <c r="G555" s="9"/>
      <c r="O555" s="3"/>
    </row>
    <row r="556" spans="4:15" x14ac:dyDescent="0.25">
      <c r="D556" s="8"/>
      <c r="E556" s="8"/>
      <c r="F556" s="3"/>
      <c r="G556" s="9"/>
      <c r="O556" s="3"/>
    </row>
    <row r="557" spans="4:15" x14ac:dyDescent="0.25">
      <c r="D557" s="8"/>
      <c r="E557" s="8"/>
      <c r="F557" s="3"/>
      <c r="G557" s="9"/>
      <c r="O557" s="3"/>
    </row>
    <row r="558" spans="4:15" x14ac:dyDescent="0.25">
      <c r="D558" s="8"/>
      <c r="E558" s="8"/>
      <c r="F558" s="3"/>
      <c r="G558" s="9"/>
      <c r="O558" s="3"/>
    </row>
    <row r="559" spans="4:15" x14ac:dyDescent="0.25">
      <c r="D559" s="8"/>
      <c r="E559" s="8"/>
      <c r="F559" s="3"/>
      <c r="G559" s="9"/>
      <c r="O559" s="3"/>
    </row>
    <row r="560" spans="4:15" x14ac:dyDescent="0.25">
      <c r="D560" s="8"/>
      <c r="E560" s="8"/>
      <c r="F560" s="3"/>
      <c r="G560" s="9"/>
      <c r="O560" s="3"/>
    </row>
    <row r="561" spans="4:15" x14ac:dyDescent="0.25">
      <c r="D561" s="8"/>
      <c r="E561" s="8"/>
      <c r="F561" s="3"/>
      <c r="G561" s="9"/>
      <c r="O561" s="3"/>
    </row>
    <row r="562" spans="4:15" x14ac:dyDescent="0.25">
      <c r="D562" s="8"/>
      <c r="E562" s="8"/>
      <c r="F562" s="3"/>
      <c r="G562" s="9"/>
      <c r="O562" s="3"/>
    </row>
    <row r="563" spans="4:15" x14ac:dyDescent="0.25">
      <c r="D563" s="8"/>
      <c r="E563" s="8"/>
      <c r="F563" s="3"/>
      <c r="G563" s="9"/>
      <c r="O563" s="3"/>
    </row>
    <row r="564" spans="4:15" x14ac:dyDescent="0.25">
      <c r="D564" s="8"/>
      <c r="E564" s="8"/>
      <c r="F564" s="3"/>
      <c r="G564" s="9"/>
      <c r="O564" s="3"/>
    </row>
    <row r="565" spans="4:15" x14ac:dyDescent="0.25">
      <c r="D565" s="8"/>
      <c r="E565" s="8"/>
      <c r="F565" s="3"/>
      <c r="G565" s="9"/>
      <c r="O565" s="3"/>
    </row>
    <row r="566" spans="4:15" x14ac:dyDescent="0.25">
      <c r="D566" s="8"/>
      <c r="E566" s="8"/>
      <c r="F566" s="3"/>
      <c r="G566" s="9"/>
      <c r="O566" s="3"/>
    </row>
    <row r="567" spans="4:15" x14ac:dyDescent="0.25">
      <c r="D567" s="8"/>
      <c r="E567" s="8"/>
      <c r="F567" s="3"/>
      <c r="G567" s="9"/>
      <c r="O567" s="3"/>
    </row>
    <row r="568" spans="4:15" x14ac:dyDescent="0.25">
      <c r="D568" s="8"/>
      <c r="E568" s="8"/>
      <c r="F568" s="3"/>
      <c r="G568" s="9"/>
      <c r="O568" s="3"/>
    </row>
    <row r="569" spans="4:15" x14ac:dyDescent="0.25">
      <c r="D569" s="8"/>
      <c r="E569" s="8"/>
      <c r="F569" s="3"/>
      <c r="G569" s="9"/>
      <c r="O569" s="3"/>
    </row>
    <row r="570" spans="4:15" x14ac:dyDescent="0.25">
      <c r="D570" s="8"/>
      <c r="E570" s="8"/>
      <c r="F570" s="3"/>
      <c r="G570" s="9"/>
      <c r="O570" s="3"/>
    </row>
    <row r="571" spans="4:15" x14ac:dyDescent="0.25">
      <c r="D571" s="8"/>
      <c r="E571" s="8"/>
      <c r="F571" s="3"/>
      <c r="G571" s="9"/>
      <c r="O571" s="3"/>
    </row>
    <row r="572" spans="4:15" x14ac:dyDescent="0.25">
      <c r="D572" s="8"/>
      <c r="E572" s="8"/>
      <c r="F572" s="3"/>
      <c r="G572" s="9"/>
      <c r="O572" s="3"/>
    </row>
    <row r="573" spans="4:15" x14ac:dyDescent="0.25">
      <c r="D573" s="8"/>
      <c r="E573" s="8"/>
      <c r="F573" s="3"/>
      <c r="G573" s="9"/>
      <c r="O573" s="3"/>
    </row>
    <row r="574" spans="4:15" x14ac:dyDescent="0.25">
      <c r="D574" s="8"/>
      <c r="E574" s="8"/>
      <c r="F574" s="3"/>
      <c r="G574" s="9"/>
      <c r="O574" s="3"/>
    </row>
    <row r="575" spans="4:15" x14ac:dyDescent="0.25">
      <c r="D575" s="8"/>
      <c r="E575" s="8"/>
      <c r="F575" s="3"/>
      <c r="G575" s="9"/>
      <c r="O575" s="3"/>
    </row>
    <row r="576" spans="4:15" x14ac:dyDescent="0.25">
      <c r="D576" s="8"/>
      <c r="E576" s="8"/>
      <c r="F576" s="3"/>
      <c r="G576" s="9"/>
      <c r="O576" s="3"/>
    </row>
    <row r="577" spans="4:15" x14ac:dyDescent="0.25">
      <c r="D577" s="8"/>
      <c r="E577" s="8"/>
      <c r="F577" s="3"/>
      <c r="O577" s="3"/>
    </row>
    <row r="578" spans="4:15" x14ac:dyDescent="0.25">
      <c r="D578" s="8"/>
      <c r="E578" s="8"/>
      <c r="F578" s="3"/>
      <c r="G578" s="9"/>
      <c r="O578" s="3"/>
    </row>
    <row r="579" spans="4:15" x14ac:dyDescent="0.25">
      <c r="D579" s="8"/>
      <c r="E579" s="8"/>
      <c r="F579" s="3"/>
      <c r="G579" s="9"/>
      <c r="O579" s="3"/>
    </row>
    <row r="580" spans="4:15" x14ac:dyDescent="0.25">
      <c r="D580" s="8"/>
      <c r="E580" s="8"/>
      <c r="F580" s="3"/>
      <c r="G580" s="9"/>
      <c r="O580" s="3"/>
    </row>
    <row r="581" spans="4:15" x14ac:dyDescent="0.25">
      <c r="D581" s="8"/>
      <c r="E581" s="8"/>
      <c r="F581" s="3"/>
      <c r="G581" s="9"/>
      <c r="O581" s="3"/>
    </row>
    <row r="582" spans="4:15" x14ac:dyDescent="0.25">
      <c r="D582" s="8"/>
      <c r="E582" s="8"/>
      <c r="F582" s="3"/>
      <c r="G582" s="9"/>
      <c r="O582" s="3"/>
    </row>
    <row r="583" spans="4:15" x14ac:dyDescent="0.25">
      <c r="D583" s="8"/>
      <c r="E583" s="8"/>
      <c r="F583" s="3"/>
      <c r="G583" s="9"/>
      <c r="O583" s="3"/>
    </row>
    <row r="584" spans="4:15" x14ac:dyDescent="0.25">
      <c r="D584" s="8"/>
      <c r="E584" s="8"/>
      <c r="F584" s="3"/>
      <c r="G584" s="9"/>
      <c r="O584" s="3"/>
    </row>
    <row r="585" spans="4:15" x14ac:dyDescent="0.25">
      <c r="D585" s="8"/>
      <c r="E585" s="8"/>
      <c r="F585" s="3"/>
      <c r="G585" s="9"/>
      <c r="O585" s="3"/>
    </row>
    <row r="586" spans="4:15" x14ac:dyDescent="0.25">
      <c r="D586" s="8"/>
      <c r="E586" s="8"/>
      <c r="F586" s="3"/>
      <c r="G586" s="9"/>
      <c r="O586" s="3"/>
    </row>
    <row r="587" spans="4:15" x14ac:dyDescent="0.25">
      <c r="D587" s="8"/>
      <c r="E587" s="8"/>
      <c r="F587" s="3"/>
      <c r="G587" s="9"/>
      <c r="O587" s="3"/>
    </row>
    <row r="588" spans="4:15" x14ac:dyDescent="0.25">
      <c r="D588" s="8"/>
      <c r="E588" s="8"/>
      <c r="F588" s="3"/>
      <c r="G588" s="9"/>
      <c r="O588" s="3"/>
    </row>
    <row r="589" spans="4:15" x14ac:dyDescent="0.25">
      <c r="D589" s="8"/>
      <c r="E589" s="8"/>
      <c r="F589" s="3"/>
      <c r="G589" s="9"/>
      <c r="O589" s="3"/>
    </row>
    <row r="590" spans="4:15" x14ac:dyDescent="0.25">
      <c r="D590" s="8"/>
      <c r="E590" s="8"/>
      <c r="F590" s="3"/>
      <c r="G590" s="9"/>
      <c r="O590" s="3"/>
    </row>
    <row r="591" spans="4:15" x14ac:dyDescent="0.25">
      <c r="D591" s="8"/>
      <c r="E591" s="8"/>
      <c r="F591" s="3"/>
      <c r="G591" s="9"/>
      <c r="O591" s="3"/>
    </row>
    <row r="592" spans="4:15" x14ac:dyDescent="0.25">
      <c r="D592" s="8"/>
      <c r="E592" s="8"/>
      <c r="F592" s="3"/>
      <c r="G592" s="9"/>
      <c r="O592" s="3"/>
    </row>
    <row r="593" spans="4:15" x14ac:dyDescent="0.25">
      <c r="D593" s="8"/>
      <c r="E593" s="8"/>
      <c r="F593" s="3"/>
      <c r="G593" s="9"/>
      <c r="O593" s="3"/>
    </row>
    <row r="594" spans="4:15" x14ac:dyDescent="0.25">
      <c r="D594" s="8"/>
      <c r="E594" s="8"/>
      <c r="F594" s="3"/>
      <c r="G594" s="9"/>
      <c r="O594" s="3"/>
    </row>
    <row r="595" spans="4:15" x14ac:dyDescent="0.25">
      <c r="D595" s="8"/>
      <c r="E595" s="8"/>
      <c r="F595" s="3"/>
      <c r="G595" s="9"/>
      <c r="O595" s="3"/>
    </row>
    <row r="596" spans="4:15" x14ac:dyDescent="0.25">
      <c r="D596" s="8"/>
      <c r="E596" s="8"/>
      <c r="F596" s="3"/>
      <c r="G596" s="9"/>
      <c r="O596" s="3"/>
    </row>
    <row r="597" spans="4:15" x14ac:dyDescent="0.25">
      <c r="D597" s="8"/>
      <c r="E597" s="8"/>
      <c r="F597" s="3"/>
      <c r="G597" s="9"/>
      <c r="O597" s="3"/>
    </row>
    <row r="598" spans="4:15" x14ac:dyDescent="0.25">
      <c r="D598" s="8"/>
      <c r="E598" s="8"/>
      <c r="F598" s="3"/>
      <c r="G598" s="9"/>
      <c r="O598" s="3"/>
    </row>
    <row r="599" spans="4:15" x14ac:dyDescent="0.25">
      <c r="D599" s="8"/>
      <c r="E599" s="8"/>
      <c r="F599" s="3"/>
      <c r="G599" s="9"/>
      <c r="O599" s="3"/>
    </row>
    <row r="600" spans="4:15" x14ac:dyDescent="0.25">
      <c r="D600" s="8"/>
      <c r="E600" s="8"/>
      <c r="F600" s="3"/>
      <c r="G600" s="9"/>
      <c r="O600" s="3"/>
    </row>
    <row r="601" spans="4:15" x14ac:dyDescent="0.25">
      <c r="D601" s="8"/>
      <c r="E601" s="8"/>
      <c r="F601" s="3"/>
      <c r="G601" s="9"/>
      <c r="O601" s="3"/>
    </row>
    <row r="602" spans="4:15" x14ac:dyDescent="0.25">
      <c r="D602" s="8"/>
      <c r="E602" s="8"/>
      <c r="F602" s="3"/>
      <c r="O602" s="3"/>
    </row>
    <row r="603" spans="4:15" x14ac:dyDescent="0.25">
      <c r="D603" s="8"/>
      <c r="E603" s="8"/>
      <c r="F603" s="3"/>
      <c r="G603" s="9"/>
      <c r="O603" s="3"/>
    </row>
    <row r="604" spans="4:15" x14ac:dyDescent="0.25">
      <c r="D604" s="8"/>
      <c r="E604" s="8"/>
      <c r="F604" s="3"/>
      <c r="G604" s="9"/>
      <c r="O604" s="3"/>
    </row>
    <row r="605" spans="4:15" x14ac:dyDescent="0.25">
      <c r="D605" s="8"/>
      <c r="E605" s="8"/>
      <c r="F605" s="3"/>
      <c r="G605" s="9"/>
      <c r="O605" s="3"/>
    </row>
    <row r="606" spans="4:15" x14ac:dyDescent="0.25">
      <c r="D606" s="8"/>
      <c r="E606" s="8"/>
      <c r="F606" s="3"/>
      <c r="G606" s="9"/>
      <c r="O606" s="3"/>
    </row>
    <row r="607" spans="4:15" x14ac:dyDescent="0.25">
      <c r="D607" s="8"/>
      <c r="E607" s="8"/>
      <c r="F607" s="3"/>
      <c r="G607" s="9"/>
      <c r="O607" s="3"/>
    </row>
    <row r="608" spans="4:15" x14ac:dyDescent="0.25">
      <c r="D608" s="8"/>
      <c r="E608" s="8"/>
      <c r="F608" s="3"/>
      <c r="G608" s="9"/>
      <c r="O608" s="3"/>
    </row>
    <row r="609" spans="4:15" x14ac:dyDescent="0.25">
      <c r="D609" s="8"/>
      <c r="E609" s="8"/>
      <c r="F609" s="3"/>
      <c r="G609" s="9"/>
      <c r="O609" s="3"/>
    </row>
    <row r="610" spans="4:15" x14ac:dyDescent="0.25">
      <c r="D610" s="8"/>
      <c r="E610" s="8"/>
      <c r="F610" s="3"/>
      <c r="G610" s="9"/>
      <c r="O610" s="3"/>
    </row>
    <row r="611" spans="4:15" x14ac:dyDescent="0.25">
      <c r="D611" s="8"/>
      <c r="E611" s="8"/>
      <c r="F611" s="3"/>
      <c r="G611" s="9"/>
      <c r="O611" s="3"/>
    </row>
    <row r="612" spans="4:15" x14ac:dyDescent="0.25">
      <c r="D612" s="8"/>
      <c r="E612" s="8"/>
      <c r="F612" s="3"/>
      <c r="G612" s="9"/>
      <c r="O612" s="3"/>
    </row>
    <row r="613" spans="4:15" x14ac:dyDescent="0.25">
      <c r="D613" s="8"/>
      <c r="E613" s="8"/>
      <c r="F613" s="3"/>
      <c r="G613" s="9"/>
      <c r="O613" s="3"/>
    </row>
    <row r="614" spans="4:15" x14ac:dyDescent="0.25">
      <c r="D614" s="8"/>
      <c r="E614" s="8"/>
      <c r="F614" s="3"/>
      <c r="G614" s="9"/>
      <c r="O614" s="3"/>
    </row>
    <row r="615" spans="4:15" x14ac:dyDescent="0.25">
      <c r="D615" s="8"/>
      <c r="E615" s="8"/>
      <c r="F615" s="3"/>
      <c r="G615" s="9"/>
      <c r="O615" s="3"/>
    </row>
    <row r="616" spans="4:15" x14ac:dyDescent="0.25">
      <c r="D616" s="8"/>
      <c r="E616" s="8"/>
      <c r="F616" s="3"/>
      <c r="G616" s="9"/>
      <c r="O616" s="3"/>
    </row>
    <row r="617" spans="4:15" x14ac:dyDescent="0.25">
      <c r="D617" s="8"/>
      <c r="E617" s="8"/>
      <c r="F617" s="3"/>
      <c r="G617" s="9"/>
      <c r="O617" s="3"/>
    </row>
    <row r="618" spans="4:15" x14ac:dyDescent="0.25">
      <c r="D618" s="8"/>
      <c r="E618" s="8"/>
      <c r="F618" s="3"/>
      <c r="G618" s="9"/>
      <c r="O618" s="3"/>
    </row>
    <row r="619" spans="4:15" x14ac:dyDescent="0.25">
      <c r="D619" s="8"/>
      <c r="E619" s="8"/>
      <c r="F619" s="3"/>
      <c r="G619" s="9"/>
      <c r="O619" s="3"/>
    </row>
    <row r="620" spans="4:15" x14ac:dyDescent="0.25">
      <c r="D620" s="8"/>
      <c r="E620" s="8"/>
      <c r="F620" s="3"/>
      <c r="G620" s="9"/>
      <c r="O620" s="3"/>
    </row>
    <row r="621" spans="4:15" x14ac:dyDescent="0.25">
      <c r="D621" s="8"/>
      <c r="E621" s="8"/>
      <c r="F621" s="3"/>
      <c r="G621" s="9"/>
      <c r="O621" s="3"/>
    </row>
    <row r="622" spans="4:15" x14ac:dyDescent="0.25">
      <c r="D622" s="8"/>
      <c r="E622" s="8"/>
      <c r="F622" s="3"/>
      <c r="G622" s="9"/>
      <c r="O622" s="3"/>
    </row>
    <row r="623" spans="4:15" x14ac:dyDescent="0.25">
      <c r="D623" s="8"/>
      <c r="E623" s="8"/>
      <c r="F623" s="3"/>
      <c r="G623" s="9"/>
      <c r="O623" s="3"/>
    </row>
    <row r="624" spans="4:15" x14ac:dyDescent="0.25">
      <c r="D624" s="8"/>
      <c r="E624" s="8"/>
      <c r="F624" s="3"/>
      <c r="G624" s="9"/>
      <c r="O624" s="3"/>
    </row>
    <row r="625" spans="4:15" x14ac:dyDescent="0.25">
      <c r="D625" s="8"/>
      <c r="E625" s="8"/>
      <c r="F625" s="3"/>
      <c r="G625" s="9"/>
      <c r="O625" s="3"/>
    </row>
    <row r="626" spans="4:15" x14ac:dyDescent="0.25">
      <c r="D626" s="8"/>
      <c r="E626" s="8"/>
      <c r="F626" s="3"/>
      <c r="G626" s="9"/>
      <c r="O626" s="3"/>
    </row>
    <row r="627" spans="4:15" x14ac:dyDescent="0.25">
      <c r="D627" s="8"/>
      <c r="E627" s="8"/>
      <c r="F627" s="3"/>
      <c r="O627" s="3"/>
    </row>
    <row r="628" spans="4:15" x14ac:dyDescent="0.25">
      <c r="D628" s="8"/>
      <c r="E628" s="8"/>
      <c r="F628" s="3"/>
      <c r="G628" s="9"/>
      <c r="O628" s="3"/>
    </row>
    <row r="629" spans="4:15" x14ac:dyDescent="0.25">
      <c r="D629" s="8"/>
      <c r="E629" s="8"/>
      <c r="F629" s="3"/>
      <c r="G629" s="9"/>
      <c r="O629" s="3"/>
    </row>
    <row r="630" spans="4:15" x14ac:dyDescent="0.25">
      <c r="D630" s="8"/>
      <c r="E630" s="8"/>
      <c r="F630" s="3"/>
      <c r="G630" s="9"/>
      <c r="O630" s="3"/>
    </row>
    <row r="631" spans="4:15" x14ac:dyDescent="0.25">
      <c r="D631" s="8"/>
      <c r="E631" s="8"/>
      <c r="F631" s="3"/>
      <c r="G631" s="9"/>
      <c r="O631" s="3"/>
    </row>
    <row r="632" spans="4:15" x14ac:dyDescent="0.25">
      <c r="D632" s="8"/>
      <c r="E632" s="8"/>
      <c r="F632" s="3"/>
      <c r="G632" s="9"/>
      <c r="O632" s="3"/>
    </row>
    <row r="633" spans="4:15" x14ac:dyDescent="0.25">
      <c r="D633" s="8"/>
      <c r="E633" s="8"/>
      <c r="F633" s="3"/>
      <c r="G633" s="9"/>
      <c r="O633" s="3"/>
    </row>
    <row r="634" spans="4:15" x14ac:dyDescent="0.25">
      <c r="D634" s="8"/>
      <c r="E634" s="8"/>
      <c r="F634" s="3"/>
      <c r="G634" s="9"/>
      <c r="O634" s="3"/>
    </row>
    <row r="635" spans="4:15" x14ac:dyDescent="0.25">
      <c r="D635" s="8"/>
      <c r="E635" s="8"/>
      <c r="F635" s="3"/>
      <c r="G635" s="9"/>
      <c r="O635" s="3"/>
    </row>
    <row r="636" spans="4:15" x14ac:dyDescent="0.25">
      <c r="D636" s="8"/>
      <c r="E636" s="8"/>
      <c r="F636" s="3"/>
      <c r="G636" s="9"/>
      <c r="O636" s="3"/>
    </row>
    <row r="637" spans="4:15" x14ac:dyDescent="0.25">
      <c r="D637" s="8"/>
      <c r="E637" s="8"/>
      <c r="F637" s="3"/>
      <c r="G637" s="9"/>
      <c r="O637" s="3"/>
    </row>
    <row r="638" spans="4:15" x14ac:dyDescent="0.25">
      <c r="D638" s="8"/>
      <c r="E638" s="8"/>
      <c r="F638" s="3"/>
      <c r="G638" s="9"/>
      <c r="O638" s="3"/>
    </row>
    <row r="639" spans="4:15" x14ac:dyDescent="0.25">
      <c r="D639" s="8"/>
      <c r="E639" s="8"/>
      <c r="F639" s="3"/>
      <c r="G639" s="9"/>
      <c r="O639" s="3"/>
    </row>
    <row r="640" spans="4:15" x14ac:dyDescent="0.25">
      <c r="D640" s="8"/>
      <c r="E640" s="8"/>
      <c r="F640" s="3"/>
      <c r="G640" s="9"/>
      <c r="O640" s="3"/>
    </row>
    <row r="641" spans="4:15" x14ac:dyDescent="0.25">
      <c r="D641" s="8"/>
      <c r="E641" s="8"/>
      <c r="F641" s="3"/>
      <c r="G641" s="9"/>
      <c r="O641" s="3"/>
    </row>
    <row r="642" spans="4:15" x14ac:dyDescent="0.25">
      <c r="D642" s="8"/>
      <c r="E642" s="8"/>
      <c r="F642" s="3"/>
      <c r="G642" s="9"/>
      <c r="O642" s="3"/>
    </row>
    <row r="643" spans="4:15" x14ac:dyDescent="0.25">
      <c r="D643" s="8"/>
      <c r="E643" s="8"/>
      <c r="F643" s="3"/>
      <c r="G643" s="9"/>
      <c r="O643" s="3"/>
    </row>
    <row r="644" spans="4:15" x14ac:dyDescent="0.25">
      <c r="D644" s="8"/>
      <c r="E644" s="8"/>
      <c r="F644" s="3"/>
      <c r="G644" s="9"/>
      <c r="O644" s="3"/>
    </row>
    <row r="645" spans="4:15" x14ac:dyDescent="0.25">
      <c r="D645" s="8"/>
      <c r="E645" s="8"/>
      <c r="F645" s="3"/>
      <c r="G645" s="9"/>
      <c r="O645" s="3"/>
    </row>
    <row r="646" spans="4:15" x14ac:dyDescent="0.25">
      <c r="D646" s="8"/>
      <c r="E646" s="8"/>
      <c r="F646" s="3"/>
      <c r="G646" s="9"/>
      <c r="O646" s="3"/>
    </row>
    <row r="647" spans="4:15" x14ac:dyDescent="0.25">
      <c r="D647" s="8"/>
      <c r="E647" s="8"/>
      <c r="F647" s="3"/>
      <c r="G647" s="9"/>
      <c r="O647" s="3"/>
    </row>
    <row r="648" spans="4:15" x14ac:dyDescent="0.25">
      <c r="D648" s="8"/>
      <c r="E648" s="8"/>
      <c r="F648" s="3"/>
      <c r="G648" s="9"/>
      <c r="O648" s="3"/>
    </row>
    <row r="649" spans="4:15" x14ac:dyDescent="0.25">
      <c r="D649" s="8"/>
      <c r="E649" s="8"/>
      <c r="F649" s="3"/>
      <c r="G649" s="9"/>
      <c r="O649" s="3"/>
    </row>
    <row r="650" spans="4:15" x14ac:dyDescent="0.25">
      <c r="D650" s="8"/>
      <c r="E650" s="8"/>
      <c r="F650" s="3"/>
      <c r="G650" s="9"/>
      <c r="O650" s="3"/>
    </row>
    <row r="651" spans="4:15" x14ac:dyDescent="0.25">
      <c r="D651" s="8"/>
      <c r="E651" s="8"/>
      <c r="F651" s="3"/>
      <c r="G651" s="9"/>
      <c r="O651" s="3"/>
    </row>
    <row r="652" spans="4:15" x14ac:dyDescent="0.25">
      <c r="D652" s="8"/>
      <c r="E652" s="8"/>
      <c r="F652" s="3"/>
      <c r="O652" s="3"/>
    </row>
    <row r="653" spans="4:15" x14ac:dyDescent="0.25">
      <c r="D653" s="8"/>
      <c r="E653" s="8"/>
      <c r="F653" s="3"/>
      <c r="G653" s="9"/>
      <c r="O653" s="3"/>
    </row>
    <row r="654" spans="4:15" x14ac:dyDescent="0.25">
      <c r="D654" s="8"/>
      <c r="E654" s="8"/>
      <c r="F654" s="3"/>
      <c r="G654" s="9"/>
      <c r="O654" s="3"/>
    </row>
    <row r="655" spans="4:15" x14ac:dyDescent="0.25">
      <c r="D655" s="8"/>
      <c r="E655" s="8"/>
      <c r="F655" s="3"/>
      <c r="G655" s="9"/>
      <c r="O655" s="3"/>
    </row>
    <row r="656" spans="4:15" x14ac:dyDescent="0.25">
      <c r="D656" s="8"/>
      <c r="E656" s="8"/>
      <c r="F656" s="3"/>
      <c r="G656" s="9"/>
      <c r="O656" s="3"/>
    </row>
    <row r="657" spans="4:15" x14ac:dyDescent="0.25">
      <c r="D657" s="8"/>
      <c r="E657" s="8"/>
      <c r="F657" s="3"/>
      <c r="G657" s="9"/>
      <c r="O657" s="3"/>
    </row>
    <row r="658" spans="4:15" x14ac:dyDescent="0.25">
      <c r="D658" s="8"/>
      <c r="E658" s="8"/>
      <c r="F658" s="3"/>
      <c r="G658" s="9"/>
      <c r="O658" s="3"/>
    </row>
    <row r="659" spans="4:15" x14ac:dyDescent="0.25">
      <c r="D659" s="8"/>
      <c r="E659" s="8"/>
      <c r="F659" s="3"/>
      <c r="G659" s="9"/>
      <c r="O659" s="3"/>
    </row>
    <row r="660" spans="4:15" x14ac:dyDescent="0.25">
      <c r="D660" s="8"/>
      <c r="E660" s="8"/>
      <c r="F660" s="3"/>
      <c r="G660" s="9"/>
      <c r="O660" s="3"/>
    </row>
    <row r="661" spans="4:15" x14ac:dyDescent="0.25">
      <c r="D661" s="8"/>
      <c r="E661" s="8"/>
      <c r="F661" s="3"/>
      <c r="G661" s="9"/>
      <c r="O661" s="3"/>
    </row>
    <row r="662" spans="4:15" x14ac:dyDescent="0.25">
      <c r="D662" s="8"/>
      <c r="E662" s="8"/>
      <c r="F662" s="3"/>
      <c r="G662" s="9"/>
      <c r="O662" s="3"/>
    </row>
    <row r="663" spans="4:15" x14ac:dyDescent="0.25">
      <c r="D663" s="8"/>
      <c r="E663" s="8"/>
      <c r="F663" s="3"/>
      <c r="G663" s="9"/>
      <c r="O663" s="3"/>
    </row>
    <row r="664" spans="4:15" x14ac:dyDescent="0.25">
      <c r="D664" s="8"/>
      <c r="E664" s="8"/>
      <c r="F664" s="3"/>
      <c r="G664" s="9"/>
      <c r="O664" s="3"/>
    </row>
    <row r="665" spans="4:15" x14ac:dyDescent="0.25">
      <c r="D665" s="8"/>
      <c r="E665" s="8"/>
      <c r="F665" s="3"/>
      <c r="G665" s="9"/>
      <c r="O665" s="3"/>
    </row>
    <row r="666" spans="4:15" x14ac:dyDescent="0.25">
      <c r="D666" s="8"/>
      <c r="E666" s="8"/>
      <c r="F666" s="3"/>
      <c r="G666" s="9"/>
      <c r="O666" s="3"/>
    </row>
    <row r="667" spans="4:15" x14ac:dyDescent="0.25">
      <c r="D667" s="8"/>
      <c r="E667" s="8"/>
      <c r="F667" s="3"/>
      <c r="G667" s="9"/>
      <c r="O667" s="3"/>
    </row>
    <row r="668" spans="4:15" x14ac:dyDescent="0.25">
      <c r="D668" s="8"/>
      <c r="E668" s="8"/>
      <c r="F668" s="3"/>
      <c r="G668" s="9"/>
      <c r="O668" s="3"/>
    </row>
    <row r="669" spans="4:15" x14ac:dyDescent="0.25">
      <c r="D669" s="8"/>
      <c r="E669" s="8"/>
      <c r="F669" s="3"/>
      <c r="G669" s="9"/>
      <c r="O669" s="3"/>
    </row>
    <row r="670" spans="4:15" x14ac:dyDescent="0.25">
      <c r="D670" s="8"/>
      <c r="E670" s="8"/>
      <c r="F670" s="3"/>
      <c r="G670" s="9"/>
      <c r="O670" s="3"/>
    </row>
    <row r="671" spans="4:15" x14ac:dyDescent="0.25">
      <c r="D671" s="8"/>
      <c r="E671" s="8"/>
      <c r="F671" s="3"/>
      <c r="G671" s="9"/>
      <c r="O671" s="3"/>
    </row>
    <row r="672" spans="4:15" x14ac:dyDescent="0.25">
      <c r="D672" s="8"/>
      <c r="E672" s="8"/>
      <c r="F672" s="3"/>
      <c r="G672" s="9"/>
      <c r="O672" s="3"/>
    </row>
    <row r="673" spans="4:15" x14ac:dyDescent="0.25">
      <c r="D673" s="8"/>
      <c r="E673" s="8"/>
      <c r="F673" s="3"/>
      <c r="G673" s="9"/>
      <c r="O673" s="3"/>
    </row>
    <row r="674" spans="4:15" x14ac:dyDescent="0.25">
      <c r="D674" s="8"/>
      <c r="E674" s="8"/>
      <c r="F674" s="3"/>
      <c r="G674" s="9"/>
      <c r="O674" s="3"/>
    </row>
    <row r="675" spans="4:15" x14ac:dyDescent="0.25">
      <c r="D675" s="8"/>
      <c r="E675" s="8"/>
      <c r="F675" s="3"/>
      <c r="G675" s="9"/>
      <c r="O675" s="3"/>
    </row>
    <row r="676" spans="4:15" x14ac:dyDescent="0.25">
      <c r="D676" s="8"/>
      <c r="E676" s="8"/>
      <c r="F676" s="3"/>
      <c r="G676" s="9"/>
      <c r="O676" s="3"/>
    </row>
    <row r="677" spans="4:15" x14ac:dyDescent="0.25">
      <c r="D677" s="8"/>
      <c r="E677" s="8"/>
      <c r="F677" s="3"/>
      <c r="O677" s="3"/>
    </row>
    <row r="678" spans="4:15" x14ac:dyDescent="0.25">
      <c r="D678" s="8"/>
      <c r="E678" s="8"/>
      <c r="F678" s="3"/>
      <c r="G678" s="9"/>
      <c r="O678" s="3"/>
    </row>
    <row r="679" spans="4:15" x14ac:dyDescent="0.25">
      <c r="D679" s="8"/>
      <c r="E679" s="8"/>
      <c r="F679" s="3"/>
      <c r="G679" s="9"/>
      <c r="O679" s="3"/>
    </row>
    <row r="680" spans="4:15" x14ac:dyDescent="0.25">
      <c r="D680" s="8"/>
      <c r="E680" s="8"/>
      <c r="F680" s="3"/>
      <c r="G680" s="9"/>
      <c r="O680" s="3"/>
    </row>
    <row r="681" spans="4:15" x14ac:dyDescent="0.25">
      <c r="D681" s="8"/>
      <c r="E681" s="8"/>
      <c r="F681" s="3"/>
      <c r="G681" s="9"/>
      <c r="O681" s="3"/>
    </row>
    <row r="682" spans="4:15" x14ac:dyDescent="0.25">
      <c r="D682" s="8"/>
      <c r="E682" s="8"/>
      <c r="F682" s="3"/>
      <c r="G682" s="9"/>
      <c r="O682" s="3"/>
    </row>
    <row r="683" spans="4:15" x14ac:dyDescent="0.25">
      <c r="D683" s="8"/>
      <c r="E683" s="8"/>
      <c r="F683" s="3"/>
      <c r="G683" s="9"/>
      <c r="O683" s="3"/>
    </row>
    <row r="684" spans="4:15" x14ac:dyDescent="0.25">
      <c r="D684" s="8"/>
      <c r="E684" s="8"/>
      <c r="F684" s="3"/>
      <c r="G684" s="9"/>
      <c r="O684" s="3"/>
    </row>
    <row r="685" spans="4:15" x14ac:dyDescent="0.25">
      <c r="D685" s="8"/>
      <c r="E685" s="8"/>
      <c r="F685" s="3"/>
      <c r="G685" s="9"/>
      <c r="O685" s="3"/>
    </row>
    <row r="686" spans="4:15" x14ac:dyDescent="0.25">
      <c r="D686" s="8"/>
      <c r="E686" s="8"/>
      <c r="F686" s="3"/>
      <c r="G686" s="9"/>
      <c r="O686" s="3"/>
    </row>
    <row r="687" spans="4:15" x14ac:dyDescent="0.25">
      <c r="D687" s="8"/>
      <c r="E687" s="8"/>
      <c r="F687" s="3"/>
      <c r="G687" s="9"/>
      <c r="O687" s="3"/>
    </row>
    <row r="688" spans="4:15" x14ac:dyDescent="0.25">
      <c r="D688" s="8"/>
      <c r="E688" s="8"/>
      <c r="F688" s="3"/>
      <c r="G688" s="9"/>
      <c r="O688" s="3"/>
    </row>
    <row r="689" spans="4:15" x14ac:dyDescent="0.25">
      <c r="D689" s="8"/>
      <c r="E689" s="8"/>
      <c r="F689" s="3"/>
      <c r="G689" s="9"/>
      <c r="O689" s="3"/>
    </row>
    <row r="690" spans="4:15" x14ac:dyDescent="0.25">
      <c r="D690" s="8"/>
      <c r="E690" s="8"/>
      <c r="F690" s="3"/>
      <c r="G690" s="9"/>
      <c r="O690" s="3"/>
    </row>
    <row r="691" spans="4:15" x14ac:dyDescent="0.25">
      <c r="D691" s="8"/>
      <c r="E691" s="8"/>
      <c r="F691" s="3"/>
      <c r="G691" s="9"/>
      <c r="O691" s="3"/>
    </row>
    <row r="692" spans="4:15" x14ac:dyDescent="0.25">
      <c r="D692" s="8"/>
      <c r="E692" s="8"/>
      <c r="F692" s="3"/>
      <c r="G692" s="9"/>
      <c r="O692" s="3"/>
    </row>
    <row r="693" spans="4:15" x14ac:dyDescent="0.25">
      <c r="D693" s="8"/>
      <c r="E693" s="8"/>
      <c r="F693" s="3"/>
      <c r="G693" s="9"/>
      <c r="O693" s="3"/>
    </row>
    <row r="694" spans="4:15" x14ac:dyDescent="0.25">
      <c r="D694" s="8"/>
      <c r="E694" s="8"/>
      <c r="F694" s="3"/>
      <c r="G694" s="9"/>
      <c r="O694" s="3"/>
    </row>
    <row r="695" spans="4:15" x14ac:dyDescent="0.25">
      <c r="D695" s="8"/>
      <c r="E695" s="8"/>
      <c r="F695" s="3"/>
      <c r="G695" s="9"/>
      <c r="O695" s="3"/>
    </row>
    <row r="696" spans="4:15" x14ac:dyDescent="0.25">
      <c r="D696" s="8"/>
      <c r="E696" s="8"/>
      <c r="F696" s="3"/>
      <c r="G696" s="9"/>
      <c r="O696" s="3"/>
    </row>
    <row r="697" spans="4:15" x14ac:dyDescent="0.25">
      <c r="D697" s="8"/>
      <c r="E697" s="8"/>
      <c r="F697" s="3"/>
      <c r="G697" s="9"/>
      <c r="O697" s="3"/>
    </row>
    <row r="698" spans="4:15" x14ac:dyDescent="0.25">
      <c r="D698" s="8"/>
      <c r="E698" s="8"/>
      <c r="F698" s="3"/>
      <c r="G698" s="9"/>
      <c r="O698" s="3"/>
    </row>
    <row r="699" spans="4:15" x14ac:dyDescent="0.25">
      <c r="D699" s="8"/>
      <c r="E699" s="8"/>
      <c r="F699" s="3"/>
      <c r="G699" s="9"/>
      <c r="O699" s="3"/>
    </row>
    <row r="700" spans="4:15" x14ac:dyDescent="0.25">
      <c r="D700" s="8"/>
      <c r="E700" s="8"/>
      <c r="F700" s="3"/>
      <c r="G700" s="9"/>
      <c r="O700" s="3"/>
    </row>
    <row r="701" spans="4:15" x14ac:dyDescent="0.25">
      <c r="D701" s="8"/>
      <c r="E701" s="8"/>
      <c r="F701" s="3"/>
      <c r="G701" s="9"/>
      <c r="O701" s="3"/>
    </row>
    <row r="702" spans="4:15" x14ac:dyDescent="0.25">
      <c r="D702" s="8"/>
      <c r="E702" s="8"/>
      <c r="F702" s="3"/>
      <c r="O702" s="3"/>
    </row>
    <row r="703" spans="4:15" x14ac:dyDescent="0.25">
      <c r="D703" s="8"/>
      <c r="E703" s="8"/>
      <c r="F703" s="3"/>
      <c r="G703" s="9"/>
      <c r="O703" s="3"/>
    </row>
    <row r="704" spans="4:15" x14ac:dyDescent="0.25">
      <c r="D704" s="8"/>
      <c r="E704" s="8"/>
      <c r="F704" s="3"/>
      <c r="G704" s="9"/>
      <c r="O704" s="3"/>
    </row>
    <row r="705" spans="4:15" x14ac:dyDescent="0.25">
      <c r="D705" s="8"/>
      <c r="E705" s="8"/>
      <c r="F705" s="3"/>
      <c r="G705" s="9"/>
      <c r="O705" s="3"/>
    </row>
    <row r="706" spans="4:15" x14ac:dyDescent="0.25">
      <c r="D706" s="8"/>
      <c r="E706" s="8"/>
      <c r="F706" s="3"/>
      <c r="G706" s="9"/>
      <c r="O706" s="3"/>
    </row>
    <row r="707" spans="4:15" x14ac:dyDescent="0.25">
      <c r="D707" s="8"/>
      <c r="E707" s="8"/>
      <c r="F707" s="3"/>
      <c r="G707" s="9"/>
      <c r="O707" s="3"/>
    </row>
    <row r="708" spans="4:15" x14ac:dyDescent="0.25">
      <c r="D708" s="8"/>
      <c r="E708" s="8"/>
      <c r="F708" s="3"/>
      <c r="G708" s="9"/>
      <c r="O708" s="3"/>
    </row>
    <row r="709" spans="4:15" x14ac:dyDescent="0.25">
      <c r="D709" s="8"/>
      <c r="E709" s="8"/>
      <c r="F709" s="3"/>
      <c r="G709" s="9"/>
      <c r="O709" s="3"/>
    </row>
    <row r="710" spans="4:15" x14ac:dyDescent="0.25">
      <c r="D710" s="8"/>
      <c r="E710" s="8"/>
      <c r="F710" s="3"/>
      <c r="G710" s="9"/>
      <c r="O710" s="3"/>
    </row>
    <row r="711" spans="4:15" x14ac:dyDescent="0.25">
      <c r="D711" s="8"/>
      <c r="E711" s="8"/>
      <c r="F711" s="3"/>
      <c r="G711" s="9"/>
      <c r="O711" s="3"/>
    </row>
    <row r="712" spans="4:15" x14ac:dyDescent="0.25">
      <c r="D712" s="8"/>
      <c r="E712" s="8"/>
      <c r="F712" s="3"/>
      <c r="G712" s="9"/>
      <c r="O712" s="3"/>
    </row>
    <row r="713" spans="4:15" x14ac:dyDescent="0.25">
      <c r="D713" s="8"/>
      <c r="E713" s="8"/>
      <c r="F713" s="3"/>
      <c r="G713" s="9"/>
      <c r="O713" s="3"/>
    </row>
    <row r="714" spans="4:15" x14ac:dyDescent="0.25">
      <c r="D714" s="8"/>
      <c r="E714" s="8"/>
      <c r="F714" s="3"/>
      <c r="G714" s="9"/>
      <c r="O714" s="3"/>
    </row>
    <row r="715" spans="4:15" x14ac:dyDescent="0.25">
      <c r="D715" s="8"/>
      <c r="E715" s="8"/>
      <c r="F715" s="3"/>
      <c r="G715" s="9"/>
      <c r="O715" s="3"/>
    </row>
    <row r="716" spans="4:15" x14ac:dyDescent="0.25">
      <c r="D716" s="8"/>
      <c r="E716" s="8"/>
      <c r="F716" s="3"/>
      <c r="G716" s="9"/>
      <c r="O716" s="3"/>
    </row>
    <row r="717" spans="4:15" x14ac:dyDescent="0.25">
      <c r="D717" s="8"/>
      <c r="E717" s="8"/>
      <c r="F717" s="3"/>
      <c r="G717" s="9"/>
      <c r="O717" s="3"/>
    </row>
    <row r="718" spans="4:15" x14ac:dyDescent="0.25">
      <c r="D718" s="3"/>
      <c r="F718" s="3"/>
      <c r="G718" s="9"/>
      <c r="O718" s="3"/>
    </row>
    <row r="719" spans="4:15" x14ac:dyDescent="0.25">
      <c r="F719" s="3"/>
      <c r="G719" s="9"/>
      <c r="O719" s="3"/>
    </row>
    <row r="720" spans="4:15" x14ac:dyDescent="0.25">
      <c r="F720" s="3"/>
      <c r="G720" s="9"/>
      <c r="O720" s="3"/>
    </row>
    <row r="721" spans="6:15" x14ac:dyDescent="0.25">
      <c r="F721" s="3"/>
      <c r="G721" s="9"/>
      <c r="O721" s="3"/>
    </row>
    <row r="722" spans="6:15" x14ac:dyDescent="0.25">
      <c r="F722" s="3"/>
      <c r="G722" s="9"/>
      <c r="O722" s="3"/>
    </row>
    <row r="723" spans="6:15" x14ac:dyDescent="0.25">
      <c r="F723" s="3"/>
      <c r="G723" s="9"/>
      <c r="O723" s="3"/>
    </row>
    <row r="724" spans="6:15" x14ac:dyDescent="0.25">
      <c r="F724" s="3"/>
      <c r="G724" s="9"/>
      <c r="O724" s="3"/>
    </row>
    <row r="725" spans="6:15" x14ac:dyDescent="0.25">
      <c r="F725" s="3"/>
      <c r="G725" s="9"/>
      <c r="O725" s="3"/>
    </row>
    <row r="726" spans="6:15" x14ac:dyDescent="0.25">
      <c r="F726" s="3"/>
      <c r="G726" s="9"/>
      <c r="O726" s="3"/>
    </row>
    <row r="727" spans="6:15" x14ac:dyDescent="0.25">
      <c r="F727" s="3"/>
      <c r="O727" s="3"/>
    </row>
    <row r="728" spans="6:15" x14ac:dyDescent="0.25">
      <c r="F728" s="3"/>
      <c r="G728" s="9"/>
      <c r="O728" s="3"/>
    </row>
    <row r="729" spans="6:15" x14ac:dyDescent="0.25">
      <c r="F729" s="3"/>
      <c r="G729" s="9"/>
      <c r="O729" s="3"/>
    </row>
    <row r="730" spans="6:15" x14ac:dyDescent="0.25">
      <c r="F730" s="3"/>
      <c r="G730" s="9"/>
      <c r="O730" s="3"/>
    </row>
    <row r="731" spans="6:15" x14ac:dyDescent="0.25">
      <c r="F731" s="3"/>
      <c r="G731" s="9"/>
      <c r="O731" s="3"/>
    </row>
    <row r="732" spans="6:15" x14ac:dyDescent="0.25">
      <c r="F732" s="3"/>
      <c r="G732" s="9"/>
      <c r="O732" s="3"/>
    </row>
    <row r="733" spans="6:15" x14ac:dyDescent="0.25">
      <c r="F733" s="3"/>
      <c r="G733" s="9"/>
      <c r="O733" s="3"/>
    </row>
    <row r="734" spans="6:15" x14ac:dyDescent="0.25">
      <c r="F734" s="3"/>
    </row>
  </sheetData>
  <conditionalFormatting sqref="A4:A13">
    <cfRule type="duplicateValues" dxfId="0" priority="2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1996</vt:lpstr>
      <vt:lpstr>2000</vt:lpstr>
      <vt:lpstr>2001</vt:lpstr>
      <vt:lpstr>2002</vt:lpstr>
      <vt:lpstr>2003</vt:lpstr>
      <vt:lpstr>2005</vt:lpstr>
      <vt:lpstr>2007</vt:lpstr>
      <vt:lpstr>2009</vt:lpstr>
      <vt:lpstr>2010</vt:lpstr>
      <vt:lpstr>2011</vt:lpstr>
      <vt:lpstr>2012</vt:lpstr>
      <vt:lpstr>2013</vt:lpstr>
      <vt:lpstr>2016</vt:lpstr>
      <vt:lpstr>2017</vt:lpstr>
      <vt:lpstr>2018</vt:lpstr>
      <vt:lpstr>2019</vt:lpstr>
      <vt:lpstr>2020</vt:lpstr>
      <vt:lpstr>2021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ilya</cp:lastModifiedBy>
  <dcterms:created xsi:type="dcterms:W3CDTF">2023-12-16T13:25:33Z</dcterms:created>
  <dcterms:modified xsi:type="dcterms:W3CDTF">2023-12-22T08:20:10Z</dcterms:modified>
</cp:coreProperties>
</file>