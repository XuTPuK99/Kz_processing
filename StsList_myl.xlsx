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work\python\Hydrophysic_works\Kz_calculate\"/>
    </mc:Choice>
  </mc:AlternateContent>
  <xr:revisionPtr revIDLastSave="0" documentId="13_ncr:1_{FAAAF992-B3D0-4016-8B95-8D9214FB4D8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tList" sheetId="1" r:id="rId1"/>
    <sheet name="Лист1" sheetId="2" r:id="rId2"/>
  </sheets>
  <definedNames>
    <definedName name="_xlnm._FilterDatabase" localSheetId="1" hidden="1">Лист1!$A$1:$G$136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1KGf2o9vC+N5Stiy2g4p9PcdaBxl3NkGQJ7RiK1+Eu8="/>
    </ext>
  </extLst>
</workbook>
</file>

<file path=xl/calcChain.xml><?xml version="1.0" encoding="utf-8"?>
<calcChain xmlns="http://schemas.openxmlformats.org/spreadsheetml/2006/main">
  <c r="X171" i="1" l="1"/>
  <c r="W171" i="1"/>
  <c r="X170" i="1"/>
  <c r="W170" i="1"/>
  <c r="X169" i="1"/>
  <c r="W169" i="1"/>
  <c r="X168" i="1"/>
  <c r="W168" i="1"/>
  <c r="X167" i="1"/>
  <c r="W167" i="1"/>
  <c r="X166" i="1"/>
  <c r="W166" i="1"/>
  <c r="X165" i="1"/>
  <c r="W165" i="1"/>
  <c r="X164" i="1"/>
  <c r="W164" i="1"/>
  <c r="X163" i="1"/>
  <c r="W163" i="1"/>
  <c r="X162" i="1"/>
  <c r="W162" i="1"/>
  <c r="X161" i="1"/>
  <c r="W161" i="1"/>
  <c r="X160" i="1"/>
  <c r="W160" i="1"/>
  <c r="R152" i="1"/>
  <c r="R151" i="1"/>
  <c r="V139" i="1"/>
  <c r="U139" i="1"/>
  <c r="V138" i="1"/>
  <c r="U138" i="1"/>
  <c r="V137" i="1"/>
  <c r="U137" i="1"/>
  <c r="V136" i="1"/>
  <c r="U136" i="1"/>
  <c r="V135" i="1"/>
  <c r="U135" i="1"/>
  <c r="V134" i="1"/>
  <c r="U134" i="1"/>
  <c r="V133" i="1"/>
  <c r="U133" i="1"/>
  <c r="V132" i="1"/>
  <c r="U132" i="1"/>
  <c r="R125" i="1"/>
  <c r="R122" i="1"/>
  <c r="N122" i="1"/>
  <c r="R124" i="1" s="1"/>
  <c r="M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7" i="1"/>
  <c r="R102" i="1"/>
  <c r="R101" i="1"/>
  <c r="R100" i="1"/>
  <c r="R99" i="1"/>
  <c r="R98" i="1"/>
  <c r="N97" i="1"/>
  <c r="M97" i="1"/>
  <c r="R96" i="1"/>
  <c r="R95" i="1"/>
  <c r="R94" i="1"/>
  <c r="R93" i="1"/>
  <c r="R92" i="1"/>
  <c r="R91" i="1"/>
  <c r="N90" i="1"/>
  <c r="M90" i="1"/>
  <c r="R90" i="1" s="1"/>
  <c r="R89" i="1"/>
  <c r="R88" i="1"/>
  <c r="R87" i="1"/>
  <c r="R86" i="1"/>
  <c r="R85" i="1"/>
  <c r="N84" i="1"/>
  <c r="M84" i="1"/>
  <c r="R84" i="1" s="1"/>
  <c r="R83" i="1"/>
  <c r="R82" i="1"/>
  <c r="R81" i="1"/>
  <c r="R80" i="1"/>
  <c r="R79" i="1"/>
  <c r="R78" i="1"/>
  <c r="R77" i="1"/>
  <c r="R76" i="1"/>
  <c r="R75" i="1"/>
  <c r="N74" i="1"/>
  <c r="M74" i="1"/>
  <c r="R74" i="1" s="1"/>
  <c r="N73" i="1"/>
  <c r="M73" i="1"/>
  <c r="R73" i="1" s="1"/>
  <c r="R71" i="1"/>
  <c r="N71" i="1"/>
  <c r="M71" i="1"/>
  <c r="R70" i="1"/>
  <c r="R69" i="1"/>
  <c r="R68" i="1"/>
  <c r="R67" i="1"/>
  <c r="R66" i="1"/>
  <c r="R65" i="1"/>
  <c r="R64" i="1"/>
  <c r="R63" i="1"/>
  <c r="R62" i="1"/>
  <c r="R61" i="1"/>
  <c r="R56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N35" i="1"/>
  <c r="M35" i="1"/>
  <c r="R35" i="1" s="1"/>
  <c r="R34" i="1"/>
  <c r="R33" i="1"/>
  <c r="R32" i="1"/>
  <c r="R31" i="1"/>
  <c r="R30" i="1"/>
  <c r="R29" i="1"/>
  <c r="R28" i="1"/>
  <c r="R27" i="1"/>
  <c r="R26" i="1"/>
  <c r="N25" i="1"/>
  <c r="M25" i="1"/>
  <c r="R25" i="1" s="1"/>
  <c r="R24" i="1"/>
  <c r="R23" i="1"/>
  <c r="R22" i="1"/>
  <c r="R21" i="1"/>
  <c r="R20" i="1"/>
  <c r="N19" i="1"/>
  <c r="M19" i="1"/>
  <c r="R19" i="1" s="1"/>
  <c r="R18" i="1"/>
  <c r="R17" i="1"/>
  <c r="R16" i="1"/>
  <c r="R15" i="1"/>
  <c r="R14" i="1"/>
  <c r="N13" i="1"/>
  <c r="M13" i="1"/>
  <c r="R13" i="1" s="1"/>
  <c r="N12" i="1"/>
  <c r="M12" i="1"/>
  <c r="R12" i="1" s="1"/>
  <c r="R11" i="1"/>
  <c r="R10" i="1"/>
  <c r="R9" i="1"/>
  <c r="R8" i="1"/>
  <c r="R7" i="1"/>
  <c r="R6" i="1"/>
  <c r="R5" i="1"/>
  <c r="R4" i="1"/>
  <c r="R3" i="1"/>
  <c r="R2" i="1"/>
  <c r="R1" i="1"/>
</calcChain>
</file>

<file path=xl/sharedStrings.xml><?xml version="1.0" encoding="utf-8"?>
<sst xmlns="http://schemas.openxmlformats.org/spreadsheetml/2006/main" count="1347" uniqueCount="666">
  <si>
    <t>15 km Kultuk</t>
  </si>
  <si>
    <t>15K</t>
  </si>
  <si>
    <t>15kKu</t>
  </si>
  <si>
    <t>Kt15</t>
  </si>
  <si>
    <t>south</t>
  </si>
  <si>
    <t>mid</t>
  </si>
  <si>
    <t>12 км Култук (mpKultRing)</t>
  </si>
  <si>
    <t>12kKu</t>
  </si>
  <si>
    <t>mKR</t>
  </si>
  <si>
    <t>Kt12</t>
  </si>
  <si>
    <t>12 km Kultuk (Ring)</t>
  </si>
  <si>
    <t>ring</t>
  </si>
  <si>
    <t>1 км Маритуй</t>
  </si>
  <si>
    <t>1kMa</t>
  </si>
  <si>
    <t>1kmM</t>
  </si>
  <si>
    <t>1kM</t>
  </si>
  <si>
    <t>Ma1</t>
  </si>
  <si>
    <t>1 km Marituy</t>
  </si>
  <si>
    <t>3 км Маритуй</t>
  </si>
  <si>
    <t>3kMa</t>
  </si>
  <si>
    <t>3kmM</t>
  </si>
  <si>
    <t>3kM</t>
  </si>
  <si>
    <t>Ma3</t>
  </si>
  <si>
    <t>3 km Marituy</t>
  </si>
  <si>
    <t>5 км Маритуй</t>
  </si>
  <si>
    <t>5kMa</t>
  </si>
  <si>
    <t>5kmM</t>
  </si>
  <si>
    <t>5kM</t>
  </si>
  <si>
    <t>Ma5</t>
  </si>
  <si>
    <t>5 km Marituy</t>
  </si>
  <si>
    <t>middle</t>
  </si>
  <si>
    <t>7 км Маритуй</t>
  </si>
  <si>
    <t>7kMa</t>
  </si>
  <si>
    <t>7kmM</t>
  </si>
  <si>
    <t>7kM</t>
  </si>
  <si>
    <t>Ma7</t>
  </si>
  <si>
    <t>7 km Marituy</t>
  </si>
  <si>
    <t>ц.ст. Маритуй-Солзан</t>
  </si>
  <si>
    <t>mMS</t>
  </si>
  <si>
    <t>mMaSo</t>
  </si>
  <si>
    <t>mp Marituy-Solzan</t>
  </si>
  <si>
    <t>7 км Солзан</t>
  </si>
  <si>
    <t>7kSo</t>
  </si>
  <si>
    <t>7kmS</t>
  </si>
  <si>
    <t>7kS</t>
  </si>
  <si>
    <t>So7</t>
  </si>
  <si>
    <t>7 km Solzan</t>
  </si>
  <si>
    <t>5 км Солзан</t>
  </si>
  <si>
    <t>5kSo</t>
  </si>
  <si>
    <t>5kmS</t>
  </si>
  <si>
    <t>5kS</t>
  </si>
  <si>
    <t>So5</t>
  </si>
  <si>
    <t>5 km Solzan</t>
  </si>
  <si>
    <t>3 км Солзан</t>
  </si>
  <si>
    <t>3kSo</t>
  </si>
  <si>
    <t>3kmS</t>
  </si>
  <si>
    <t>3kS</t>
  </si>
  <si>
    <t>So3</t>
  </si>
  <si>
    <t>3 km Solzan</t>
  </si>
  <si>
    <t>1 км Солзан</t>
  </si>
  <si>
    <t>1kSo</t>
  </si>
  <si>
    <t>1kmS</t>
  </si>
  <si>
    <t>1kS</t>
  </si>
  <si>
    <t>So1</t>
  </si>
  <si>
    <t>1 km Solzan</t>
  </si>
  <si>
    <t>ц.ст. Ивановский-Мурино</t>
  </si>
  <si>
    <t>mIM</t>
  </si>
  <si>
    <t>mIvMu</t>
  </si>
  <si>
    <t>mp Ivanovskiy-Murino</t>
  </si>
  <si>
    <t>MalMor</t>
  </si>
  <si>
    <t>ц.ст. Толстый-Снежная</t>
  </si>
  <si>
    <t>mTS</t>
  </si>
  <si>
    <t>mToSn</t>
  </si>
  <si>
    <t>ц.ст. Толстый-Снежная (mTSG)</t>
  </si>
  <si>
    <t>mTSG</t>
  </si>
  <si>
    <t>1 км Листвянка</t>
  </si>
  <si>
    <t>1kLi</t>
  </si>
  <si>
    <t>1kmL</t>
  </si>
  <si>
    <t>1kL</t>
  </si>
  <si>
    <t>Li1</t>
  </si>
  <si>
    <t>1 km Listvyanka</t>
  </si>
  <si>
    <t>3 км Листвянка</t>
  </si>
  <si>
    <t>3kLi</t>
  </si>
  <si>
    <t>3kmL</t>
  </si>
  <si>
    <t>3kL</t>
  </si>
  <si>
    <t>Li3</t>
  </si>
  <si>
    <t>3 km Listvyanka</t>
  </si>
  <si>
    <t>5 км Листвянка</t>
  </si>
  <si>
    <t>5kLi</t>
  </si>
  <si>
    <t>5kmL</t>
  </si>
  <si>
    <t>5kL</t>
  </si>
  <si>
    <t>Li5</t>
  </si>
  <si>
    <t>5 km Listvyanka</t>
  </si>
  <si>
    <t>7 км Листвянка</t>
  </si>
  <si>
    <t>7kLi</t>
  </si>
  <si>
    <t>7kmL</t>
  </si>
  <si>
    <t>7kL</t>
  </si>
  <si>
    <t>Li7</t>
  </si>
  <si>
    <t>7 km Listvyanka</t>
  </si>
  <si>
    <t>ц.ст. Листвянка-Танхой (pup)</t>
  </si>
  <si>
    <t>mLTpup</t>
  </si>
  <si>
    <t>mLiTapup</t>
  </si>
  <si>
    <t>mpLT_PUP</t>
  </si>
  <si>
    <t>mp Listvyanka-Tankhoy</t>
  </si>
  <si>
    <t>mLT</t>
  </si>
  <si>
    <t>mLiTa</t>
  </si>
  <si>
    <t>mpLT</t>
  </si>
  <si>
    <t>7 км Танхой</t>
  </si>
  <si>
    <t>7kTa</t>
  </si>
  <si>
    <t>7kmT</t>
  </si>
  <si>
    <t>Ta7</t>
  </si>
  <si>
    <t>7 km Tankhoy</t>
  </si>
  <si>
    <t>5 км Танхой</t>
  </si>
  <si>
    <t>5kTa</t>
  </si>
  <si>
    <t>5kmT</t>
  </si>
  <si>
    <t>Ta5</t>
  </si>
  <si>
    <t>5 km Tankhoy</t>
  </si>
  <si>
    <t>3 км Танхой</t>
  </si>
  <si>
    <t>3kTa</t>
  </si>
  <si>
    <t>3kmT</t>
  </si>
  <si>
    <t>Ta3</t>
  </si>
  <si>
    <t>3 km Tankhoy</t>
  </si>
  <si>
    <t>1 км Танхой</t>
  </si>
  <si>
    <t>1kTa</t>
  </si>
  <si>
    <t>1kmT</t>
  </si>
  <si>
    <t>Ta1</t>
  </si>
  <si>
    <t>1 km Tankhoy</t>
  </si>
  <si>
    <t>7 км Б.Коты</t>
  </si>
  <si>
    <t>7kBKot</t>
  </si>
  <si>
    <t>7kBKoty</t>
  </si>
  <si>
    <t>BK7</t>
  </si>
  <si>
    <t>7 km Bkoty</t>
  </si>
  <si>
    <t>1 км Кадильный</t>
  </si>
  <si>
    <t>1kKa</t>
  </si>
  <si>
    <t>1kmK</t>
  </si>
  <si>
    <t>1kK</t>
  </si>
  <si>
    <t>Ka1</t>
  </si>
  <si>
    <t>1 km Kadilniy</t>
  </si>
  <si>
    <t>3 км Кадильный</t>
  </si>
  <si>
    <t>3kKa</t>
  </si>
  <si>
    <t>3kmK</t>
  </si>
  <si>
    <t>3kK</t>
  </si>
  <si>
    <t>Ka3</t>
  </si>
  <si>
    <t>3 km Kadilniy</t>
  </si>
  <si>
    <t>5 км Кадильный</t>
  </si>
  <si>
    <t>5kKa</t>
  </si>
  <si>
    <t>5kmK</t>
  </si>
  <si>
    <t>5kK</t>
  </si>
  <si>
    <t>Ka5</t>
  </si>
  <si>
    <t>5 km Kadilniy</t>
  </si>
  <si>
    <t>7 км Кадильный</t>
  </si>
  <si>
    <t>7kKa</t>
  </si>
  <si>
    <t>7kmK</t>
  </si>
  <si>
    <t>7kK</t>
  </si>
  <si>
    <t>Ka7</t>
  </si>
  <si>
    <t>7 km Kadilniy</t>
  </si>
  <si>
    <t>ц.ст. Кадильный-Мишиха</t>
  </si>
  <si>
    <t>mKM</t>
  </si>
  <si>
    <t>mpKM</t>
  </si>
  <si>
    <t>mKaMi</t>
  </si>
  <si>
    <t>mp Kadilniy-Mishikha</t>
  </si>
  <si>
    <t>7 км Мишиха</t>
  </si>
  <si>
    <t>7kMi</t>
  </si>
  <si>
    <t>Mi7</t>
  </si>
  <si>
    <t>7 km Mishikha</t>
  </si>
  <si>
    <t>5 км Мишиха</t>
  </si>
  <si>
    <t>5kMi</t>
  </si>
  <si>
    <t>Mi5</t>
  </si>
  <si>
    <t>5 km Mishikha</t>
  </si>
  <si>
    <t>3 км Мишиха</t>
  </si>
  <si>
    <t>3kMi</t>
  </si>
  <si>
    <t>Mi3</t>
  </si>
  <si>
    <t>3 km Mishikha</t>
  </si>
  <si>
    <t>1 км Мишиха</t>
  </si>
  <si>
    <t>1kMi</t>
  </si>
  <si>
    <t>Mi1</t>
  </si>
  <si>
    <t>1 km Mishikha</t>
  </si>
  <si>
    <t>ц.ст. Голоустное-Бабушкин</t>
  </si>
  <si>
    <t>mGoBa</t>
  </si>
  <si>
    <t>mGB</t>
  </si>
  <si>
    <t>mal</t>
  </si>
  <si>
    <t>mGoBab</t>
  </si>
  <si>
    <t>mp Goloustnoye-Babushkin</t>
  </si>
  <si>
    <t>макс.глуб. Песчанки</t>
  </si>
  <si>
    <t>mdPes</t>
  </si>
  <si>
    <t>mdPI</t>
  </si>
  <si>
    <t>mdPe</t>
  </si>
  <si>
    <t>md Peschanka</t>
  </si>
  <si>
    <t>Kh1</t>
  </si>
  <si>
    <t>1 km Kharaus</t>
  </si>
  <si>
    <t>3 км Харауз</t>
  </si>
  <si>
    <t>3kKrYar</t>
  </si>
  <si>
    <t>3kKY</t>
  </si>
  <si>
    <t>3kKrY</t>
  </si>
  <si>
    <t>Kh3</t>
  </si>
  <si>
    <t>3 km Kharaus</t>
  </si>
  <si>
    <t>Kh5</t>
  </si>
  <si>
    <t>5 km Kharaus</t>
  </si>
  <si>
    <t>7 км Харауз</t>
  </si>
  <si>
    <t>7kKrYar</t>
  </si>
  <si>
    <t>7kKY</t>
  </si>
  <si>
    <t>7kKrY</t>
  </si>
  <si>
    <t>Kh7</t>
  </si>
  <si>
    <t>7 km Kharaus</t>
  </si>
  <si>
    <t>ц.ст. Кр.Яр-Харауз</t>
  </si>
  <si>
    <t>mKHa</t>
  </si>
  <si>
    <t>mKyKh</t>
  </si>
  <si>
    <t>mKH</t>
  </si>
  <si>
    <t>mKhKY</t>
  </si>
  <si>
    <t>mp KY-Kharaus</t>
  </si>
  <si>
    <t>7 км Кр.Яр</t>
  </si>
  <si>
    <t>7kKha</t>
  </si>
  <si>
    <t>7kHa</t>
  </si>
  <si>
    <t>KY7</t>
  </si>
  <si>
    <t>7 km KY</t>
  </si>
  <si>
    <t>KY5</t>
  </si>
  <si>
    <t>5 km Krasny Yar</t>
  </si>
  <si>
    <t>3 км Кр.Яр</t>
  </si>
  <si>
    <t>3kKha</t>
  </si>
  <si>
    <t>3kHa</t>
  </si>
  <si>
    <t>KY3</t>
  </si>
  <si>
    <t>3 km Krasny Yar</t>
  </si>
  <si>
    <t>KY1</t>
  </si>
  <si>
    <t>1 km Krasny Yar</t>
  </si>
  <si>
    <t>мин.глуб.Бугульдейка</t>
  </si>
  <si>
    <t>minDBug</t>
  </si>
  <si>
    <t>mdBu</t>
  </si>
  <si>
    <t>mdBU</t>
  </si>
  <si>
    <t>min depth Buguldeika</t>
  </si>
  <si>
    <t>3 км Голый</t>
  </si>
  <si>
    <t>3kGol</t>
  </si>
  <si>
    <t>3kmG</t>
  </si>
  <si>
    <t>3kG</t>
  </si>
  <si>
    <t>Go3</t>
  </si>
  <si>
    <t>3 km Goliy</t>
  </si>
  <si>
    <t>7 км Голый</t>
  </si>
  <si>
    <t>7kGol</t>
  </si>
  <si>
    <t>7kmG</t>
  </si>
  <si>
    <t>7kG</t>
  </si>
  <si>
    <t>Go7</t>
  </si>
  <si>
    <t>7 km Goliy</t>
  </si>
  <si>
    <t>ц.ст. Голый-Кукуй</t>
  </si>
  <si>
    <t>mGolKuk</t>
  </si>
  <si>
    <t>mGK</t>
  </si>
  <si>
    <t>mGoKu</t>
  </si>
  <si>
    <t>mp Goliy-Kukuy</t>
  </si>
  <si>
    <t>7 км Кукуй</t>
  </si>
  <si>
    <t>7kKuk</t>
  </si>
  <si>
    <t>Ku7</t>
  </si>
  <si>
    <t>7 km Kukuy</t>
  </si>
  <si>
    <t>3 км Кукуй</t>
  </si>
  <si>
    <t>3kKuk</t>
  </si>
  <si>
    <t>Ku3</t>
  </si>
  <si>
    <t>3 km Kukuy</t>
  </si>
  <si>
    <t>Ob3</t>
  </si>
  <si>
    <t>3 км от м.Облом</t>
  </si>
  <si>
    <t>Ob5</t>
  </si>
  <si>
    <t>5 км от м.Облом</t>
  </si>
  <si>
    <t>Ob7</t>
  </si>
  <si>
    <t>7 км от м.Облом</t>
  </si>
  <si>
    <t>Ob10</t>
  </si>
  <si>
    <t>10 км от м.Облом</t>
  </si>
  <si>
    <t>ц.ст. Анга-Сухая</t>
  </si>
  <si>
    <t>mAS</t>
  </si>
  <si>
    <t>mAnSu</t>
  </si>
  <si>
    <t>mpAS</t>
  </si>
  <si>
    <t>mp Anga-Sukhaya</t>
  </si>
  <si>
    <t>Su3</t>
  </si>
  <si>
    <t>3 km Suhaya</t>
  </si>
  <si>
    <t>Su5</t>
  </si>
  <si>
    <t>5 km Suhaya</t>
  </si>
  <si>
    <t>Su7</t>
  </si>
  <si>
    <t>7 km Suhaya</t>
  </si>
  <si>
    <t>Su10</t>
  </si>
  <si>
    <t>10 km Suhaya</t>
  </si>
  <si>
    <t>1 km Vorota</t>
  </si>
  <si>
    <t>1kMV</t>
  </si>
  <si>
    <t>1kVo</t>
  </si>
  <si>
    <t>1kmMV</t>
  </si>
  <si>
    <t>Vo1</t>
  </si>
  <si>
    <t>1 km M. Vorota</t>
  </si>
  <si>
    <t>3 km Vorota</t>
  </si>
  <si>
    <t>3kMV</t>
  </si>
  <si>
    <t>3kVo</t>
  </si>
  <si>
    <t>3kmMV</t>
  </si>
  <si>
    <t>Vo3</t>
  </si>
  <si>
    <t>3 km M. Vorota</t>
  </si>
  <si>
    <t>Vo5</t>
  </si>
  <si>
    <t>5 km M. Vorota</t>
  </si>
  <si>
    <t>7 km MVorota</t>
  </si>
  <si>
    <t>7kMV</t>
  </si>
  <si>
    <t>7kVo</t>
  </si>
  <si>
    <t>7kmMV</t>
  </si>
  <si>
    <t>Vo7</t>
  </si>
  <si>
    <t>7 km M. Vorota</t>
  </si>
  <si>
    <t>ц.ст. Ворота-Болдакова</t>
  </si>
  <si>
    <t>mVB</t>
  </si>
  <si>
    <t>mVoBa</t>
  </si>
  <si>
    <t>mpVB</t>
  </si>
  <si>
    <t>mVoBo</t>
  </si>
  <si>
    <t>mp Vorota-Boldakovo</t>
  </si>
  <si>
    <t>12 km Boldakovo</t>
  </si>
  <si>
    <t>12kB</t>
  </si>
  <si>
    <t>12kBo</t>
  </si>
  <si>
    <t>12kmB</t>
  </si>
  <si>
    <t>Bo12</t>
  </si>
  <si>
    <t>9kmBold0729</t>
  </si>
  <si>
    <t>9kMB</t>
  </si>
  <si>
    <t>9kBo</t>
  </si>
  <si>
    <t>9kmB</t>
  </si>
  <si>
    <t>Bo9</t>
  </si>
  <si>
    <t>9 km Boldakovo</t>
  </si>
  <si>
    <t>6kmBold0729</t>
  </si>
  <si>
    <t>6kMB</t>
  </si>
  <si>
    <t>6kBo</t>
  </si>
  <si>
    <t>6kmB</t>
  </si>
  <si>
    <t>Bo6</t>
  </si>
  <si>
    <t>6 km Boldakovo</t>
  </si>
  <si>
    <t>3kmBold0729</t>
  </si>
  <si>
    <t>3kMB</t>
  </si>
  <si>
    <t>3kBo</t>
  </si>
  <si>
    <t>3kmB</t>
  </si>
  <si>
    <t>Bo3</t>
  </si>
  <si>
    <t>3 km Boldakovo</t>
  </si>
  <si>
    <t>1km Boldakovo</t>
  </si>
  <si>
    <t>1kMB</t>
  </si>
  <si>
    <t>1kBo</t>
  </si>
  <si>
    <t>1kmB</t>
  </si>
  <si>
    <t>Bo1</t>
  </si>
  <si>
    <t>1 km Boldakovo</t>
  </si>
  <si>
    <t>seep SPB</t>
  </si>
  <si>
    <t>seepSPB</t>
  </si>
  <si>
    <t>seep</t>
  </si>
  <si>
    <t>seepNovosib</t>
  </si>
  <si>
    <t>seep Novosibirsk</t>
  </si>
  <si>
    <t>ц. Малого Моря</t>
  </si>
  <si>
    <t>mmm</t>
  </si>
  <si>
    <t>mMaMor</t>
  </si>
  <si>
    <t>mMMor</t>
  </si>
  <si>
    <t>mMM</t>
  </si>
  <si>
    <t>mp Maloye More</t>
  </si>
  <si>
    <t>ц.ст. Арал-Хобой (Малое море)</t>
  </si>
  <si>
    <t>mBvor</t>
  </si>
  <si>
    <t>mArKh</t>
  </si>
  <si>
    <t>mAH</t>
  </si>
  <si>
    <t>mArHo</t>
  </si>
  <si>
    <t>mp Aral-Hoboy</t>
  </si>
  <si>
    <t>Uh1</t>
  </si>
  <si>
    <t>1 kmUkhan</t>
  </si>
  <si>
    <t>3 км Ухан</t>
  </si>
  <si>
    <t>3kUh</t>
  </si>
  <si>
    <t>3kU</t>
  </si>
  <si>
    <t>3kmU</t>
  </si>
  <si>
    <t>Uh3</t>
  </si>
  <si>
    <t>3 km Ukhan</t>
  </si>
  <si>
    <t>Uh5</t>
  </si>
  <si>
    <t>5 km Ukhan</t>
  </si>
  <si>
    <t>7 км Ухан</t>
  </si>
  <si>
    <t>7kUh</t>
  </si>
  <si>
    <t>7kU</t>
  </si>
  <si>
    <t>7kmU</t>
  </si>
  <si>
    <t>Uh7</t>
  </si>
  <si>
    <t>7 km Ukhan</t>
  </si>
  <si>
    <t>ц.ст. Ухан-Тонкий</t>
  </si>
  <si>
    <t>mUT</t>
  </si>
  <si>
    <t>mUhTo</t>
  </si>
  <si>
    <t>mpUT</t>
  </si>
  <si>
    <t>mp Ukhan-Tonkiy</t>
  </si>
  <si>
    <t>7 км Тонкий</t>
  </si>
  <si>
    <t>7kTon</t>
  </si>
  <si>
    <t>7kT</t>
  </si>
  <si>
    <t>To7</t>
  </si>
  <si>
    <t>7 km Tonkiy</t>
  </si>
  <si>
    <t>To5</t>
  </si>
  <si>
    <t>5 km Tonkiy</t>
  </si>
  <si>
    <t>3 км Тонкий</t>
  </si>
  <si>
    <t>3kTon</t>
  </si>
  <si>
    <t>3kT</t>
  </si>
  <si>
    <t>To3</t>
  </si>
  <si>
    <t>3 km Tonkiy</t>
  </si>
  <si>
    <t>To1</t>
  </si>
  <si>
    <t>1 km Tonkiy</t>
  </si>
  <si>
    <t>md Igimey</t>
  </si>
  <si>
    <t>mizh</t>
  </si>
  <si>
    <t>mpIz</t>
  </si>
  <si>
    <t>izh</t>
  </si>
  <si>
    <t>mdIz</t>
  </si>
  <si>
    <t>md Izhimey</t>
  </si>
  <si>
    <t>7 км Ижимей</t>
  </si>
  <si>
    <t>7kIzh</t>
  </si>
  <si>
    <t>Iz7</t>
  </si>
  <si>
    <t>7 km Izhimey</t>
  </si>
  <si>
    <t>ц.ст. Хобой-Крестовый</t>
  </si>
  <si>
    <t>mHK</t>
  </si>
  <si>
    <t>mKhKr</t>
  </si>
  <si>
    <t>mKHK</t>
  </si>
  <si>
    <t>mHoKr</t>
  </si>
  <si>
    <t>mp Hob-Krestoviy</t>
  </si>
  <si>
    <t>сер. Академического хребта</t>
  </si>
  <si>
    <t>mAcR</t>
  </si>
  <si>
    <t>mpAR</t>
  </si>
  <si>
    <t>mAcad</t>
  </si>
  <si>
    <t xml:space="preserve">mp Academic </t>
  </si>
  <si>
    <t>north</t>
  </si>
  <si>
    <t>центр Барг. Залива</t>
  </si>
  <si>
    <t>mBarg</t>
  </si>
  <si>
    <t>mpBar</t>
  </si>
  <si>
    <t>Barg</t>
  </si>
  <si>
    <t>mp Bargusinsky bay</t>
  </si>
  <si>
    <t>oBarg</t>
  </si>
  <si>
    <t xml:space="preserve">Outfall Bargusinsky bay  </t>
  </si>
  <si>
    <t>ц. Чивыркуйский залив</t>
  </si>
  <si>
    <t>mChiv</t>
  </si>
  <si>
    <t>Chiv</t>
  </si>
  <si>
    <t>mp Chivirkuy bay</t>
  </si>
  <si>
    <t>ц.ст. Солнечная-Ушканий</t>
  </si>
  <si>
    <t>mSU</t>
  </si>
  <si>
    <t>mSoUsh</t>
  </si>
  <si>
    <t>mpSU</t>
  </si>
  <si>
    <t>mSoUs</t>
  </si>
  <si>
    <t>mp Solnechnaya-Ushkaniy</t>
  </si>
  <si>
    <t>макс.глуб. Заворотный-Сосновка</t>
  </si>
  <si>
    <t>mdZaSo</t>
  </si>
  <si>
    <t>mdZS</t>
  </si>
  <si>
    <t>mZS</t>
  </si>
  <si>
    <t>mp Zavorotny-Sosnovka</t>
  </si>
  <si>
    <t>El1</t>
  </si>
  <si>
    <t>1 km Elokhin</t>
  </si>
  <si>
    <t>3 км Елохин</t>
  </si>
  <si>
    <t>3kEl</t>
  </si>
  <si>
    <t>3kE</t>
  </si>
  <si>
    <t>3kmE</t>
  </si>
  <si>
    <t>El3</t>
  </si>
  <si>
    <t>3 km Elokhin</t>
  </si>
  <si>
    <t>El5</t>
  </si>
  <si>
    <t>5 km Elokhin</t>
  </si>
  <si>
    <t>7 км Елохин</t>
  </si>
  <si>
    <t>7kEl</t>
  </si>
  <si>
    <t>7kE</t>
  </si>
  <si>
    <t>7kmE</t>
  </si>
  <si>
    <t>El7</t>
  </si>
  <si>
    <t>7 km Elokhin</t>
  </si>
  <si>
    <t>md ElokhinDavshe</t>
  </si>
  <si>
    <t>mdED</t>
  </si>
  <si>
    <t>mdElDa</t>
  </si>
  <si>
    <t>md Elokhin-Davsha</t>
  </si>
  <si>
    <t>ц.ст. Елохин-Давша</t>
  </si>
  <si>
    <t>mElDa</t>
  </si>
  <si>
    <t>mED</t>
  </si>
  <si>
    <t>mpED</t>
  </si>
  <si>
    <t>mp Elokhin-Davsha</t>
  </si>
  <si>
    <t>7 км Давша</t>
  </si>
  <si>
    <t>7kDa</t>
  </si>
  <si>
    <t>7kD</t>
  </si>
  <si>
    <t>7kmD</t>
  </si>
  <si>
    <t>Da7</t>
  </si>
  <si>
    <t>7 km Davsha</t>
  </si>
  <si>
    <t>Da5</t>
  </si>
  <si>
    <t>5 km Davsha</t>
  </si>
  <si>
    <t>3 км Давша</t>
  </si>
  <si>
    <t>3kDa</t>
  </si>
  <si>
    <t>3kD</t>
  </si>
  <si>
    <t>3kmD</t>
  </si>
  <si>
    <t>Da3</t>
  </si>
  <si>
    <t>3 km Davsha</t>
  </si>
  <si>
    <t>Da1</t>
  </si>
  <si>
    <t>1 km Davsha</t>
  </si>
  <si>
    <t>Va3</t>
  </si>
  <si>
    <t>3 km Valukan</t>
  </si>
  <si>
    <t>Va6</t>
  </si>
  <si>
    <t>6 km Valukan</t>
  </si>
  <si>
    <t>Va10</t>
  </si>
  <si>
    <t>10 km Valukan</t>
  </si>
  <si>
    <t>Va13</t>
  </si>
  <si>
    <t>13 km Valukan</t>
  </si>
  <si>
    <t>ц.ст. Черемшаний-Кабаний</t>
  </si>
  <si>
    <t>mChK</t>
  </si>
  <si>
    <t>mChKa</t>
  </si>
  <si>
    <t>mpCK</t>
  </si>
  <si>
    <t>mp Cheremshaniy-Kabaniy</t>
  </si>
  <si>
    <t>ц.ст. Мужинай-Урбикан</t>
  </si>
  <si>
    <t>mMuzhUr</t>
  </si>
  <si>
    <t>mp Muzhinay-Urbikan</t>
  </si>
  <si>
    <t>ц.ст. Котельниковский-Амнундакан</t>
  </si>
  <si>
    <t>mKA</t>
  </si>
  <si>
    <t>mKaAm</t>
  </si>
  <si>
    <t>mpKA</t>
  </si>
  <si>
    <t>MDKA</t>
  </si>
  <si>
    <t>mKoAm</t>
  </si>
  <si>
    <t>mp Kotelnikov-Amnund</t>
  </si>
  <si>
    <t>1 км Байкальское</t>
  </si>
  <si>
    <t>1kBa</t>
  </si>
  <si>
    <t>1kB</t>
  </si>
  <si>
    <t>Ba1</t>
  </si>
  <si>
    <t>1 km Baikalskoe</t>
  </si>
  <si>
    <t>3 км Байкальское</t>
  </si>
  <si>
    <t>3kBa</t>
  </si>
  <si>
    <t>3kB</t>
  </si>
  <si>
    <t>Ba3</t>
  </si>
  <si>
    <t>3 km Baikalskoe</t>
  </si>
  <si>
    <t>5 км Байкальское</t>
  </si>
  <si>
    <t>5kBa</t>
  </si>
  <si>
    <t>5kB</t>
  </si>
  <si>
    <t>5kmB</t>
  </si>
  <si>
    <t>Ba5</t>
  </si>
  <si>
    <t>5 km Baikalskoe</t>
  </si>
  <si>
    <t>7 км Байкальское</t>
  </si>
  <si>
    <t>7kBa</t>
  </si>
  <si>
    <t>7kB</t>
  </si>
  <si>
    <t>7kmB</t>
  </si>
  <si>
    <t>Ba7</t>
  </si>
  <si>
    <t>7 km Baikalskoe</t>
  </si>
  <si>
    <t>ц.ст. Байкальский-Турали</t>
  </si>
  <si>
    <t>mBaTu</t>
  </si>
  <si>
    <t>mBT</t>
  </si>
  <si>
    <t>mpBT</t>
  </si>
  <si>
    <t>mp Baikalskoe-Turali</t>
  </si>
  <si>
    <t>7 км Турали</t>
  </si>
  <si>
    <t>7kTu</t>
  </si>
  <si>
    <t>7kmTu</t>
  </si>
  <si>
    <t>Tu7</t>
  </si>
  <si>
    <t>7 km Turaly</t>
  </si>
  <si>
    <t>5 км Турали</t>
  </si>
  <si>
    <t>5kTu</t>
  </si>
  <si>
    <t>5kmTu</t>
  </si>
  <si>
    <t>Tu5</t>
  </si>
  <si>
    <t>5 km Turaly</t>
  </si>
  <si>
    <t>3 км Турали</t>
  </si>
  <si>
    <t>3kTu</t>
  </si>
  <si>
    <t>3kmTu</t>
  </si>
  <si>
    <t>Tu3</t>
  </si>
  <si>
    <t>3 km Turaly</t>
  </si>
  <si>
    <t>1 км Турали</t>
  </si>
  <si>
    <t>1KTu</t>
  </si>
  <si>
    <t>1kmTu</t>
  </si>
  <si>
    <t>Tu1</t>
  </si>
  <si>
    <t>1 km Turaly</t>
  </si>
  <si>
    <t>ц.ст. Тыя-Немнянко</t>
  </si>
  <si>
    <t>mTyNe</t>
  </si>
  <si>
    <t>mTN</t>
  </si>
  <si>
    <t>mpTN</t>
  </si>
  <si>
    <t>mp Tiya-Nemnyanko</t>
  </si>
  <si>
    <t>7 км Н. Ангарск</t>
  </si>
  <si>
    <t>7kNAn</t>
  </si>
  <si>
    <t>7kNA</t>
  </si>
  <si>
    <t>7kmNA</t>
  </si>
  <si>
    <t>Nizh7</t>
  </si>
  <si>
    <t>7 km Nizhneangarsk</t>
  </si>
  <si>
    <t>Malenky</t>
  </si>
  <si>
    <t>seepMalenky</t>
  </si>
  <si>
    <t>Irkutsk</t>
  </si>
  <si>
    <t>seepIrkutsk</t>
  </si>
  <si>
    <t>mpKrestRing</t>
  </si>
  <si>
    <t>ringKrest</t>
  </si>
  <si>
    <t>mdPP</t>
  </si>
  <si>
    <t>ц.т. Песчанка-Исток</t>
  </si>
  <si>
    <t>mPeIst</t>
  </si>
  <si>
    <t>mp Peschanya-Istok</t>
  </si>
  <si>
    <t>ц.т. Ижимей-Лиственичный</t>
  </si>
  <si>
    <t>mIzLs</t>
  </si>
  <si>
    <t>mp Izhemey-Listv</t>
  </si>
  <si>
    <t>центр Кольца Нижн. Изголовье</t>
  </si>
  <si>
    <t>ringSvNos</t>
  </si>
  <si>
    <t>SvNosRing</t>
  </si>
  <si>
    <t>Seep Vorota</t>
  </si>
  <si>
    <t>seepVorota</t>
  </si>
  <si>
    <t>Sr10</t>
  </si>
  <si>
    <t>10 km Sredniya</t>
  </si>
  <si>
    <t>Sr7</t>
  </si>
  <si>
    <t>7 km Sredniya</t>
  </si>
  <si>
    <t>Sr5</t>
  </si>
  <si>
    <t>5 km Sredniya</t>
  </si>
  <si>
    <t>Sr3</t>
  </si>
  <si>
    <t>3 km Sredniya</t>
  </si>
  <si>
    <t>54 50.000</t>
  </si>
  <si>
    <t>109 14.911</t>
  </si>
  <si>
    <t>Ist10</t>
  </si>
  <si>
    <t>10 km Istok</t>
  </si>
  <si>
    <t>52 35.426</t>
  </si>
  <si>
    <t>106 23.706</t>
  </si>
  <si>
    <t>Ist5</t>
  </si>
  <si>
    <t>5 km Istok</t>
  </si>
  <si>
    <t>52 02.998</t>
  </si>
  <si>
    <t>105 42.116</t>
  </si>
  <si>
    <t>Ist15</t>
  </si>
  <si>
    <t>15 km Istok</t>
  </si>
  <si>
    <t>52 37.393</t>
  </si>
  <si>
    <t>106 26.082</t>
  </si>
  <si>
    <t>52 21.910</t>
  </si>
  <si>
    <t>105 58.182</t>
  </si>
  <si>
    <t>53 36.092</t>
  </si>
  <si>
    <t>108 11.966</t>
  </si>
  <si>
    <t>близ Ушканьих (т.1)</t>
  </si>
  <si>
    <t>близ Ушканьих (т.2)</t>
  </si>
  <si>
    <t>близ Ушканьих (т.3)</t>
  </si>
  <si>
    <t>сер.Солн.-Ушканьи</t>
  </si>
  <si>
    <t>близ Академ. Хребта</t>
  </si>
  <si>
    <r>
      <rPr>
        <b/>
        <sz val="12"/>
        <color rgb="FF666666"/>
        <rFont val="Arial"/>
      </rPr>
      <t>N 53° 14' 59" - E 108° 05' 11"</t>
    </r>
    <r>
      <rPr>
        <sz val="12"/>
        <color rgb="FF666666"/>
        <rFont val="Arial"/>
      </rPr>
      <t>.</t>
    </r>
    <r>
      <rPr>
        <b/>
        <sz val="12"/>
        <color rgb="FF666666"/>
        <rFont val="Arial"/>
      </rPr>
      <t> </t>
    </r>
  </si>
  <si>
    <t>т.1, р.1 Академ. Хреб.</t>
  </si>
  <si>
    <t>т.4, р.1 Академ. Хреб.</t>
  </si>
  <si>
    <t>т.5, р.1 Академ. Хреб.</t>
  </si>
  <si>
    <t>т.5, р.2 Академ. Хреб.</t>
  </si>
  <si>
    <t>т.4, р.2 Академ. Хреб.</t>
  </si>
  <si>
    <t>*</t>
  </si>
  <si>
    <t>Latitude:</t>
  </si>
  <si>
    <t>т.3, р.2 Академ. Хреб.</t>
  </si>
  <si>
    <t>Longitude:</t>
  </si>
  <si>
    <t>т.2, р.2 Академ. Хреб.</t>
  </si>
  <si>
    <t>т.1, р.2 Академ. Хреб.</t>
  </si>
  <si>
    <t>т.2, р.1 Академ. Хреб.</t>
  </si>
  <si>
    <t>т.3, р.1 Академ. Хреб.</t>
  </si>
  <si>
    <t>т.1, р.3 Академ. Хреб.</t>
  </si>
  <si>
    <t>т.2, р.3 Академ. Хреб.</t>
  </si>
  <si>
    <t>т.3, р.3 Академ. Хреб.</t>
  </si>
  <si>
    <t>т.4, р.3 Академ. Хреб.</t>
  </si>
  <si>
    <t>52 11.709</t>
  </si>
  <si>
    <t>105 55.785</t>
  </si>
  <si>
    <t>т.5, р.3 Академ. Хреб.</t>
  </si>
  <si>
    <t>53 09.947</t>
  </si>
  <si>
    <t>107 59.641</t>
  </si>
  <si>
    <t>т.4, р.4 Академ. Хреб.</t>
  </si>
  <si>
    <t>53 31.466</t>
  </si>
  <si>
    <t>108 23.849</t>
  </si>
  <si>
    <t>т.3, р.4 Академ. Хреб.</t>
  </si>
  <si>
    <t>Seep Vorota MM (13)</t>
  </si>
  <si>
    <t>52 55.927</t>
  </si>
  <si>
    <t>106 52.063</t>
  </si>
  <si>
    <t>т.2, р.4 Академ. Хреб.</t>
  </si>
  <si>
    <t>сер.Ворота-Болдаково</t>
  </si>
  <si>
    <t>10 км от Болдаково</t>
  </si>
  <si>
    <t>7 км от Болдаково</t>
  </si>
  <si>
    <t>5 км от Болдаково</t>
  </si>
  <si>
    <t>3 км от Болдаково</t>
  </si>
  <si>
    <t>3 км от  Сухой</t>
  </si>
  <si>
    <t>5 км от  Сухой</t>
  </si>
  <si>
    <t>7 км от  Сухой</t>
  </si>
  <si>
    <t>10 км от  Сухой</t>
  </si>
  <si>
    <t>сер.Сухая-Анга</t>
  </si>
  <si>
    <t>3 км м.Кукуй</t>
  </si>
  <si>
    <t>5 км м.Кукуй</t>
  </si>
  <si>
    <t>7 км м.Кукуй</t>
  </si>
  <si>
    <t>10 км м.Кукуй</t>
  </si>
  <si>
    <t>т.5 над перемычк. м/у Ю. и Ср.Б</t>
  </si>
  <si>
    <t>т.4 над перемычк. м/у Ю. и Ср.Б</t>
  </si>
  <si>
    <t>т.3 над перемычк. м/у Ю. и Ср.Б</t>
  </si>
  <si>
    <t>т.2 над перемычк. м/у Ю. и Ср.Б</t>
  </si>
  <si>
    <t>т.1 над перемычк. м/у Ю. и Ср.Б</t>
  </si>
  <si>
    <t>10 км от  пр.Средняя</t>
  </si>
  <si>
    <t>7 км от  пр.Средняя</t>
  </si>
  <si>
    <t>5 км от  пр.Средняя</t>
  </si>
  <si>
    <t>3 км от  пр.Средняя</t>
  </si>
  <si>
    <t>близ Харауза</t>
  </si>
  <si>
    <t>3 км от Харауза</t>
  </si>
  <si>
    <t>5 км от Харауза</t>
  </si>
  <si>
    <t>7 км от Харауза</t>
  </si>
  <si>
    <t>10 км от Харауза</t>
  </si>
  <si>
    <t>10 км от п.Исток (на Песчанку)</t>
  </si>
  <si>
    <t>5 км от п.Исток (на Песчанку)</t>
  </si>
  <si>
    <t>15 км от п.Исток (на Песчанку)</t>
  </si>
  <si>
    <t>Name</t>
  </si>
  <si>
    <t>FullName</t>
  </si>
  <si>
    <t>Lat</t>
  </si>
  <si>
    <t>Lon</t>
  </si>
  <si>
    <t>Depth</t>
  </si>
  <si>
    <t>Region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</si>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</sst>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[$-419]d\ mmm"/>
  </numFmts>
  <fonts count="16">
    <font>
      <sz val="11"/>
      <color theme="1"/>
      <name val="Calibri"/>
      <scheme val="minor"/>
    </font>
    <font>
      <b/>
      <sz val="10"/>
      <color theme="1"/>
      <name val="Arial"/>
    </font>
    <font>
      <sz val="11"/>
      <color theme="1"/>
      <name val="Calibri"/>
      <scheme val="minor"/>
    </font>
    <font>
      <sz val="11"/>
      <color theme="1"/>
      <name val="Calibri"/>
    </font>
    <font>
      <sz val="10"/>
      <color theme="1"/>
      <name val="Arial"/>
    </font>
    <font>
      <b/>
      <sz val="12"/>
      <color theme="1"/>
      <name val="Calibri"/>
    </font>
    <font>
      <sz val="12"/>
      <color theme="1"/>
      <name val="Calibri"/>
    </font>
    <font>
      <b/>
      <sz val="12"/>
      <color theme="1"/>
      <name val="Arimo"/>
    </font>
    <font>
      <sz val="12"/>
      <color theme="1"/>
      <name val="Arimo"/>
    </font>
    <font>
      <b/>
      <sz val="12"/>
      <color theme="1"/>
      <name val="Arial"/>
    </font>
    <font>
      <sz val="10"/>
      <color theme="1"/>
      <name val="Times New Roman"/>
    </font>
    <font>
      <sz val="10"/>
      <color theme="1"/>
      <name val="Arimo"/>
    </font>
    <font>
      <sz val="12"/>
      <color theme="1"/>
      <name val="Arial"/>
    </font>
    <font>
      <sz val="12"/>
      <color theme="1"/>
      <name val="Times New Roman"/>
    </font>
    <font>
      <b/>
      <sz val="12"/>
      <color rgb="FF666666"/>
      <name val="Arial"/>
    </font>
    <font>
      <sz val="12"/>
      <color rgb="FF666666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008080"/>
        <bgColor rgb="FF00808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 style="thick">
        <color rgb="FF000080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4" fillId="3" borderId="1" xfId="0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left" vertical="center"/>
    </xf>
    <xf numFmtId="0" fontId="4" fillId="0" borderId="0" xfId="0" applyFont="1"/>
    <xf numFmtId="0" fontId="6" fillId="2" borderId="1" xfId="0" applyFont="1" applyFill="1" applyBorder="1"/>
    <xf numFmtId="0" fontId="8" fillId="2" borderId="1" xfId="0" applyFont="1" applyFill="1" applyBorder="1"/>
    <xf numFmtId="164" fontId="10" fillId="0" borderId="0" xfId="0" applyNumberFormat="1" applyFont="1"/>
    <xf numFmtId="0" fontId="10" fillId="0" borderId="0" xfId="0" applyFont="1"/>
    <xf numFmtId="164" fontId="6" fillId="0" borderId="0" xfId="0" applyNumberFormat="1" applyFont="1"/>
    <xf numFmtId="0" fontId="11" fillId="0" borderId="0" xfId="0" applyFont="1"/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164" fontId="13" fillId="0" borderId="0" xfId="0" applyNumberFormat="1" applyFont="1"/>
    <xf numFmtId="0" fontId="12" fillId="0" borderId="0" xfId="0" applyFont="1"/>
    <xf numFmtId="0" fontId="14" fillId="0" borderId="0" xfId="0" applyFont="1"/>
    <xf numFmtId="14" fontId="12" fillId="0" borderId="0" xfId="0" applyNumberFormat="1" applyFont="1" applyAlignment="1">
      <alignment horizontal="center" vertical="center"/>
    </xf>
    <xf numFmtId="20" fontId="8" fillId="0" borderId="0" xfId="0" applyNumberFormat="1" applyFont="1"/>
    <xf numFmtId="0" fontId="8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5" fontId="10" fillId="0" borderId="0" xfId="0" applyNumberFormat="1" applyFont="1" applyAlignment="1">
      <alignment horizontal="right"/>
    </xf>
    <xf numFmtId="0" fontId="12" fillId="3" borderId="1" xfId="0" applyFont="1" applyFill="1" applyBorder="1"/>
    <xf numFmtId="0" fontId="9" fillId="0" borderId="0" xfId="0" applyFont="1"/>
    <xf numFmtId="0" fontId="12" fillId="2" borderId="1" xfId="0" applyFont="1" applyFill="1" applyBorder="1"/>
    <xf numFmtId="0" fontId="12" fillId="0" borderId="0" xfId="0" applyFont="1" applyAlignment="1"/>
    <xf numFmtId="164" fontId="1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StList!$N$1:$N$120</c:f>
              <c:numCache>
                <c:formatCode>General</c:formatCode>
                <c:ptCount val="120"/>
                <c:pt idx="0">
                  <c:v>103.93265833333334</c:v>
                </c:pt>
                <c:pt idx="1">
                  <c:v>103.87591666666667</c:v>
                </c:pt>
                <c:pt idx="2">
                  <c:v>104.2195</c:v>
                </c:pt>
                <c:pt idx="3">
                  <c:v>104.22319444444445</c:v>
                </c:pt>
                <c:pt idx="4">
                  <c:v>104.23102777777778</c:v>
                </c:pt>
                <c:pt idx="5">
                  <c:v>104.22818333333333</c:v>
                </c:pt>
                <c:pt idx="6">
                  <c:v>104.23184444444445</c:v>
                </c:pt>
                <c:pt idx="7">
                  <c:v>104.227575</c:v>
                </c:pt>
                <c:pt idx="8">
                  <c:v>104.22685277777778</c:v>
                </c:pt>
                <c:pt idx="9">
                  <c:v>104.2302</c:v>
                </c:pt>
                <c:pt idx="10">
                  <c:v>104.2296</c:v>
                </c:pt>
                <c:pt idx="11">
                  <c:v>104.43186666666666</c:v>
                </c:pt>
                <c:pt idx="12">
                  <c:v>104.54396666666666</c:v>
                </c:pt>
                <c:pt idx="13">
                  <c:v>104.7565</c:v>
                </c:pt>
                <c:pt idx="14">
                  <c:v>104.89345</c:v>
                </c:pt>
                <c:pt idx="15">
                  <c:v>104.90908333333333</c:v>
                </c:pt>
                <c:pt idx="16">
                  <c:v>104.9211</c:v>
                </c:pt>
                <c:pt idx="17">
                  <c:v>104.93505</c:v>
                </c:pt>
                <c:pt idx="18">
                  <c:v>104.98108333333333</c:v>
                </c:pt>
                <c:pt idx="19">
                  <c:v>105.00879999999999</c:v>
                </c:pt>
                <c:pt idx="20">
                  <c:v>105.0848</c:v>
                </c:pt>
                <c:pt idx="21">
                  <c:v>105.098</c:v>
                </c:pt>
                <c:pt idx="22">
                  <c:v>105.11346666666667</c:v>
                </c:pt>
                <c:pt idx="23">
                  <c:v>105.12753333333333</c:v>
                </c:pt>
                <c:pt idx="24">
                  <c:v>105.12011666666666</c:v>
                </c:pt>
                <c:pt idx="25">
                  <c:v>105.22828333333334</c:v>
                </c:pt>
                <c:pt idx="26">
                  <c:v>105.24684999999999</c:v>
                </c:pt>
                <c:pt idx="27">
                  <c:v>105.26686666666667</c:v>
                </c:pt>
                <c:pt idx="28">
                  <c:v>105.28081666666667</c:v>
                </c:pt>
                <c:pt idx="29">
                  <c:v>105.36778333333334</c:v>
                </c:pt>
                <c:pt idx="30">
                  <c:v>105.46176666666666</c:v>
                </c:pt>
                <c:pt idx="31">
                  <c:v>105.48126666666667</c:v>
                </c:pt>
                <c:pt idx="32">
                  <c:v>105.49885</c:v>
                </c:pt>
                <c:pt idx="33">
                  <c:v>105.51636666666667</c:v>
                </c:pt>
                <c:pt idx="34">
                  <c:v>105.63823333333333</c:v>
                </c:pt>
                <c:pt idx="35">
                  <c:v>105.80006666666667</c:v>
                </c:pt>
                <c:pt idx="36">
                  <c:v>106.23268333333333</c:v>
                </c:pt>
                <c:pt idx="37">
                  <c:v>106.21108333333333</c:v>
                </c:pt>
                <c:pt idx="38">
                  <c:v>106.18635</c:v>
                </c:pt>
                <c:pt idx="39">
                  <c:v>106.16153333333334</c:v>
                </c:pt>
                <c:pt idx="40">
                  <c:v>106.06258333333334</c:v>
                </c:pt>
                <c:pt idx="41">
                  <c:v>105.96446666666667</c:v>
                </c:pt>
                <c:pt idx="42">
                  <c:v>105.94011666666667</c:v>
                </c:pt>
                <c:pt idx="43">
                  <c:v>105.91851666666666</c:v>
                </c:pt>
                <c:pt idx="44">
                  <c:v>105.89319999999999</c:v>
                </c:pt>
                <c:pt idx="45">
                  <c:v>106.11565</c:v>
                </c:pt>
                <c:pt idx="46">
                  <c:v>106.21259999999999</c:v>
                </c:pt>
                <c:pt idx="47">
                  <c:v>106.24469999999999</c:v>
                </c:pt>
                <c:pt idx="48">
                  <c:v>106.28798333333333</c:v>
                </c:pt>
                <c:pt idx="49">
                  <c:v>106.37325</c:v>
                </c:pt>
                <c:pt idx="50">
                  <c:v>106.41096666666667</c:v>
                </c:pt>
                <c:pt idx="51">
                  <c:v>106.84675</c:v>
                </c:pt>
                <c:pt idx="52">
                  <c:v>106.82461666666667</c:v>
                </c:pt>
                <c:pt idx="53">
                  <c:v>106.80411666666667</c:v>
                </c:pt>
                <c:pt idx="54">
                  <c:v>106.76560000000001</c:v>
                </c:pt>
                <c:pt idx="55">
                  <c:v>106.85076666666667</c:v>
                </c:pt>
                <c:pt idx="56">
                  <c:v>107.08658333333334</c:v>
                </c:pt>
                <c:pt idx="57">
                  <c:v>107.0605</c:v>
                </c:pt>
                <c:pt idx="58">
                  <c:v>107.03453333333333</c:v>
                </c:pt>
                <c:pt idx="59">
                  <c:v>106.99616666666667</c:v>
                </c:pt>
                <c:pt idx="60">
                  <c:v>106.94618333333334</c:v>
                </c:pt>
                <c:pt idx="61">
                  <c:v>106.9605</c:v>
                </c:pt>
                <c:pt idx="62">
                  <c:v>106.97626666666666</c:v>
                </c:pt>
                <c:pt idx="63">
                  <c:v>106.9883</c:v>
                </c:pt>
                <c:pt idx="64">
                  <c:v>107.12053333333333</c:v>
                </c:pt>
                <c:pt idx="65">
                  <c:v>107.21281666666667</c:v>
                </c:pt>
                <c:pt idx="66">
                  <c:v>107.23283333333333</c:v>
                </c:pt>
                <c:pt idx="67">
                  <c:v>107.25648333333334</c:v>
                </c:pt>
                <c:pt idx="68">
                  <c:v>107.26904999999999</c:v>
                </c:pt>
                <c:pt idx="69">
                  <c:v>107.28381666666667</c:v>
                </c:pt>
                <c:pt idx="70">
                  <c:v>107.16421666666666</c:v>
                </c:pt>
                <c:pt idx="71">
                  <c:v>107.25327</c:v>
                </c:pt>
                <c:pt idx="72">
                  <c:v>107.25700000000001</c:v>
                </c:pt>
                <c:pt idx="73">
                  <c:v>107.67586666666666</c:v>
                </c:pt>
                <c:pt idx="74">
                  <c:v>107.40689999999999</c:v>
                </c:pt>
                <c:pt idx="75">
                  <c:v>107.41466666666666</c:v>
                </c:pt>
                <c:pt idx="76">
                  <c:v>107.42788333333333</c:v>
                </c:pt>
                <c:pt idx="77">
                  <c:v>107.44583333333334</c:v>
                </c:pt>
                <c:pt idx="78">
                  <c:v>107.53631666666666</c:v>
                </c:pt>
                <c:pt idx="79">
                  <c:v>107.61618333333334</c:v>
                </c:pt>
                <c:pt idx="80">
                  <c:v>107.6277</c:v>
                </c:pt>
                <c:pt idx="81">
                  <c:v>107.63853333333333</c:v>
                </c:pt>
                <c:pt idx="82">
                  <c:v>107.65056666666666</c:v>
                </c:pt>
                <c:pt idx="83">
                  <c:v>107.80166666666666</c:v>
                </c:pt>
                <c:pt idx="84">
                  <c:v>107.80581666666667</c:v>
                </c:pt>
                <c:pt idx="85">
                  <c:v>108.22523333333334</c:v>
                </c:pt>
                <c:pt idx="86">
                  <c:v>108.12128333333334</c:v>
                </c:pt>
                <c:pt idx="87">
                  <c:v>108.73886666666667</c:v>
                </c:pt>
                <c:pt idx="88">
                  <c:v>108.97176666666667</c:v>
                </c:pt>
                <c:pt idx="89">
                  <c:v>109.12241666666667</c:v>
                </c:pt>
                <c:pt idx="90">
                  <c:v>108.42515</c:v>
                </c:pt>
                <c:pt idx="91">
                  <c:v>108.7383</c:v>
                </c:pt>
                <c:pt idx="92">
                  <c:v>108.67381666666667</c:v>
                </c:pt>
                <c:pt idx="93">
                  <c:v>108.70135000000001</c:v>
                </c:pt>
                <c:pt idx="94">
                  <c:v>108.73076666666667</c:v>
                </c:pt>
                <c:pt idx="95">
                  <c:v>108.7568</c:v>
                </c:pt>
                <c:pt idx="96">
                  <c:v>108.92035</c:v>
                </c:pt>
                <c:pt idx="97">
                  <c:v>109.06185000000001</c:v>
                </c:pt>
                <c:pt idx="98">
                  <c:v>109.36133333333333</c:v>
                </c:pt>
                <c:pt idx="99">
                  <c:v>109.39063333333333</c:v>
                </c:pt>
                <c:pt idx="100">
                  <c:v>109.41965</c:v>
                </c:pt>
                <c:pt idx="101">
                  <c:v>109.4483</c:v>
                </c:pt>
                <c:pt idx="102">
                  <c:v>109.41296666666666</c:v>
                </c:pt>
                <c:pt idx="103">
                  <c:v>109.37216666666667</c:v>
                </c:pt>
                <c:pt idx="104">
                  <c:v>109.33836666666667</c:v>
                </c:pt>
                <c:pt idx="105">
                  <c:v>109.29291666666667</c:v>
                </c:pt>
                <c:pt idx="106">
                  <c:v>109.11735</c:v>
                </c:pt>
                <c:pt idx="107">
                  <c:v>109.24851666666666</c:v>
                </c:pt>
                <c:pt idx="108">
                  <c:v>109.43565</c:v>
                </c:pt>
                <c:pt idx="109">
                  <c:v>109.21729999999999</c:v>
                </c:pt>
                <c:pt idx="110">
                  <c:v>109.26531666666666</c:v>
                </c:pt>
                <c:pt idx="111">
                  <c:v>109.29613333333333</c:v>
                </c:pt>
                <c:pt idx="112">
                  <c:v>109.32731666666666</c:v>
                </c:pt>
                <c:pt idx="113">
                  <c:v>109.48378333333334</c:v>
                </c:pt>
                <c:pt idx="114">
                  <c:v>109.65128333333334</c:v>
                </c:pt>
                <c:pt idx="115">
                  <c:v>109.68115</c:v>
                </c:pt>
                <c:pt idx="116">
                  <c:v>109.71176666666666</c:v>
                </c:pt>
                <c:pt idx="117">
                  <c:v>109.74156666666667</c:v>
                </c:pt>
                <c:pt idx="118">
                  <c:v>109.59253333333334</c:v>
                </c:pt>
                <c:pt idx="119">
                  <c:v>109.62275</c:v>
                </c:pt>
              </c:numCache>
            </c:numRef>
          </c:xVal>
          <c:yVal>
            <c:numRef>
              <c:f>StList!$M$1:$M$120</c:f>
              <c:numCache>
                <c:formatCode>General</c:formatCode>
                <c:ptCount val="120"/>
                <c:pt idx="0">
                  <c:v>51.677811111111112</c:v>
                </c:pt>
                <c:pt idx="1">
                  <c:v>51.675283333333333</c:v>
                </c:pt>
                <c:pt idx="2">
                  <c:v>51.775622222222225</c:v>
                </c:pt>
                <c:pt idx="3">
                  <c:v>51.759194444444447</c:v>
                </c:pt>
                <c:pt idx="4">
                  <c:v>51.740311111111112</c:v>
                </c:pt>
                <c:pt idx="5">
                  <c:v>51.722166666666666</c:v>
                </c:pt>
                <c:pt idx="6">
                  <c:v>51.644822222222224</c:v>
                </c:pt>
                <c:pt idx="7">
                  <c:v>51.563724999999998</c:v>
                </c:pt>
                <c:pt idx="8">
                  <c:v>51.545877777777775</c:v>
                </c:pt>
                <c:pt idx="9">
                  <c:v>51.529116666666667</c:v>
                </c:pt>
                <c:pt idx="10">
                  <c:v>51.50716666666667</c:v>
                </c:pt>
                <c:pt idx="11">
                  <c:v>51.64575</c:v>
                </c:pt>
                <c:pt idx="12">
                  <c:v>51.668533333333336</c:v>
                </c:pt>
                <c:pt idx="13">
                  <c:v>51.62448333333333</c:v>
                </c:pt>
                <c:pt idx="14">
                  <c:v>51.831800000000001</c:v>
                </c:pt>
                <c:pt idx="15">
                  <c:v>51.815566666666669</c:v>
                </c:pt>
                <c:pt idx="16">
                  <c:v>51.801433333333335</c:v>
                </c:pt>
                <c:pt idx="17">
                  <c:v>51.78543333333333</c:v>
                </c:pt>
                <c:pt idx="18">
                  <c:v>51.719000000000001</c:v>
                </c:pt>
                <c:pt idx="19">
                  <c:v>51.704966666666664</c:v>
                </c:pt>
                <c:pt idx="20">
                  <c:v>51.619816666666665</c:v>
                </c:pt>
                <c:pt idx="21">
                  <c:v>51.606216666666668</c:v>
                </c:pt>
                <c:pt idx="22">
                  <c:v>51.592683333333333</c:v>
                </c:pt>
                <c:pt idx="23">
                  <c:v>51.574666666666666</c:v>
                </c:pt>
                <c:pt idx="24">
                  <c:v>51.843266666666665</c:v>
                </c:pt>
                <c:pt idx="25">
                  <c:v>51.907516666666666</c:v>
                </c:pt>
                <c:pt idx="26">
                  <c:v>51.89371666666667</c:v>
                </c:pt>
                <c:pt idx="27">
                  <c:v>51.878483333333335</c:v>
                </c:pt>
                <c:pt idx="28">
                  <c:v>51.863683333333334</c:v>
                </c:pt>
                <c:pt idx="29">
                  <c:v>51.777283333333337</c:v>
                </c:pt>
                <c:pt idx="30">
                  <c:v>51.6965</c:v>
                </c:pt>
                <c:pt idx="31">
                  <c:v>51.680733333333336</c:v>
                </c:pt>
                <c:pt idx="32">
                  <c:v>51.666566666666668</c:v>
                </c:pt>
                <c:pt idx="33">
                  <c:v>51.650083333333335</c:v>
                </c:pt>
                <c:pt idx="34">
                  <c:v>51.918666666666667</c:v>
                </c:pt>
                <c:pt idx="35">
                  <c:v>52.23211666666667</c:v>
                </c:pt>
                <c:pt idx="36">
                  <c:v>52.280516666666664</c:v>
                </c:pt>
                <c:pt idx="37">
                  <c:v>52.291550000000001</c:v>
                </c:pt>
                <c:pt idx="38">
                  <c:v>52.301216666666669</c:v>
                </c:pt>
                <c:pt idx="39">
                  <c:v>52.30813333333333</c:v>
                </c:pt>
                <c:pt idx="40">
                  <c:v>52.344316666666664</c:v>
                </c:pt>
                <c:pt idx="41">
                  <c:v>52.381883333333334</c:v>
                </c:pt>
                <c:pt idx="42">
                  <c:v>52.392566666666667</c:v>
                </c:pt>
                <c:pt idx="43">
                  <c:v>52.403199999999998</c:v>
                </c:pt>
                <c:pt idx="44">
                  <c:v>52.412999999999997</c:v>
                </c:pt>
                <c:pt idx="45">
                  <c:v>52.473833333333332</c:v>
                </c:pt>
                <c:pt idx="46">
                  <c:v>52.541316666666667</c:v>
                </c:pt>
                <c:pt idx="47">
                  <c:v>52.507899999999999</c:v>
                </c:pt>
                <c:pt idx="48">
                  <c:v>52.469250000000002</c:v>
                </c:pt>
                <c:pt idx="49">
                  <c:v>52.411900000000003</c:v>
                </c:pt>
                <c:pt idx="50">
                  <c:v>52.385966666666668</c:v>
                </c:pt>
                <c:pt idx="51">
                  <c:v>52.47325</c:v>
                </c:pt>
                <c:pt idx="52">
                  <c:v>52.479383333333331</c:v>
                </c:pt>
                <c:pt idx="53">
                  <c:v>52.492133333333335</c:v>
                </c:pt>
                <c:pt idx="54">
                  <c:v>52.508066666666664</c:v>
                </c:pt>
                <c:pt idx="55">
                  <c:v>52.664583333333333</c:v>
                </c:pt>
                <c:pt idx="56">
                  <c:v>52.575183333333335</c:v>
                </c:pt>
                <c:pt idx="57">
                  <c:v>52.587183333333336</c:v>
                </c:pt>
                <c:pt idx="58">
                  <c:v>52.597066666666663</c:v>
                </c:pt>
                <c:pt idx="59">
                  <c:v>52.612416666666668</c:v>
                </c:pt>
                <c:pt idx="60">
                  <c:v>52.988566666666664</c:v>
                </c:pt>
                <c:pt idx="61">
                  <c:v>52.97345</c:v>
                </c:pt>
                <c:pt idx="62">
                  <c:v>52.956583333333334</c:v>
                </c:pt>
                <c:pt idx="63">
                  <c:v>52.94083333333333</c:v>
                </c:pt>
                <c:pt idx="64">
                  <c:v>52.794133333333335</c:v>
                </c:pt>
                <c:pt idx="65">
                  <c:v>52.693249999999999</c:v>
                </c:pt>
                <c:pt idx="66">
                  <c:v>52.670433333333335</c:v>
                </c:pt>
                <c:pt idx="67">
                  <c:v>52.645800000000001</c:v>
                </c:pt>
                <c:pt idx="68">
                  <c:v>52.621200000000002</c:v>
                </c:pt>
                <c:pt idx="69">
                  <c:v>52.606866666666669</c:v>
                </c:pt>
                <c:pt idx="70">
                  <c:v>52.887549999999997</c:v>
                </c:pt>
                <c:pt idx="71">
                  <c:v>52.936129999999999</c:v>
                </c:pt>
                <c:pt idx="72">
                  <c:v>53.239933333333333</c:v>
                </c:pt>
                <c:pt idx="73">
                  <c:v>53.442016666666667</c:v>
                </c:pt>
                <c:pt idx="74">
                  <c:v>53.06516666666667</c:v>
                </c:pt>
                <c:pt idx="75">
                  <c:v>53.048183333333334</c:v>
                </c:pt>
                <c:pt idx="76">
                  <c:v>53.030816666666666</c:v>
                </c:pt>
                <c:pt idx="77">
                  <c:v>53.016183333333331</c:v>
                </c:pt>
                <c:pt idx="78">
                  <c:v>52.89821666666667</c:v>
                </c:pt>
                <c:pt idx="79">
                  <c:v>52.775449999999999</c:v>
                </c:pt>
                <c:pt idx="80">
                  <c:v>52.758933333333331</c:v>
                </c:pt>
                <c:pt idx="81">
                  <c:v>52.742316666666667</c:v>
                </c:pt>
                <c:pt idx="82">
                  <c:v>52.727066666666666</c:v>
                </c:pt>
                <c:pt idx="83">
                  <c:v>53.160333333333334</c:v>
                </c:pt>
                <c:pt idx="84">
                  <c:v>53.193750000000001</c:v>
                </c:pt>
                <c:pt idx="85">
                  <c:v>53.360083333333336</c:v>
                </c:pt>
                <c:pt idx="86">
                  <c:v>53.631866666666667</c:v>
                </c:pt>
                <c:pt idx="87">
                  <c:v>53.453366666666668</c:v>
                </c:pt>
                <c:pt idx="88">
                  <c:v>53.431733333333334</c:v>
                </c:pt>
                <c:pt idx="89">
                  <c:v>53.759399999999999</c:v>
                </c:pt>
                <c:pt idx="90">
                  <c:v>53.942433333333334</c:v>
                </c:pt>
                <c:pt idx="91">
                  <c:v>54.282850000000003</c:v>
                </c:pt>
                <c:pt idx="92">
                  <c:v>54.538800000000002</c:v>
                </c:pt>
                <c:pt idx="93">
                  <c:v>54.533166666666666</c:v>
                </c:pt>
                <c:pt idx="94">
                  <c:v>54.525983333333336</c:v>
                </c:pt>
                <c:pt idx="95">
                  <c:v>54.519266666666667</c:v>
                </c:pt>
                <c:pt idx="96">
                  <c:v>54.479816666666665</c:v>
                </c:pt>
                <c:pt idx="97">
                  <c:v>54.458816666666664</c:v>
                </c:pt>
                <c:pt idx="98">
                  <c:v>54.39705</c:v>
                </c:pt>
                <c:pt idx="99">
                  <c:v>54.391399999999997</c:v>
                </c:pt>
                <c:pt idx="100">
                  <c:v>54.385583333333336</c:v>
                </c:pt>
                <c:pt idx="101">
                  <c:v>54.380216666666669</c:v>
                </c:pt>
                <c:pt idx="102">
                  <c:v>54.290199999999999</c:v>
                </c:pt>
                <c:pt idx="103">
                  <c:v>54.271483333333336</c:v>
                </c:pt>
                <c:pt idx="104">
                  <c:v>54.247750000000003</c:v>
                </c:pt>
                <c:pt idx="105">
                  <c:v>54.232366666666664</c:v>
                </c:pt>
                <c:pt idx="106">
                  <c:v>54.619516666666669</c:v>
                </c:pt>
                <c:pt idx="107">
                  <c:v>54.833333333333336</c:v>
                </c:pt>
                <c:pt idx="108">
                  <c:v>55.043216666666666</c:v>
                </c:pt>
                <c:pt idx="109">
                  <c:v>55.354583333333331</c:v>
                </c:pt>
                <c:pt idx="110">
                  <c:v>55.357799999999997</c:v>
                </c:pt>
                <c:pt idx="111">
                  <c:v>55.353766666666665</c:v>
                </c:pt>
                <c:pt idx="112">
                  <c:v>55.3489</c:v>
                </c:pt>
                <c:pt idx="113">
                  <c:v>55.325249999999997</c:v>
                </c:pt>
                <c:pt idx="114">
                  <c:v>55.299566666666664</c:v>
                </c:pt>
                <c:pt idx="115">
                  <c:v>55.297683333333332</c:v>
                </c:pt>
                <c:pt idx="116">
                  <c:v>55.294066666666666</c:v>
                </c:pt>
                <c:pt idx="117">
                  <c:v>55.289666666666669</c:v>
                </c:pt>
                <c:pt idx="118">
                  <c:v>55.56516666666667</c:v>
                </c:pt>
                <c:pt idx="119">
                  <c:v>55.714399999999998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F6-49CF-9B36-717BD9499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5470825"/>
        <c:axId val="1046446716"/>
      </c:scatterChart>
      <c:valAx>
        <c:axId val="126547082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046446716"/>
        <c:crosses val="autoZero"/>
        <c:crossBetween val="midCat"/>
      </c:valAx>
      <c:valAx>
        <c:axId val="10464467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265470825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171450</xdr:colOff>
      <xdr:row>94</xdr:row>
      <xdr:rowOff>0</xdr:rowOff>
    </xdr:from>
    <xdr:ext cx="8458200" cy="6829425"/>
    <xdr:graphicFrame macro="">
      <xdr:nvGraphicFramePr>
        <xdr:cNvPr id="1480137873" name="Chart 1">
          <a:extLst>
            <a:ext uri="{FF2B5EF4-FFF2-40B4-BE49-F238E27FC236}">
              <a16:creationId xmlns:a16="http://schemas.microsoft.com/office/drawing/2014/main" id="{00000000-0008-0000-0000-0000911C39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workbookViewId="0"/>
  </sheetViews>
  <sheetFormatPr defaultColWidth="14.42578125" defaultRowHeight="15" customHeight="1"/>
  <cols>
    <col min="1" max="1" width="42" customWidth="1"/>
    <col min="2" max="6" width="8.7109375" customWidth="1"/>
    <col min="7" max="7" width="13.42578125" customWidth="1"/>
    <col min="8" max="10" width="8.7109375" customWidth="1"/>
    <col min="11" max="11" width="11.7109375" customWidth="1"/>
    <col min="12" max="12" width="31.28515625" customWidth="1"/>
    <col min="13" max="13" width="9.5703125" customWidth="1"/>
    <col min="14" max="15" width="8.85546875" customWidth="1"/>
    <col min="16" max="17" width="8.7109375" customWidth="1"/>
    <col min="18" max="18" width="24.28515625" customWidth="1"/>
    <col min="19" max="19" width="8.7109375" customWidth="1"/>
    <col min="20" max="20" width="15.85546875" customWidth="1"/>
    <col min="21" max="21" width="19.28515625" customWidth="1"/>
    <col min="22" max="22" width="22.28515625" customWidth="1"/>
    <col min="23" max="23" width="13.28515625" customWidth="1"/>
    <col min="24" max="24" width="16.28515625" customWidth="1"/>
    <col min="25" max="29" width="8.7109375" customWidth="1"/>
  </cols>
  <sheetData>
    <row r="1" spans="1:22" ht="15.75">
      <c r="A1" s="1" t="s">
        <v>0</v>
      </c>
      <c r="B1" s="2">
        <v>51.683833333333332</v>
      </c>
      <c r="C1" s="3">
        <v>103.95333333333333</v>
      </c>
      <c r="D1" s="2">
        <v>1258</v>
      </c>
      <c r="G1" s="4" t="s">
        <v>1</v>
      </c>
      <c r="H1" s="4" t="s">
        <v>2</v>
      </c>
      <c r="I1" s="4"/>
      <c r="K1" s="5" t="s">
        <v>3</v>
      </c>
      <c r="L1" s="6" t="s">
        <v>0</v>
      </c>
      <c r="M1" s="7">
        <v>51.677811111111112</v>
      </c>
      <c r="N1" s="7">
        <v>103.93265833333334</v>
      </c>
      <c r="O1" s="7">
        <v>1258</v>
      </c>
      <c r="P1" s="7" t="s">
        <v>4</v>
      </c>
      <c r="Q1" s="2" t="s">
        <v>5</v>
      </c>
      <c r="R1" s="2">
        <f t="shared" ref="R1:R51" si="0">IF(AND(B1&lt;&gt;"",M1&lt;&gt;""),SQRT((B1-M1)^2+(C1-N1)^2),"")</f>
        <v>2.1534223586971761E-2</v>
      </c>
      <c r="T1" s="2" t="s">
        <v>4</v>
      </c>
      <c r="U1" s="2">
        <v>50.634113888888891</v>
      </c>
      <c r="V1" s="2">
        <v>108.65228611111111</v>
      </c>
    </row>
    <row r="2" spans="1:22" ht="15.75">
      <c r="A2" s="8" t="s">
        <v>6</v>
      </c>
      <c r="B2" s="2">
        <v>51.675283333333333</v>
      </c>
      <c r="C2" s="2">
        <v>103.87591666666667</v>
      </c>
      <c r="D2" s="2">
        <v>1218</v>
      </c>
      <c r="G2" s="4" t="s">
        <v>7</v>
      </c>
      <c r="H2" s="4" t="s">
        <v>8</v>
      </c>
      <c r="I2" s="4"/>
      <c r="K2" s="5" t="s">
        <v>9</v>
      </c>
      <c r="L2" s="6" t="s">
        <v>10</v>
      </c>
      <c r="M2" s="7">
        <v>51.675283333333333</v>
      </c>
      <c r="N2" s="7">
        <v>103.87591666666667</v>
      </c>
      <c r="O2" s="7">
        <v>1218</v>
      </c>
      <c r="P2" s="7" t="s">
        <v>4</v>
      </c>
      <c r="Q2" s="2" t="s">
        <v>11</v>
      </c>
      <c r="R2" s="2">
        <f t="shared" si="0"/>
        <v>0</v>
      </c>
      <c r="T2" s="2" t="s">
        <v>4</v>
      </c>
      <c r="U2" s="2">
        <v>54.158813888888886</v>
      </c>
      <c r="V2" s="2">
        <v>103.41226944444445</v>
      </c>
    </row>
    <row r="3" spans="1:22" ht="15.75">
      <c r="A3" s="9" t="s">
        <v>12</v>
      </c>
      <c r="B3" s="2">
        <v>51.775500000000001</v>
      </c>
      <c r="C3" s="2">
        <v>104.21866666666666</v>
      </c>
      <c r="D3" s="2">
        <v>557</v>
      </c>
      <c r="G3" s="4" t="s">
        <v>13</v>
      </c>
      <c r="H3" s="4" t="s">
        <v>14</v>
      </c>
      <c r="I3" s="4" t="s">
        <v>15</v>
      </c>
      <c r="K3" s="5" t="s">
        <v>16</v>
      </c>
      <c r="L3" s="7" t="s">
        <v>17</v>
      </c>
      <c r="M3" s="7">
        <v>51.775622222222225</v>
      </c>
      <c r="N3" s="7">
        <v>104.2195</v>
      </c>
      <c r="O3" s="7">
        <v>557</v>
      </c>
      <c r="P3" s="7" t="s">
        <v>4</v>
      </c>
      <c r="R3" s="2">
        <f t="shared" si="0"/>
        <v>8.4224860703270522E-4</v>
      </c>
      <c r="T3" s="2" t="s">
        <v>4</v>
      </c>
      <c r="U3" s="2">
        <v>53.436391666666665</v>
      </c>
      <c r="V3" s="2">
        <v>104.83573055555556</v>
      </c>
    </row>
    <row r="4" spans="1:22" ht="15.75">
      <c r="A4" s="9" t="s">
        <v>18</v>
      </c>
      <c r="B4" s="2">
        <v>51.758400000000002</v>
      </c>
      <c r="C4" s="2">
        <v>104.21866666666666</v>
      </c>
      <c r="D4" s="2">
        <v>1328</v>
      </c>
      <c r="G4" s="4" t="s">
        <v>19</v>
      </c>
      <c r="H4" s="4" t="s">
        <v>20</v>
      </c>
      <c r="I4" s="4" t="s">
        <v>21</v>
      </c>
      <c r="K4" s="5" t="s">
        <v>22</v>
      </c>
      <c r="L4" s="7" t="s">
        <v>23</v>
      </c>
      <c r="M4" s="7">
        <v>51.759194444444447</v>
      </c>
      <c r="N4" s="7">
        <v>104.22319444444445</v>
      </c>
      <c r="O4" s="7">
        <v>1328</v>
      </c>
      <c r="P4" s="7" t="s">
        <v>4</v>
      </c>
      <c r="R4" s="2">
        <f t="shared" si="0"/>
        <v>4.596946114572017E-3</v>
      </c>
    </row>
    <row r="5" spans="1:22" ht="15.75">
      <c r="A5" s="9" t="s">
        <v>24</v>
      </c>
      <c r="B5" s="2">
        <v>51.740783333333333</v>
      </c>
      <c r="C5" s="2">
        <v>104.22011666666667</v>
      </c>
      <c r="D5" s="2">
        <v>1330</v>
      </c>
      <c r="G5" s="4" t="s">
        <v>25</v>
      </c>
      <c r="H5" s="4" t="s">
        <v>26</v>
      </c>
      <c r="I5" s="4" t="s">
        <v>27</v>
      </c>
      <c r="K5" s="5" t="s">
        <v>28</v>
      </c>
      <c r="L5" s="7" t="s">
        <v>29</v>
      </c>
      <c r="M5" s="7">
        <v>51.740311111111112</v>
      </c>
      <c r="N5" s="7">
        <v>104.23102777777778</v>
      </c>
      <c r="O5" s="7">
        <v>1330</v>
      </c>
      <c r="P5" s="7" t="s">
        <v>4</v>
      </c>
      <c r="R5" s="2">
        <f t="shared" si="0"/>
        <v>1.0921324988581746E-2</v>
      </c>
      <c r="T5" s="2" t="s">
        <v>30</v>
      </c>
      <c r="U5" s="2">
        <v>51.600561111111112</v>
      </c>
      <c r="V5" s="2">
        <v>107.33015555555555</v>
      </c>
    </row>
    <row r="6" spans="1:22" ht="15.75">
      <c r="A6" s="9" t="s">
        <v>31</v>
      </c>
      <c r="B6" s="2">
        <v>51.722683333333336</v>
      </c>
      <c r="C6" s="2">
        <v>104.2209</v>
      </c>
      <c r="D6" s="2">
        <v>1331</v>
      </c>
      <c r="G6" s="4" t="s">
        <v>32</v>
      </c>
      <c r="H6" s="4" t="s">
        <v>33</v>
      </c>
      <c r="I6" s="4" t="s">
        <v>34</v>
      </c>
      <c r="K6" s="5" t="s">
        <v>35</v>
      </c>
      <c r="L6" s="7" t="s">
        <v>36</v>
      </c>
      <c r="M6" s="7">
        <v>51.722166666666666</v>
      </c>
      <c r="N6" s="7">
        <v>104.22818333333333</v>
      </c>
      <c r="O6" s="7">
        <v>1331</v>
      </c>
      <c r="P6" s="7" t="s">
        <v>4</v>
      </c>
      <c r="R6" s="2">
        <f t="shared" si="0"/>
        <v>7.3016360419357251E-3</v>
      </c>
      <c r="T6" s="2" t="s">
        <v>30</v>
      </c>
      <c r="U6" s="2">
        <v>53.849986111111114</v>
      </c>
      <c r="V6" s="2">
        <v>108.84104722222222</v>
      </c>
    </row>
    <row r="7" spans="1:22" ht="15.75">
      <c r="A7" s="8" t="s">
        <v>37</v>
      </c>
      <c r="B7" s="2">
        <v>51.646766666666664</v>
      </c>
      <c r="C7" s="2">
        <v>104.23001666666667</v>
      </c>
      <c r="D7" s="2">
        <v>1264</v>
      </c>
      <c r="G7" s="4" t="s">
        <v>38</v>
      </c>
      <c r="H7" s="4" t="s">
        <v>39</v>
      </c>
      <c r="I7" s="4"/>
      <c r="K7" s="5" t="s">
        <v>39</v>
      </c>
      <c r="L7" s="6" t="s">
        <v>40</v>
      </c>
      <c r="M7" s="7">
        <v>51.644822222222224</v>
      </c>
      <c r="N7" s="7">
        <v>104.23184444444445</v>
      </c>
      <c r="O7" s="7">
        <v>1264</v>
      </c>
      <c r="P7" s="7" t="s">
        <v>4</v>
      </c>
      <c r="Q7" s="2" t="s">
        <v>5</v>
      </c>
      <c r="R7" s="2">
        <f t="shared" si="0"/>
        <v>2.668639316664907E-3</v>
      </c>
      <c r="T7" s="2" t="s">
        <v>30</v>
      </c>
      <c r="U7" s="2">
        <v>53.379752777777782</v>
      </c>
      <c r="V7" s="2">
        <v>107.76782777777778</v>
      </c>
    </row>
    <row r="8" spans="1:22" ht="15.75">
      <c r="A8" s="9" t="s">
        <v>41</v>
      </c>
      <c r="B8" s="2">
        <v>51.565366666666669</v>
      </c>
      <c r="C8" s="2">
        <v>104.22505</v>
      </c>
      <c r="D8" s="2">
        <v>866</v>
      </c>
      <c r="G8" s="4" t="s">
        <v>42</v>
      </c>
      <c r="H8" s="4" t="s">
        <v>43</v>
      </c>
      <c r="I8" s="4" t="s">
        <v>44</v>
      </c>
      <c r="K8" s="5" t="s">
        <v>45</v>
      </c>
      <c r="L8" s="7" t="s">
        <v>46</v>
      </c>
      <c r="M8" s="7">
        <v>51.563724999999998</v>
      </c>
      <c r="N8" s="7">
        <v>104.227575</v>
      </c>
      <c r="O8" s="7">
        <v>866</v>
      </c>
      <c r="P8" s="7" t="s">
        <v>4</v>
      </c>
      <c r="R8" s="2">
        <f t="shared" si="0"/>
        <v>3.0117593603222457E-3</v>
      </c>
      <c r="T8" s="2" t="s">
        <v>30</v>
      </c>
      <c r="U8" s="2">
        <v>52.983591666666669</v>
      </c>
      <c r="V8" s="2">
        <v>106.90858333333334</v>
      </c>
    </row>
    <row r="9" spans="1:22" ht="15.75">
      <c r="A9" s="9" t="s">
        <v>47</v>
      </c>
      <c r="B9" s="2">
        <v>51.547750000000001</v>
      </c>
      <c r="C9" s="2">
        <v>104.2255</v>
      </c>
      <c r="D9" s="2">
        <v>628</v>
      </c>
      <c r="G9" s="4" t="s">
        <v>48</v>
      </c>
      <c r="H9" s="4" t="s">
        <v>49</v>
      </c>
      <c r="I9" s="4" t="s">
        <v>50</v>
      </c>
      <c r="K9" s="5" t="s">
        <v>51</v>
      </c>
      <c r="L9" s="7" t="s">
        <v>52</v>
      </c>
      <c r="M9" s="7">
        <v>51.545877777777775</v>
      </c>
      <c r="N9" s="7">
        <v>104.22685277777778</v>
      </c>
      <c r="O9" s="7">
        <v>628</v>
      </c>
      <c r="P9" s="7" t="s">
        <v>4</v>
      </c>
      <c r="R9" s="2">
        <f t="shared" si="0"/>
        <v>2.3098103310565717E-3</v>
      </c>
      <c r="T9" s="2" t="s">
        <v>30</v>
      </c>
      <c r="U9" s="2">
        <v>52.622952777777776</v>
      </c>
      <c r="V9" s="2">
        <v>105.75638333333333</v>
      </c>
    </row>
    <row r="10" spans="1:22" ht="15.75">
      <c r="A10" s="9" t="s">
        <v>53</v>
      </c>
      <c r="B10" s="2">
        <v>51.529333333333334</v>
      </c>
      <c r="C10" s="2">
        <v>104.22766666666666</v>
      </c>
      <c r="D10" s="2">
        <v>457</v>
      </c>
      <c r="G10" s="4" t="s">
        <v>54</v>
      </c>
      <c r="H10" s="4" t="s">
        <v>55</v>
      </c>
      <c r="I10" s="4" t="s">
        <v>56</v>
      </c>
      <c r="K10" s="5" t="s">
        <v>57</v>
      </c>
      <c r="L10" s="7" t="s">
        <v>58</v>
      </c>
      <c r="M10" s="7">
        <v>51.529116666666667</v>
      </c>
      <c r="N10" s="7">
        <v>104.2302</v>
      </c>
      <c r="O10" s="7">
        <v>457</v>
      </c>
      <c r="P10" s="7" t="s">
        <v>4</v>
      </c>
      <c r="R10" s="2">
        <f t="shared" si="0"/>
        <v>2.5425818024630686E-3</v>
      </c>
    </row>
    <row r="11" spans="1:22" ht="15.75">
      <c r="A11" s="9" t="s">
        <v>59</v>
      </c>
      <c r="B11" s="2">
        <v>51.511166666666668</v>
      </c>
      <c r="C11" s="2">
        <v>104.22833333333334</v>
      </c>
      <c r="D11" s="2">
        <v>122</v>
      </c>
      <c r="G11" s="4" t="s">
        <v>60</v>
      </c>
      <c r="H11" s="4" t="s">
        <v>61</v>
      </c>
      <c r="I11" s="4" t="s">
        <v>62</v>
      </c>
      <c r="K11" s="5" t="s">
        <v>63</v>
      </c>
      <c r="L11" s="7" t="s">
        <v>64</v>
      </c>
      <c r="M11" s="7">
        <v>51.50716666666667</v>
      </c>
      <c r="N11" s="7">
        <v>104.2296</v>
      </c>
      <c r="O11" s="7">
        <v>122</v>
      </c>
      <c r="P11" s="7" t="s">
        <v>4</v>
      </c>
      <c r="R11" s="2">
        <f t="shared" si="0"/>
        <v>4.1957650606802609E-3</v>
      </c>
    </row>
    <row r="12" spans="1:22" ht="15.75">
      <c r="A12" s="10" t="s">
        <v>65</v>
      </c>
      <c r="B12" s="2">
        <v>51.64575</v>
      </c>
      <c r="C12" s="2">
        <v>104.43186666666666</v>
      </c>
      <c r="D12" s="2">
        <v>1297</v>
      </c>
      <c r="G12" s="4" t="s">
        <v>66</v>
      </c>
      <c r="H12" s="4" t="s">
        <v>67</v>
      </c>
      <c r="I12" s="4"/>
      <c r="K12" s="5" t="s">
        <v>67</v>
      </c>
      <c r="L12" s="6" t="s">
        <v>68</v>
      </c>
      <c r="M12" s="7">
        <f t="shared" ref="M12:N12" si="1">B12</f>
        <v>51.64575</v>
      </c>
      <c r="N12" s="7">
        <f t="shared" si="1"/>
        <v>104.43186666666666</v>
      </c>
      <c r="O12" s="7">
        <v>1297</v>
      </c>
      <c r="P12" s="7" t="s">
        <v>4</v>
      </c>
      <c r="Q12" s="2" t="s">
        <v>5</v>
      </c>
      <c r="R12" s="2">
        <f t="shared" si="0"/>
        <v>0</v>
      </c>
      <c r="T12" s="2" t="s">
        <v>69</v>
      </c>
      <c r="U12" s="2">
        <v>53.412352777777777</v>
      </c>
      <c r="V12" s="2">
        <v>107.7992</v>
      </c>
    </row>
    <row r="13" spans="1:22" ht="15.75">
      <c r="A13" s="10" t="s">
        <v>70</v>
      </c>
      <c r="B13" s="2">
        <v>51.668533333333336</v>
      </c>
      <c r="C13" s="2">
        <v>104.54396666666666</v>
      </c>
      <c r="D13" s="2">
        <v>1329</v>
      </c>
      <c r="G13" s="4" t="s">
        <v>71</v>
      </c>
      <c r="H13" s="4" t="s">
        <v>72</v>
      </c>
      <c r="I13" s="4"/>
      <c r="K13" s="5" t="s">
        <v>71</v>
      </c>
      <c r="L13" s="6" t="s">
        <v>71</v>
      </c>
      <c r="M13" s="7">
        <f t="shared" ref="M13:N13" si="2">B13</f>
        <v>51.668533333333336</v>
      </c>
      <c r="N13" s="7">
        <f t="shared" si="2"/>
        <v>104.54396666666666</v>
      </c>
      <c r="O13" s="7">
        <v>1329</v>
      </c>
      <c r="P13" s="7" t="s">
        <v>4</v>
      </c>
      <c r="Q13" s="2" t="s">
        <v>5</v>
      </c>
      <c r="R13" s="2">
        <f t="shared" si="0"/>
        <v>0</v>
      </c>
      <c r="T13" s="2" t="s">
        <v>69</v>
      </c>
      <c r="U13" s="2">
        <v>53.482313888888889</v>
      </c>
      <c r="V13" s="2">
        <v>107.41714166666667</v>
      </c>
    </row>
    <row r="14" spans="1:22" ht="15.75">
      <c r="A14" s="10" t="s">
        <v>73</v>
      </c>
      <c r="B14" s="2">
        <v>51.604999999999997</v>
      </c>
      <c r="C14" s="2">
        <v>104.73333333333333</v>
      </c>
      <c r="D14" s="2">
        <v>1096</v>
      </c>
      <c r="G14" s="4" t="s">
        <v>74</v>
      </c>
      <c r="H14" s="4"/>
      <c r="I14" s="4"/>
      <c r="K14" s="5" t="s">
        <v>74</v>
      </c>
      <c r="L14" s="6" t="s">
        <v>74</v>
      </c>
      <c r="M14" s="7">
        <v>51.62448333333333</v>
      </c>
      <c r="N14" s="7">
        <v>104.7565</v>
      </c>
      <c r="O14" s="7">
        <v>1096</v>
      </c>
      <c r="P14" s="7" t="s">
        <v>4</v>
      </c>
      <c r="Q14" s="2" t="s">
        <v>5</v>
      </c>
      <c r="R14" s="2">
        <f t="shared" si="0"/>
        <v>3.0270360457422815E-2</v>
      </c>
      <c r="T14" s="2" t="s">
        <v>69</v>
      </c>
      <c r="U14" s="2">
        <v>53.011422222222222</v>
      </c>
      <c r="V14" s="2">
        <v>106.54029722222222</v>
      </c>
    </row>
    <row r="15" spans="1:22" ht="15.75">
      <c r="A15" s="9" t="s">
        <v>75</v>
      </c>
      <c r="B15" s="2">
        <v>51.815399999999997</v>
      </c>
      <c r="C15" s="2">
        <v>104.89341666666667</v>
      </c>
      <c r="D15" s="2">
        <v>467</v>
      </c>
      <c r="G15" s="4" t="s">
        <v>76</v>
      </c>
      <c r="H15" s="4" t="s">
        <v>77</v>
      </c>
      <c r="I15" s="4" t="s">
        <v>78</v>
      </c>
      <c r="K15" s="5" t="s">
        <v>79</v>
      </c>
      <c r="L15" s="7" t="s">
        <v>80</v>
      </c>
      <c r="M15" s="7">
        <v>51.831800000000001</v>
      </c>
      <c r="N15" s="7">
        <v>104.89345</v>
      </c>
      <c r="O15" s="7">
        <v>467</v>
      </c>
      <c r="P15" s="7" t="s">
        <v>4</v>
      </c>
      <c r="R15" s="2">
        <f t="shared" si="0"/>
        <v>1.6400033875308181E-2</v>
      </c>
      <c r="T15" s="2" t="s">
        <v>69</v>
      </c>
      <c r="U15" s="2">
        <v>52.987552777777779</v>
      </c>
      <c r="V15" s="2">
        <v>106.9391638888889</v>
      </c>
    </row>
    <row r="16" spans="1:22" ht="15.75">
      <c r="A16" s="9" t="s">
        <v>81</v>
      </c>
      <c r="B16" s="2">
        <v>51.815649999999998</v>
      </c>
      <c r="C16" s="2">
        <v>104.90633333333334</v>
      </c>
      <c r="D16" s="2">
        <v>1401</v>
      </c>
      <c r="G16" s="4" t="s">
        <v>82</v>
      </c>
      <c r="H16" s="4" t="s">
        <v>83</v>
      </c>
      <c r="I16" s="4" t="s">
        <v>84</v>
      </c>
      <c r="K16" s="5" t="s">
        <v>85</v>
      </c>
      <c r="L16" s="7" t="s">
        <v>86</v>
      </c>
      <c r="M16" s="7">
        <v>51.815566666666669</v>
      </c>
      <c r="N16" s="7">
        <v>104.90908333333333</v>
      </c>
      <c r="O16" s="7">
        <v>1401</v>
      </c>
      <c r="P16" s="7" t="s">
        <v>4</v>
      </c>
      <c r="R16" s="2">
        <f t="shared" si="0"/>
        <v>2.7512623365282167E-3</v>
      </c>
    </row>
    <row r="17" spans="1:18" ht="15.75">
      <c r="A17" s="9" t="s">
        <v>87</v>
      </c>
      <c r="B17" s="2">
        <v>51.801050000000004</v>
      </c>
      <c r="C17" s="2">
        <v>104.9218</v>
      </c>
      <c r="D17" s="2">
        <v>1395</v>
      </c>
      <c r="G17" s="4" t="s">
        <v>88</v>
      </c>
      <c r="H17" s="4" t="s">
        <v>89</v>
      </c>
      <c r="I17" s="4" t="s">
        <v>90</v>
      </c>
      <c r="K17" s="5" t="s">
        <v>91</v>
      </c>
      <c r="L17" s="7" t="s">
        <v>92</v>
      </c>
      <c r="M17" s="7">
        <v>51.801433333333335</v>
      </c>
      <c r="N17" s="7">
        <v>104.9211</v>
      </c>
      <c r="O17" s="7">
        <v>1395</v>
      </c>
      <c r="P17" s="7" t="s">
        <v>4</v>
      </c>
      <c r="R17" s="2">
        <f t="shared" si="0"/>
        <v>7.9808799292806242E-4</v>
      </c>
    </row>
    <row r="18" spans="1:18" ht="15.75">
      <c r="A18" s="9" t="s">
        <v>93</v>
      </c>
      <c r="B18" s="2">
        <v>51.785366666666668</v>
      </c>
      <c r="C18" s="2">
        <v>104.93866666666666</v>
      </c>
      <c r="D18" s="2">
        <v>1405</v>
      </c>
      <c r="G18" s="4" t="s">
        <v>94</v>
      </c>
      <c r="H18" s="4" t="s">
        <v>95</v>
      </c>
      <c r="I18" s="4" t="s">
        <v>96</v>
      </c>
      <c r="K18" s="5" t="s">
        <v>97</v>
      </c>
      <c r="L18" s="7" t="s">
        <v>98</v>
      </c>
      <c r="M18" s="7">
        <v>51.78543333333333</v>
      </c>
      <c r="N18" s="7">
        <v>104.93505</v>
      </c>
      <c r="O18" s="7">
        <v>1405</v>
      </c>
      <c r="P18" s="7" t="s">
        <v>4</v>
      </c>
      <c r="R18" s="2">
        <f t="shared" si="0"/>
        <v>3.6172810537978498E-3</v>
      </c>
    </row>
    <row r="19" spans="1:18" ht="15.75">
      <c r="A19" s="8" t="s">
        <v>99</v>
      </c>
      <c r="B19" s="2">
        <v>51.719000000000001</v>
      </c>
      <c r="C19" s="2">
        <v>104.98108333333333</v>
      </c>
      <c r="D19" s="2">
        <v>1411</v>
      </c>
      <c r="G19" s="4" t="s">
        <v>100</v>
      </c>
      <c r="H19" s="4"/>
      <c r="I19" s="4"/>
      <c r="K19" s="5" t="s">
        <v>101</v>
      </c>
      <c r="L19" s="6" t="s">
        <v>102</v>
      </c>
      <c r="M19" s="7">
        <f t="shared" ref="M19:N19" si="3">B19</f>
        <v>51.719000000000001</v>
      </c>
      <c r="N19" s="7">
        <f t="shared" si="3"/>
        <v>104.98108333333333</v>
      </c>
      <c r="O19" s="7">
        <v>1411</v>
      </c>
      <c r="P19" s="7" t="s">
        <v>4</v>
      </c>
      <c r="Q19" s="2" t="s">
        <v>5</v>
      </c>
      <c r="R19" s="2">
        <f t="shared" si="0"/>
        <v>0</v>
      </c>
    </row>
    <row r="20" spans="1:18" ht="15.75">
      <c r="A20" s="1" t="s">
        <v>103</v>
      </c>
      <c r="B20" s="2">
        <v>51.701749999999997</v>
      </c>
      <c r="C20" s="2">
        <v>105.0147</v>
      </c>
      <c r="D20" s="2">
        <v>1414</v>
      </c>
      <c r="G20" s="4" t="s">
        <v>104</v>
      </c>
      <c r="H20" s="4" t="s">
        <v>105</v>
      </c>
      <c r="I20" s="4" t="s">
        <v>106</v>
      </c>
      <c r="K20" s="5" t="s">
        <v>105</v>
      </c>
      <c r="L20" s="6" t="s">
        <v>103</v>
      </c>
      <c r="M20" s="7">
        <v>51.704966666666664</v>
      </c>
      <c r="N20" s="7">
        <v>105.00879999999999</v>
      </c>
      <c r="O20" s="7">
        <v>1414</v>
      </c>
      <c r="P20" s="7" t="s">
        <v>4</v>
      </c>
      <c r="Q20" s="2" t="s">
        <v>5</v>
      </c>
      <c r="R20" s="2">
        <f t="shared" si="0"/>
        <v>6.7198916988726043E-3</v>
      </c>
    </row>
    <row r="21" spans="1:18" ht="15.75" customHeight="1">
      <c r="A21" s="9" t="s">
        <v>107</v>
      </c>
      <c r="B21" s="2">
        <v>51.620283333333333</v>
      </c>
      <c r="C21" s="2">
        <v>105.08775</v>
      </c>
      <c r="D21" s="2">
        <v>1162</v>
      </c>
      <c r="G21" s="4" t="s">
        <v>108</v>
      </c>
      <c r="H21" s="4" t="s">
        <v>109</v>
      </c>
      <c r="I21" s="4"/>
      <c r="K21" s="5" t="s">
        <v>110</v>
      </c>
      <c r="L21" s="7" t="s">
        <v>111</v>
      </c>
      <c r="M21" s="7">
        <v>51.619816666666665</v>
      </c>
      <c r="N21" s="7">
        <v>105.0848</v>
      </c>
      <c r="O21" s="7">
        <v>1162</v>
      </c>
      <c r="P21" s="7" t="s">
        <v>4</v>
      </c>
      <c r="R21" s="2">
        <f t="shared" si="0"/>
        <v>2.9866834076898493E-3</v>
      </c>
    </row>
    <row r="22" spans="1:18" ht="15.75" customHeight="1">
      <c r="A22" s="9" t="s">
        <v>112</v>
      </c>
      <c r="B22" s="2">
        <v>51.604799999999997</v>
      </c>
      <c r="C22" s="2">
        <v>105.09926666666667</v>
      </c>
      <c r="D22" s="2">
        <v>924</v>
      </c>
      <c r="G22" s="4" t="s">
        <v>113</v>
      </c>
      <c r="H22" s="4" t="s">
        <v>114</v>
      </c>
      <c r="I22" s="4"/>
      <c r="K22" s="5" t="s">
        <v>115</v>
      </c>
      <c r="L22" s="7" t="s">
        <v>116</v>
      </c>
      <c r="M22" s="7">
        <v>51.606216666666668</v>
      </c>
      <c r="N22" s="7">
        <v>105.098</v>
      </c>
      <c r="O22" s="7">
        <v>924</v>
      </c>
      <c r="P22" s="7" t="s">
        <v>4</v>
      </c>
      <c r="R22" s="2">
        <f t="shared" si="0"/>
        <v>1.9003654619309058E-3</v>
      </c>
    </row>
    <row r="23" spans="1:18" ht="15.75" customHeight="1">
      <c r="A23" s="9" t="s">
        <v>117</v>
      </c>
      <c r="B23" s="2">
        <v>51.591000000000001</v>
      </c>
      <c r="C23" s="2">
        <v>105.11271666666667</v>
      </c>
      <c r="D23" s="2">
        <v>713</v>
      </c>
      <c r="G23" s="4" t="s">
        <v>118</v>
      </c>
      <c r="H23" s="4" t="s">
        <v>119</v>
      </c>
      <c r="I23" s="4"/>
      <c r="K23" s="5" t="s">
        <v>120</v>
      </c>
      <c r="L23" s="7" t="s">
        <v>121</v>
      </c>
      <c r="M23" s="7">
        <v>51.592683333333333</v>
      </c>
      <c r="N23" s="7">
        <v>105.11346666666667</v>
      </c>
      <c r="O23" s="7">
        <v>713</v>
      </c>
      <c r="P23" s="7" t="s">
        <v>4</v>
      </c>
      <c r="R23" s="2">
        <f t="shared" si="0"/>
        <v>1.842854066686395E-3</v>
      </c>
    </row>
    <row r="24" spans="1:18" ht="15.75" customHeight="1">
      <c r="A24" s="9" t="s">
        <v>122</v>
      </c>
      <c r="B24" s="2">
        <v>51.574716666666667</v>
      </c>
      <c r="C24" s="2">
        <v>105.1288</v>
      </c>
      <c r="D24" s="2">
        <v>234</v>
      </c>
      <c r="G24" s="4" t="s">
        <v>123</v>
      </c>
      <c r="H24" s="4" t="s">
        <v>124</v>
      </c>
      <c r="I24" s="4"/>
      <c r="K24" s="5" t="s">
        <v>125</v>
      </c>
      <c r="L24" s="7" t="s">
        <v>126</v>
      </c>
      <c r="M24" s="7">
        <v>51.574666666666666</v>
      </c>
      <c r="N24" s="7">
        <v>105.12753333333333</v>
      </c>
      <c r="O24" s="7">
        <v>234</v>
      </c>
      <c r="P24" s="7" t="s">
        <v>4</v>
      </c>
      <c r="R24" s="2">
        <f t="shared" si="0"/>
        <v>1.2676531246532436E-3</v>
      </c>
    </row>
    <row r="25" spans="1:18" ht="15.75" customHeight="1">
      <c r="A25" s="9" t="s">
        <v>127</v>
      </c>
      <c r="B25" s="2">
        <v>51.843266666666665</v>
      </c>
      <c r="C25" s="2">
        <v>105.12011666666666</v>
      </c>
      <c r="D25" s="2">
        <v>1418</v>
      </c>
      <c r="G25" s="4" t="s">
        <v>128</v>
      </c>
      <c r="H25" s="4" t="s">
        <v>129</v>
      </c>
      <c r="I25" s="4"/>
      <c r="K25" s="5" t="s">
        <v>130</v>
      </c>
      <c r="L25" s="7" t="s">
        <v>131</v>
      </c>
      <c r="M25" s="7">
        <f t="shared" ref="M25:N25" si="4">B25</f>
        <v>51.843266666666665</v>
      </c>
      <c r="N25" s="7">
        <f t="shared" si="4"/>
        <v>105.12011666666666</v>
      </c>
      <c r="O25" s="7">
        <v>1418</v>
      </c>
      <c r="P25" s="7" t="s">
        <v>4</v>
      </c>
      <c r="R25" s="2">
        <f t="shared" si="0"/>
        <v>0</v>
      </c>
    </row>
    <row r="26" spans="1:18" ht="15.75" customHeight="1">
      <c r="A26" s="9" t="s">
        <v>132</v>
      </c>
      <c r="B26" s="2">
        <v>51.907516666666666</v>
      </c>
      <c r="C26" s="2">
        <v>105.22828333333334</v>
      </c>
      <c r="D26" s="2">
        <v>498</v>
      </c>
      <c r="G26" s="4" t="s">
        <v>133</v>
      </c>
      <c r="H26" s="4" t="s">
        <v>134</v>
      </c>
      <c r="I26" s="4" t="s">
        <v>135</v>
      </c>
      <c r="K26" s="5" t="s">
        <v>136</v>
      </c>
      <c r="L26" s="7" t="s">
        <v>137</v>
      </c>
      <c r="M26" s="7">
        <v>51.907516666666666</v>
      </c>
      <c r="N26" s="7">
        <v>105.22828333333334</v>
      </c>
      <c r="O26" s="7">
        <v>498</v>
      </c>
      <c r="P26" s="7" t="s">
        <v>4</v>
      </c>
      <c r="R26" s="2">
        <f t="shared" si="0"/>
        <v>0</v>
      </c>
    </row>
    <row r="27" spans="1:18" ht="15.75" customHeight="1">
      <c r="A27" s="9" t="s">
        <v>138</v>
      </c>
      <c r="B27" s="2">
        <v>51.89371666666667</v>
      </c>
      <c r="C27" s="2">
        <v>105.24684999999999</v>
      </c>
      <c r="D27" s="2">
        <v>1357</v>
      </c>
      <c r="G27" s="4" t="s">
        <v>139</v>
      </c>
      <c r="H27" s="4" t="s">
        <v>140</v>
      </c>
      <c r="I27" s="4" t="s">
        <v>141</v>
      </c>
      <c r="K27" s="5" t="s">
        <v>142</v>
      </c>
      <c r="L27" s="7" t="s">
        <v>143</v>
      </c>
      <c r="M27" s="7">
        <v>51.89371666666667</v>
      </c>
      <c r="N27" s="7">
        <v>105.24684999999999</v>
      </c>
      <c r="O27" s="7">
        <v>1357</v>
      </c>
      <c r="P27" s="7" t="s">
        <v>4</v>
      </c>
      <c r="R27" s="2">
        <f t="shared" si="0"/>
        <v>0</v>
      </c>
    </row>
    <row r="28" spans="1:18" ht="15.75" customHeight="1">
      <c r="A28" s="9" t="s">
        <v>144</v>
      </c>
      <c r="B28" s="2">
        <v>51.878483333333335</v>
      </c>
      <c r="C28" s="2">
        <v>105.26686666666667</v>
      </c>
      <c r="D28" s="2">
        <v>1404</v>
      </c>
      <c r="G28" s="4" t="s">
        <v>145</v>
      </c>
      <c r="H28" s="4" t="s">
        <v>146</v>
      </c>
      <c r="I28" s="4" t="s">
        <v>147</v>
      </c>
      <c r="K28" s="5" t="s">
        <v>148</v>
      </c>
      <c r="L28" s="7" t="s">
        <v>149</v>
      </c>
      <c r="M28" s="7">
        <v>51.878483333333335</v>
      </c>
      <c r="N28" s="7">
        <v>105.26686666666667</v>
      </c>
      <c r="O28" s="7">
        <v>1404</v>
      </c>
      <c r="P28" s="7" t="s">
        <v>4</v>
      </c>
      <c r="R28" s="2">
        <f t="shared" si="0"/>
        <v>0</v>
      </c>
    </row>
    <row r="29" spans="1:18" ht="15.75" customHeight="1">
      <c r="A29" s="9" t="s">
        <v>150</v>
      </c>
      <c r="B29" s="2">
        <v>51.863683333333334</v>
      </c>
      <c r="C29" s="2">
        <v>105.28081666666667</v>
      </c>
      <c r="D29" s="2">
        <v>1385</v>
      </c>
      <c r="G29" s="4" t="s">
        <v>151</v>
      </c>
      <c r="H29" s="4" t="s">
        <v>152</v>
      </c>
      <c r="I29" s="4" t="s">
        <v>153</v>
      </c>
      <c r="K29" s="5" t="s">
        <v>154</v>
      </c>
      <c r="L29" s="7" t="s">
        <v>155</v>
      </c>
      <c r="M29" s="7">
        <v>51.863683333333334</v>
      </c>
      <c r="N29" s="7">
        <v>105.28081666666667</v>
      </c>
      <c r="O29" s="7">
        <v>1385</v>
      </c>
      <c r="P29" s="7" t="s">
        <v>4</v>
      </c>
      <c r="R29" s="2">
        <f t="shared" si="0"/>
        <v>0</v>
      </c>
    </row>
    <row r="30" spans="1:18" ht="15.75" customHeight="1">
      <c r="A30" s="8" t="s">
        <v>156</v>
      </c>
      <c r="B30" s="2">
        <v>51.777283333333337</v>
      </c>
      <c r="C30" s="2">
        <v>105.36778333333334</v>
      </c>
      <c r="D30" s="2">
        <v>1433</v>
      </c>
      <c r="G30" s="4" t="s">
        <v>157</v>
      </c>
      <c r="H30" s="4" t="s">
        <v>158</v>
      </c>
      <c r="I30" s="4" t="s">
        <v>159</v>
      </c>
      <c r="K30" s="5" t="s">
        <v>159</v>
      </c>
      <c r="L30" s="6" t="s">
        <v>160</v>
      </c>
      <c r="M30" s="7">
        <v>51.777283333333337</v>
      </c>
      <c r="N30" s="7">
        <v>105.36778333333334</v>
      </c>
      <c r="O30" s="7">
        <v>1433</v>
      </c>
      <c r="P30" s="7" t="s">
        <v>4</v>
      </c>
      <c r="Q30" s="2" t="s">
        <v>5</v>
      </c>
      <c r="R30" s="2">
        <f t="shared" si="0"/>
        <v>0</v>
      </c>
    </row>
    <row r="31" spans="1:18" ht="15.75" customHeight="1">
      <c r="A31" s="9" t="s">
        <v>161</v>
      </c>
      <c r="B31" s="2">
        <v>51.6965</v>
      </c>
      <c r="C31" s="2">
        <v>105.46176666666666</v>
      </c>
      <c r="D31" s="2">
        <v>1356</v>
      </c>
      <c r="G31" s="4" t="s">
        <v>162</v>
      </c>
      <c r="H31" s="4" t="s">
        <v>33</v>
      </c>
      <c r="I31" s="4" t="s">
        <v>34</v>
      </c>
      <c r="K31" s="5" t="s">
        <v>163</v>
      </c>
      <c r="L31" s="7" t="s">
        <v>164</v>
      </c>
      <c r="M31" s="7">
        <v>51.6965</v>
      </c>
      <c r="N31" s="7">
        <v>105.46176666666666</v>
      </c>
      <c r="O31" s="7">
        <v>1356</v>
      </c>
      <c r="P31" s="7" t="s">
        <v>4</v>
      </c>
      <c r="R31" s="2">
        <f t="shared" si="0"/>
        <v>0</v>
      </c>
    </row>
    <row r="32" spans="1:18" ht="15.75" customHeight="1">
      <c r="A32" s="9" t="s">
        <v>165</v>
      </c>
      <c r="B32" s="2">
        <v>51.680733333333336</v>
      </c>
      <c r="C32" s="2">
        <v>105.48126666666667</v>
      </c>
      <c r="D32" s="2">
        <v>1010</v>
      </c>
      <c r="G32" s="4" t="s">
        <v>166</v>
      </c>
      <c r="H32" s="4" t="s">
        <v>26</v>
      </c>
      <c r="I32" s="4" t="s">
        <v>27</v>
      </c>
      <c r="K32" s="5" t="s">
        <v>167</v>
      </c>
      <c r="L32" s="7" t="s">
        <v>168</v>
      </c>
      <c r="M32" s="7">
        <v>51.680733333333336</v>
      </c>
      <c r="N32" s="7">
        <v>105.48126666666667</v>
      </c>
      <c r="O32" s="7">
        <v>1010</v>
      </c>
      <c r="P32" s="7" t="s">
        <v>4</v>
      </c>
      <c r="R32" s="2">
        <f t="shared" si="0"/>
        <v>0</v>
      </c>
    </row>
    <row r="33" spans="1:18" ht="15.75" customHeight="1">
      <c r="A33" s="9" t="s">
        <v>169</v>
      </c>
      <c r="B33" s="2">
        <v>51.666566666666668</v>
      </c>
      <c r="C33" s="2">
        <v>105.49885</v>
      </c>
      <c r="D33" s="2">
        <v>612</v>
      </c>
      <c r="G33" s="4" t="s">
        <v>170</v>
      </c>
      <c r="H33" s="4" t="s">
        <v>20</v>
      </c>
      <c r="I33" s="4" t="s">
        <v>21</v>
      </c>
      <c r="K33" s="5" t="s">
        <v>171</v>
      </c>
      <c r="L33" s="7" t="s">
        <v>172</v>
      </c>
      <c r="M33" s="7">
        <v>51.666566666666668</v>
      </c>
      <c r="N33" s="7">
        <v>105.49885</v>
      </c>
      <c r="O33" s="7">
        <v>612</v>
      </c>
      <c r="P33" s="7" t="s">
        <v>4</v>
      </c>
      <c r="R33" s="2">
        <f t="shared" si="0"/>
        <v>0</v>
      </c>
    </row>
    <row r="34" spans="1:18" ht="15.75" customHeight="1">
      <c r="A34" s="9" t="s">
        <v>173</v>
      </c>
      <c r="B34" s="2">
        <v>51.650083333333335</v>
      </c>
      <c r="C34" s="2">
        <v>105.51636666666667</v>
      </c>
      <c r="D34" s="2">
        <v>171</v>
      </c>
      <c r="G34" s="4" t="s">
        <v>174</v>
      </c>
      <c r="H34" s="4" t="s">
        <v>14</v>
      </c>
      <c r="I34" s="4" t="s">
        <v>15</v>
      </c>
      <c r="K34" s="5" t="s">
        <v>175</v>
      </c>
      <c r="L34" s="7" t="s">
        <v>176</v>
      </c>
      <c r="M34" s="7">
        <v>51.650083333333335</v>
      </c>
      <c r="N34" s="7">
        <v>105.51636666666667</v>
      </c>
      <c r="O34" s="7">
        <v>171</v>
      </c>
      <c r="P34" s="7" t="s">
        <v>4</v>
      </c>
      <c r="R34" s="2">
        <f t="shared" si="0"/>
        <v>0</v>
      </c>
    </row>
    <row r="35" spans="1:18" ht="15.75" customHeight="1">
      <c r="A35" s="8" t="s">
        <v>177</v>
      </c>
      <c r="B35" s="2">
        <v>51.918666666666667</v>
      </c>
      <c r="C35" s="2">
        <v>105.63823333333333</v>
      </c>
      <c r="D35" s="2">
        <v>1292</v>
      </c>
      <c r="G35" s="4" t="s">
        <v>178</v>
      </c>
      <c r="H35" s="4" t="s">
        <v>179</v>
      </c>
      <c r="I35" s="4" t="s">
        <v>180</v>
      </c>
      <c r="K35" s="5" t="s">
        <v>181</v>
      </c>
      <c r="L35" s="6" t="s">
        <v>182</v>
      </c>
      <c r="M35" s="7">
        <f t="shared" ref="M35:N35" si="5">B35</f>
        <v>51.918666666666667</v>
      </c>
      <c r="N35" s="7">
        <f t="shared" si="5"/>
        <v>105.63823333333333</v>
      </c>
      <c r="O35" s="7">
        <v>1292</v>
      </c>
      <c r="P35" s="7" t="s">
        <v>4</v>
      </c>
      <c r="Q35" s="2" t="s">
        <v>5</v>
      </c>
      <c r="R35" s="2">
        <f t="shared" si="0"/>
        <v>0</v>
      </c>
    </row>
    <row r="36" spans="1:18" ht="15.75" customHeight="1">
      <c r="A36" s="10" t="s">
        <v>183</v>
      </c>
      <c r="B36" s="2">
        <v>52.237366666666667</v>
      </c>
      <c r="C36" s="2">
        <v>105.80783333333333</v>
      </c>
      <c r="D36" s="2">
        <v>977</v>
      </c>
      <c r="G36" s="4" t="s">
        <v>184</v>
      </c>
      <c r="H36" s="4" t="s">
        <v>185</v>
      </c>
      <c r="I36" s="4"/>
      <c r="K36" s="5" t="s">
        <v>186</v>
      </c>
      <c r="L36" s="6" t="s">
        <v>187</v>
      </c>
      <c r="M36" s="7">
        <v>52.23211666666667</v>
      </c>
      <c r="N36" s="7">
        <v>105.80006666666667</v>
      </c>
      <c r="O36" s="7">
        <v>977</v>
      </c>
      <c r="P36" s="7" t="s">
        <v>4</v>
      </c>
      <c r="Q36" s="2" t="s">
        <v>5</v>
      </c>
      <c r="R36" s="2">
        <f t="shared" si="0"/>
        <v>9.3746259184624234E-3</v>
      </c>
    </row>
    <row r="37" spans="1:18" ht="15.75" customHeight="1">
      <c r="K37" s="5" t="s">
        <v>188</v>
      </c>
      <c r="L37" s="7" t="s">
        <v>189</v>
      </c>
      <c r="M37" s="7">
        <v>52.280516666666664</v>
      </c>
      <c r="N37" s="7">
        <v>106.23268333333333</v>
      </c>
      <c r="O37" s="7">
        <v>6</v>
      </c>
      <c r="P37" s="7" t="s">
        <v>4</v>
      </c>
      <c r="R37" s="2" t="str">
        <f t="shared" si="0"/>
        <v/>
      </c>
    </row>
    <row r="38" spans="1:18" ht="15.75" customHeight="1">
      <c r="A38" s="9" t="s">
        <v>190</v>
      </c>
      <c r="B38" s="2">
        <v>52.291550000000001</v>
      </c>
      <c r="C38" s="2">
        <v>106.21108333333333</v>
      </c>
      <c r="D38" s="2">
        <v>14</v>
      </c>
      <c r="G38" s="4" t="s">
        <v>191</v>
      </c>
      <c r="H38" s="4" t="s">
        <v>192</v>
      </c>
      <c r="I38" s="4" t="s">
        <v>193</v>
      </c>
      <c r="K38" s="5" t="s">
        <v>194</v>
      </c>
      <c r="L38" s="7" t="s">
        <v>195</v>
      </c>
      <c r="M38" s="7">
        <v>52.291550000000001</v>
      </c>
      <c r="N38" s="7">
        <v>106.21108333333333</v>
      </c>
      <c r="O38" s="7">
        <v>14</v>
      </c>
      <c r="P38" s="7" t="s">
        <v>4</v>
      </c>
      <c r="R38" s="2">
        <f t="shared" si="0"/>
        <v>0</v>
      </c>
    </row>
    <row r="39" spans="1:18" ht="15.75" customHeight="1">
      <c r="B39" s="2">
        <v>52.301216666666669</v>
      </c>
      <c r="C39" s="2">
        <v>106.18635</v>
      </c>
      <c r="K39" s="5" t="s">
        <v>196</v>
      </c>
      <c r="L39" s="7" t="s">
        <v>197</v>
      </c>
      <c r="M39" s="7">
        <v>52.301216666666669</v>
      </c>
      <c r="N39" s="7">
        <v>106.18635</v>
      </c>
      <c r="O39" s="7">
        <v>28</v>
      </c>
      <c r="P39" s="7" t="s">
        <v>4</v>
      </c>
      <c r="R39" s="2">
        <f t="shared" si="0"/>
        <v>0</v>
      </c>
    </row>
    <row r="40" spans="1:18" ht="15.75" customHeight="1">
      <c r="A40" s="9" t="s">
        <v>198</v>
      </c>
      <c r="B40" s="2">
        <v>52.30813333333333</v>
      </c>
      <c r="C40" s="2">
        <v>106.16153333333334</v>
      </c>
      <c r="D40" s="2">
        <v>25</v>
      </c>
      <c r="G40" s="4" t="s">
        <v>199</v>
      </c>
      <c r="H40" s="4" t="s">
        <v>200</v>
      </c>
      <c r="I40" s="4" t="s">
        <v>201</v>
      </c>
      <c r="K40" s="5" t="s">
        <v>202</v>
      </c>
      <c r="L40" s="7" t="s">
        <v>203</v>
      </c>
      <c r="M40" s="7">
        <v>52.30813333333333</v>
      </c>
      <c r="N40" s="7">
        <v>106.16153333333334</v>
      </c>
      <c r="O40" s="7">
        <v>30</v>
      </c>
      <c r="P40" s="7" t="s">
        <v>4</v>
      </c>
      <c r="R40" s="2">
        <f t="shared" si="0"/>
        <v>0</v>
      </c>
    </row>
    <row r="41" spans="1:18" ht="15.75" customHeight="1">
      <c r="A41" s="8" t="s">
        <v>204</v>
      </c>
      <c r="B41" s="2">
        <v>52.344316666666664</v>
      </c>
      <c r="C41" s="2">
        <v>106.06258333333334</v>
      </c>
      <c r="D41" s="2">
        <v>255</v>
      </c>
      <c r="G41" s="4" t="s">
        <v>205</v>
      </c>
      <c r="H41" s="4" t="s">
        <v>206</v>
      </c>
      <c r="I41" s="4" t="s">
        <v>207</v>
      </c>
      <c r="K41" s="5" t="s">
        <v>208</v>
      </c>
      <c r="L41" s="6" t="s">
        <v>209</v>
      </c>
      <c r="M41" s="7">
        <v>52.344316666666664</v>
      </c>
      <c r="N41" s="7">
        <v>106.06258333333334</v>
      </c>
      <c r="O41" s="7">
        <v>262</v>
      </c>
      <c r="P41" s="7" t="s">
        <v>4</v>
      </c>
      <c r="Q41" s="2" t="s">
        <v>5</v>
      </c>
      <c r="R41" s="2">
        <f t="shared" si="0"/>
        <v>0</v>
      </c>
    </row>
    <row r="42" spans="1:18" ht="15.75" customHeight="1">
      <c r="A42" s="9" t="s">
        <v>210</v>
      </c>
      <c r="B42" s="2">
        <v>52.381883333333334</v>
      </c>
      <c r="C42" s="2">
        <v>105.96446666666667</v>
      </c>
      <c r="D42" s="2">
        <v>753</v>
      </c>
      <c r="G42" s="4" t="s">
        <v>211</v>
      </c>
      <c r="H42" s="4" t="s">
        <v>212</v>
      </c>
      <c r="I42" s="4"/>
      <c r="K42" s="5" t="s">
        <v>213</v>
      </c>
      <c r="L42" s="7" t="s">
        <v>214</v>
      </c>
      <c r="M42" s="7">
        <v>52.381883333333334</v>
      </c>
      <c r="N42" s="7">
        <v>105.96446666666667</v>
      </c>
      <c r="O42" s="7">
        <v>750</v>
      </c>
      <c r="P42" s="7" t="s">
        <v>4</v>
      </c>
      <c r="R42" s="2">
        <f t="shared" si="0"/>
        <v>0</v>
      </c>
    </row>
    <row r="43" spans="1:18" ht="15.75" customHeight="1">
      <c r="B43" s="2">
        <v>52.392566666666667</v>
      </c>
      <c r="C43" s="2">
        <v>105.94011666666667</v>
      </c>
      <c r="K43" s="5" t="s">
        <v>215</v>
      </c>
      <c r="L43" s="7" t="s">
        <v>216</v>
      </c>
      <c r="M43" s="7">
        <v>52.392566666666667</v>
      </c>
      <c r="N43" s="7">
        <v>105.94011666666667</v>
      </c>
      <c r="O43" s="7">
        <v>802</v>
      </c>
      <c r="P43" s="7" t="s">
        <v>4</v>
      </c>
      <c r="R43" s="2">
        <f t="shared" si="0"/>
        <v>0</v>
      </c>
    </row>
    <row r="44" spans="1:18" ht="15.75" customHeight="1">
      <c r="A44" s="9" t="s">
        <v>217</v>
      </c>
      <c r="B44" s="2">
        <v>52.403199999999998</v>
      </c>
      <c r="C44" s="2">
        <v>105.91851666666666</v>
      </c>
      <c r="D44" s="2">
        <v>832</v>
      </c>
      <c r="G44" s="4" t="s">
        <v>218</v>
      </c>
      <c r="H44" s="4" t="s">
        <v>219</v>
      </c>
      <c r="I44" s="4"/>
      <c r="K44" s="5" t="s">
        <v>220</v>
      </c>
      <c r="L44" s="7" t="s">
        <v>221</v>
      </c>
      <c r="M44" s="7">
        <v>52.403199999999998</v>
      </c>
      <c r="N44" s="7">
        <v>105.91851666666666</v>
      </c>
      <c r="O44" s="7">
        <v>834</v>
      </c>
      <c r="P44" s="7" t="s">
        <v>4</v>
      </c>
      <c r="R44" s="2">
        <f t="shared" si="0"/>
        <v>0</v>
      </c>
    </row>
    <row r="45" spans="1:18" ht="15.75" customHeight="1">
      <c r="K45" s="5" t="s">
        <v>222</v>
      </c>
      <c r="L45" s="7" t="s">
        <v>223</v>
      </c>
      <c r="M45" s="7">
        <v>52.412999999999997</v>
      </c>
      <c r="N45" s="7">
        <v>105.89319999999999</v>
      </c>
      <c r="O45" s="7">
        <v>428</v>
      </c>
      <c r="P45" s="7" t="s">
        <v>4</v>
      </c>
      <c r="R45" s="2" t="str">
        <f t="shared" si="0"/>
        <v/>
      </c>
    </row>
    <row r="46" spans="1:18" ht="15.75" customHeight="1">
      <c r="A46" s="8" t="s">
        <v>224</v>
      </c>
      <c r="B46" s="2">
        <v>52.473816666666664</v>
      </c>
      <c r="C46" s="2">
        <v>106.11621666666667</v>
      </c>
      <c r="D46" s="2">
        <v>372</v>
      </c>
      <c r="G46" s="4" t="s">
        <v>225</v>
      </c>
      <c r="H46" s="4" t="s">
        <v>226</v>
      </c>
      <c r="I46" s="4"/>
      <c r="K46" s="5" t="s">
        <v>227</v>
      </c>
      <c r="L46" s="6" t="s">
        <v>228</v>
      </c>
      <c r="M46" s="7">
        <v>52.473833333333332</v>
      </c>
      <c r="N46" s="7">
        <v>106.11565</v>
      </c>
      <c r="O46" s="7">
        <v>262</v>
      </c>
      <c r="P46" s="7" t="s">
        <v>4</v>
      </c>
      <c r="Q46" s="2" t="s">
        <v>5</v>
      </c>
      <c r="R46" s="2">
        <f t="shared" si="0"/>
        <v>5.6691171172777981E-4</v>
      </c>
    </row>
    <row r="47" spans="1:18" ht="15.75" customHeight="1">
      <c r="A47" s="9" t="s">
        <v>229</v>
      </c>
      <c r="B47" s="2">
        <v>52.541316666666667</v>
      </c>
      <c r="C47" s="2">
        <v>106.21259999999999</v>
      </c>
      <c r="D47" s="2">
        <v>654</v>
      </c>
      <c r="G47" s="4" t="s">
        <v>230</v>
      </c>
      <c r="H47" s="4" t="s">
        <v>231</v>
      </c>
      <c r="I47" s="4" t="s">
        <v>232</v>
      </c>
      <c r="K47" s="5" t="s">
        <v>233</v>
      </c>
      <c r="L47" s="7" t="s">
        <v>234</v>
      </c>
      <c r="M47" s="7">
        <v>52.541316666666667</v>
      </c>
      <c r="N47" s="7">
        <v>106.21259999999999</v>
      </c>
      <c r="O47" s="7">
        <v>654</v>
      </c>
      <c r="P47" s="7" t="s">
        <v>30</v>
      </c>
      <c r="R47" s="2">
        <f t="shared" si="0"/>
        <v>0</v>
      </c>
    </row>
    <row r="48" spans="1:18" ht="15.75" customHeight="1">
      <c r="A48" s="9" t="s">
        <v>235</v>
      </c>
      <c r="B48" s="2">
        <v>52.507899999999999</v>
      </c>
      <c r="C48" s="2">
        <v>106.24469999999999</v>
      </c>
      <c r="D48" s="2">
        <v>650</v>
      </c>
      <c r="G48" s="4" t="s">
        <v>236</v>
      </c>
      <c r="H48" s="4" t="s">
        <v>237</v>
      </c>
      <c r="I48" s="4" t="s">
        <v>238</v>
      </c>
      <c r="K48" s="5" t="s">
        <v>239</v>
      </c>
      <c r="L48" s="7" t="s">
        <v>240</v>
      </c>
      <c r="M48" s="7">
        <v>52.507899999999999</v>
      </c>
      <c r="N48" s="7">
        <v>106.24469999999999</v>
      </c>
      <c r="O48" s="7">
        <v>650</v>
      </c>
      <c r="P48" s="7" t="s">
        <v>30</v>
      </c>
      <c r="R48" s="2">
        <f t="shared" si="0"/>
        <v>0</v>
      </c>
    </row>
    <row r="49" spans="1:18" ht="15.75" customHeight="1">
      <c r="A49" s="8" t="s">
        <v>241</v>
      </c>
      <c r="B49" s="2">
        <v>52.469250000000002</v>
      </c>
      <c r="C49" s="2">
        <v>106.28798333333333</v>
      </c>
      <c r="D49" s="2">
        <v>542</v>
      </c>
      <c r="G49" s="4" t="s">
        <v>242</v>
      </c>
      <c r="H49" s="4" t="s">
        <v>243</v>
      </c>
      <c r="I49" s="4" t="s">
        <v>244</v>
      </c>
      <c r="K49" s="5" t="s">
        <v>244</v>
      </c>
      <c r="L49" s="6" t="s">
        <v>245</v>
      </c>
      <c r="M49" s="7">
        <v>52.469250000000002</v>
      </c>
      <c r="N49" s="7">
        <v>106.28798333333333</v>
      </c>
      <c r="O49" s="7">
        <v>542</v>
      </c>
      <c r="P49" s="7" t="s">
        <v>30</v>
      </c>
      <c r="Q49" s="2" t="s">
        <v>5</v>
      </c>
      <c r="R49" s="2">
        <f t="shared" si="0"/>
        <v>0</v>
      </c>
    </row>
    <row r="50" spans="1:18" ht="15.75" customHeight="1">
      <c r="A50" s="9" t="s">
        <v>246</v>
      </c>
      <c r="B50" s="2">
        <v>52.411900000000003</v>
      </c>
      <c r="C50" s="2">
        <v>106.37325</v>
      </c>
      <c r="D50" s="2">
        <v>124</v>
      </c>
      <c r="G50" s="4" t="s">
        <v>247</v>
      </c>
      <c r="H50" s="4" t="s">
        <v>152</v>
      </c>
      <c r="I50" s="4" t="s">
        <v>153</v>
      </c>
      <c r="K50" s="5" t="s">
        <v>248</v>
      </c>
      <c r="L50" s="7" t="s">
        <v>249</v>
      </c>
      <c r="M50" s="7">
        <v>52.411900000000003</v>
      </c>
      <c r="N50" s="7">
        <v>106.37325</v>
      </c>
      <c r="O50" s="7">
        <v>124</v>
      </c>
      <c r="P50" s="7" t="s">
        <v>30</v>
      </c>
      <c r="R50" s="2">
        <f t="shared" si="0"/>
        <v>0</v>
      </c>
    </row>
    <row r="51" spans="1:18" ht="15.75" customHeight="1">
      <c r="A51" s="9" t="s">
        <v>250</v>
      </c>
      <c r="B51" s="2">
        <v>52.385966666666668</v>
      </c>
      <c r="C51" s="2">
        <v>106.41096666666667</v>
      </c>
      <c r="D51" s="2">
        <v>6</v>
      </c>
      <c r="G51" s="4" t="s">
        <v>251</v>
      </c>
      <c r="H51" s="4" t="s">
        <v>140</v>
      </c>
      <c r="I51" s="4" t="s">
        <v>141</v>
      </c>
      <c r="K51" s="5" t="s">
        <v>252</v>
      </c>
      <c r="L51" s="7" t="s">
        <v>253</v>
      </c>
      <c r="M51" s="7">
        <v>52.385966666666668</v>
      </c>
      <c r="N51" s="7">
        <v>106.41096666666667</v>
      </c>
      <c r="O51" s="7">
        <v>6</v>
      </c>
      <c r="P51" s="7" t="s">
        <v>30</v>
      </c>
      <c r="R51" s="2">
        <f t="shared" si="0"/>
        <v>0</v>
      </c>
    </row>
    <row r="52" spans="1:18" ht="15.75" customHeight="1">
      <c r="K52" s="5" t="s">
        <v>254</v>
      </c>
      <c r="L52" s="7" t="s">
        <v>255</v>
      </c>
      <c r="M52" s="7">
        <v>52.47325</v>
      </c>
      <c r="N52" s="7">
        <v>106.84675</v>
      </c>
      <c r="O52" s="7">
        <v>19</v>
      </c>
      <c r="P52" s="7" t="s">
        <v>30</v>
      </c>
    </row>
    <row r="53" spans="1:18" ht="15.75" customHeight="1">
      <c r="K53" s="5" t="s">
        <v>256</v>
      </c>
      <c r="L53" s="7" t="s">
        <v>257</v>
      </c>
      <c r="M53" s="7">
        <v>52.479383333333331</v>
      </c>
      <c r="N53" s="7">
        <v>106.82461666666667</v>
      </c>
      <c r="O53" s="7">
        <v>29</v>
      </c>
      <c r="P53" s="7" t="s">
        <v>30</v>
      </c>
    </row>
    <row r="54" spans="1:18" ht="15.75" customHeight="1">
      <c r="K54" s="5" t="s">
        <v>258</v>
      </c>
      <c r="L54" s="7" t="s">
        <v>259</v>
      </c>
      <c r="M54" s="7">
        <v>52.492133333333335</v>
      </c>
      <c r="N54" s="7">
        <v>106.80411666666667</v>
      </c>
      <c r="O54" s="7">
        <v>269</v>
      </c>
      <c r="P54" s="7" t="s">
        <v>30</v>
      </c>
    </row>
    <row r="55" spans="1:18" ht="15.75" customHeight="1">
      <c r="K55" s="5" t="s">
        <v>260</v>
      </c>
      <c r="L55" s="7" t="s">
        <v>261</v>
      </c>
      <c r="M55" s="7">
        <v>52.508066666666664</v>
      </c>
      <c r="N55" s="7">
        <v>106.76560000000001</v>
      </c>
      <c r="O55" s="7">
        <v>470</v>
      </c>
      <c r="P55" s="7" t="s">
        <v>30</v>
      </c>
    </row>
    <row r="56" spans="1:18" ht="15.75" customHeight="1">
      <c r="A56" s="8" t="s">
        <v>262</v>
      </c>
      <c r="B56" s="2">
        <v>52.663216666666663</v>
      </c>
      <c r="C56" s="2">
        <v>106.85105</v>
      </c>
      <c r="D56" s="2">
        <v>1170</v>
      </c>
      <c r="G56" s="4" t="s">
        <v>263</v>
      </c>
      <c r="H56" s="4" t="s">
        <v>264</v>
      </c>
      <c r="I56" s="4" t="s">
        <v>265</v>
      </c>
      <c r="K56" s="5" t="s">
        <v>264</v>
      </c>
      <c r="L56" s="6" t="s">
        <v>266</v>
      </c>
      <c r="M56" s="7">
        <v>52.664583333333333</v>
      </c>
      <c r="N56" s="7">
        <v>106.85076666666667</v>
      </c>
      <c r="O56" s="7">
        <v>1170</v>
      </c>
      <c r="P56" s="7" t="s">
        <v>30</v>
      </c>
      <c r="Q56" s="2" t="s">
        <v>5</v>
      </c>
      <c r="R56" s="2">
        <f>IF(AND(B56&lt;&gt;"",M56&lt;&gt;""),SQRT((B56-M56)^2+(C56-N56)^2),"")</f>
        <v>1.3957276079379927E-3</v>
      </c>
    </row>
    <row r="57" spans="1:18" ht="15.75" customHeight="1">
      <c r="K57" s="5" t="s">
        <v>267</v>
      </c>
      <c r="L57" s="7" t="s">
        <v>268</v>
      </c>
      <c r="M57" s="7">
        <v>52.575183333333335</v>
      </c>
      <c r="N57" s="7">
        <v>107.08658333333334</v>
      </c>
      <c r="O57" s="7">
        <v>90.4</v>
      </c>
      <c r="P57" s="7" t="s">
        <v>30</v>
      </c>
    </row>
    <row r="58" spans="1:18" ht="15.75" customHeight="1">
      <c r="K58" s="5" t="s">
        <v>269</v>
      </c>
      <c r="L58" s="7" t="s">
        <v>270</v>
      </c>
      <c r="M58" s="7">
        <v>52.587183333333336</v>
      </c>
      <c r="N58" s="7">
        <v>107.0605</v>
      </c>
      <c r="O58" s="7">
        <v>90.4</v>
      </c>
      <c r="P58" s="7" t="s">
        <v>30</v>
      </c>
    </row>
    <row r="59" spans="1:18" ht="15.75" customHeight="1">
      <c r="K59" s="5" t="s">
        <v>271</v>
      </c>
      <c r="L59" s="7" t="s">
        <v>272</v>
      </c>
      <c r="M59" s="7">
        <v>52.597066666666663</v>
      </c>
      <c r="N59" s="7">
        <v>107.03453333333333</v>
      </c>
      <c r="O59" s="7">
        <v>567</v>
      </c>
      <c r="P59" s="7" t="s">
        <v>30</v>
      </c>
    </row>
    <row r="60" spans="1:18" ht="15.75" customHeight="1">
      <c r="K60" s="5" t="s">
        <v>273</v>
      </c>
      <c r="L60" s="7" t="s">
        <v>274</v>
      </c>
      <c r="M60" s="7">
        <v>52.612416666666668</v>
      </c>
      <c r="N60" s="7">
        <v>106.99616666666667</v>
      </c>
      <c r="O60" s="7">
        <v>990</v>
      </c>
      <c r="P60" s="7" t="s">
        <v>30</v>
      </c>
    </row>
    <row r="61" spans="1:18" ht="15.75" customHeight="1">
      <c r="A61" s="11" t="s">
        <v>275</v>
      </c>
      <c r="B61" s="2">
        <v>52.98833333333333</v>
      </c>
      <c r="C61" s="2">
        <v>106.94583333333334</v>
      </c>
      <c r="D61" s="2">
        <v>387</v>
      </c>
      <c r="G61" s="4" t="s">
        <v>276</v>
      </c>
      <c r="H61" s="4" t="s">
        <v>277</v>
      </c>
      <c r="I61" s="4" t="s">
        <v>278</v>
      </c>
      <c r="K61" s="5" t="s">
        <v>279</v>
      </c>
      <c r="L61" s="7" t="s">
        <v>280</v>
      </c>
      <c r="M61" s="7">
        <v>52.988566666666664</v>
      </c>
      <c r="N61" s="7">
        <v>106.94618333333334</v>
      </c>
      <c r="O61" s="7">
        <v>392</v>
      </c>
      <c r="P61" s="7" t="s">
        <v>30</v>
      </c>
      <c r="R61" s="2">
        <f t="shared" ref="R61:R71" si="6">IF(AND(B61&lt;&gt;"",M61&lt;&gt;""),SQRT((B61-M61)^2+(C61-N61)^2),"")</f>
        <v>4.2064764880233061E-4</v>
      </c>
    </row>
    <row r="62" spans="1:18" ht="15.75" customHeight="1">
      <c r="A62" s="11" t="s">
        <v>281</v>
      </c>
      <c r="B62" s="2">
        <v>52.972499999999997</v>
      </c>
      <c r="C62" s="2">
        <v>106.96</v>
      </c>
      <c r="D62" s="2">
        <v>1000</v>
      </c>
      <c r="G62" s="4" t="s">
        <v>282</v>
      </c>
      <c r="H62" s="4" t="s">
        <v>283</v>
      </c>
      <c r="I62" s="4" t="s">
        <v>284</v>
      </c>
      <c r="K62" s="5" t="s">
        <v>285</v>
      </c>
      <c r="L62" s="7" t="s">
        <v>286</v>
      </c>
      <c r="M62" s="7">
        <v>52.97345</v>
      </c>
      <c r="N62" s="7">
        <v>106.9605</v>
      </c>
      <c r="O62" s="7">
        <v>1038</v>
      </c>
      <c r="P62" s="7" t="s">
        <v>30</v>
      </c>
      <c r="R62" s="2">
        <f t="shared" si="6"/>
        <v>1.073545527683063E-3</v>
      </c>
    </row>
    <row r="63" spans="1:18" ht="15.75" customHeight="1">
      <c r="K63" s="5" t="s">
        <v>287</v>
      </c>
      <c r="L63" s="7" t="s">
        <v>288</v>
      </c>
      <c r="M63" s="7">
        <v>52.956583333333334</v>
      </c>
      <c r="N63" s="7">
        <v>106.97626666666666</v>
      </c>
      <c r="O63" s="7">
        <v>1378</v>
      </c>
      <c r="P63" s="7" t="s">
        <v>30</v>
      </c>
      <c r="R63" s="2" t="str">
        <f t="shared" si="6"/>
        <v/>
      </c>
    </row>
    <row r="64" spans="1:18" ht="15.75" customHeight="1">
      <c r="A64" s="11" t="s">
        <v>289</v>
      </c>
      <c r="B64" s="2">
        <v>52.95</v>
      </c>
      <c r="C64" s="2">
        <v>106.97933333333333</v>
      </c>
      <c r="D64" s="2">
        <v>1000</v>
      </c>
      <c r="G64" s="4" t="s">
        <v>290</v>
      </c>
      <c r="H64" s="4" t="s">
        <v>291</v>
      </c>
      <c r="I64" s="4" t="s">
        <v>292</v>
      </c>
      <c r="K64" s="5" t="s">
        <v>293</v>
      </c>
      <c r="L64" s="7" t="s">
        <v>294</v>
      </c>
      <c r="M64" s="7">
        <v>52.94083333333333</v>
      </c>
      <c r="N64" s="7">
        <v>106.9883</v>
      </c>
      <c r="O64" s="7">
        <v>1376</v>
      </c>
      <c r="P64" s="7" t="s">
        <v>30</v>
      </c>
      <c r="R64" s="2">
        <f t="shared" si="6"/>
        <v>1.2822982838988082E-2</v>
      </c>
    </row>
    <row r="65" spans="1:29" ht="15.75" customHeight="1">
      <c r="A65" s="8" t="s">
        <v>295</v>
      </c>
      <c r="B65" s="2">
        <v>52.793666666666667</v>
      </c>
      <c r="C65" s="2">
        <v>107.1198</v>
      </c>
      <c r="D65" s="2">
        <v>1370</v>
      </c>
      <c r="G65" s="4" t="s">
        <v>296</v>
      </c>
      <c r="H65" s="4" t="s">
        <v>297</v>
      </c>
      <c r="I65" s="4" t="s">
        <v>298</v>
      </c>
      <c r="K65" s="5" t="s">
        <v>299</v>
      </c>
      <c r="L65" s="6" t="s">
        <v>300</v>
      </c>
      <c r="M65" s="7">
        <v>52.794133333333335</v>
      </c>
      <c r="N65" s="7">
        <v>107.12053333333333</v>
      </c>
      <c r="O65" s="7">
        <v>1370</v>
      </c>
      <c r="P65" s="7" t="s">
        <v>30</v>
      </c>
      <c r="Q65" s="2" t="s">
        <v>5</v>
      </c>
      <c r="R65" s="2">
        <f t="shared" si="6"/>
        <v>8.6922698735760081E-4</v>
      </c>
    </row>
    <row r="66" spans="1:29" ht="15.75" customHeight="1">
      <c r="A66" s="11" t="s">
        <v>301</v>
      </c>
      <c r="B66" s="2">
        <v>52.691883333333337</v>
      </c>
      <c r="C66" s="2">
        <v>107.2072</v>
      </c>
      <c r="D66" s="2">
        <v>1250</v>
      </c>
      <c r="G66" s="4" t="s">
        <v>302</v>
      </c>
      <c r="H66" s="4" t="s">
        <v>303</v>
      </c>
      <c r="I66" s="4" t="s">
        <v>304</v>
      </c>
      <c r="K66" s="5" t="s">
        <v>305</v>
      </c>
      <c r="L66" s="7" t="s">
        <v>301</v>
      </c>
      <c r="M66" s="7">
        <v>52.693249999999999</v>
      </c>
      <c r="N66" s="7">
        <v>107.21281666666667</v>
      </c>
      <c r="O66" s="7">
        <v>1270</v>
      </c>
      <c r="P66" s="7" t="s">
        <v>30</v>
      </c>
      <c r="R66" s="2">
        <f t="shared" si="6"/>
        <v>5.7805468791654584E-3</v>
      </c>
    </row>
    <row r="67" spans="1:29" ht="15.75" customHeight="1">
      <c r="A67" s="11" t="s">
        <v>306</v>
      </c>
      <c r="B67" s="2">
        <v>52.667833333333334</v>
      </c>
      <c r="C67" s="2">
        <v>107.2282</v>
      </c>
      <c r="D67" s="2">
        <v>958</v>
      </c>
      <c r="G67" s="4" t="s">
        <v>307</v>
      </c>
      <c r="H67" s="4" t="s">
        <v>308</v>
      </c>
      <c r="I67" s="4" t="s">
        <v>309</v>
      </c>
      <c r="K67" s="5" t="s">
        <v>310</v>
      </c>
      <c r="L67" s="7" t="s">
        <v>311</v>
      </c>
      <c r="M67" s="7">
        <v>52.670433333333335</v>
      </c>
      <c r="N67" s="7">
        <v>107.23283333333333</v>
      </c>
      <c r="O67" s="7">
        <v>998</v>
      </c>
      <c r="P67" s="7" t="s">
        <v>30</v>
      </c>
      <c r="R67" s="2">
        <f t="shared" si="6"/>
        <v>5.3129820042759381E-3</v>
      </c>
    </row>
    <row r="68" spans="1:29" ht="15.75" customHeight="1">
      <c r="A68" s="11" t="s">
        <v>312</v>
      </c>
      <c r="B68" s="2">
        <v>52.645400000000002</v>
      </c>
      <c r="C68" s="2">
        <v>107.24815</v>
      </c>
      <c r="D68" s="2">
        <v>741</v>
      </c>
      <c r="G68" s="4" t="s">
        <v>313</v>
      </c>
      <c r="H68" s="4" t="s">
        <v>314</v>
      </c>
      <c r="I68" s="4" t="s">
        <v>315</v>
      </c>
      <c r="K68" s="5" t="s">
        <v>316</v>
      </c>
      <c r="L68" s="7" t="s">
        <v>317</v>
      </c>
      <c r="M68" s="7">
        <v>52.645800000000001</v>
      </c>
      <c r="N68" s="7">
        <v>107.25648333333334</v>
      </c>
      <c r="O68" s="7">
        <v>280</v>
      </c>
      <c r="P68" s="7" t="s">
        <v>30</v>
      </c>
      <c r="R68" s="2">
        <f t="shared" si="6"/>
        <v>8.3429278101008544E-3</v>
      </c>
    </row>
    <row r="69" spans="1:29" ht="15.75" customHeight="1">
      <c r="A69" s="11" t="s">
        <v>318</v>
      </c>
      <c r="B69" s="2">
        <v>52.620350000000002</v>
      </c>
      <c r="C69" s="2">
        <v>107.27006666666666</v>
      </c>
      <c r="D69" s="2">
        <v>254</v>
      </c>
      <c r="G69" s="4" t="s">
        <v>319</v>
      </c>
      <c r="H69" s="4" t="s">
        <v>320</v>
      </c>
      <c r="I69" s="4" t="s">
        <v>321</v>
      </c>
      <c r="K69" s="5" t="s">
        <v>322</v>
      </c>
      <c r="L69" s="7" t="s">
        <v>323</v>
      </c>
      <c r="M69" s="7">
        <v>52.621200000000002</v>
      </c>
      <c r="N69" s="7">
        <v>107.26904999999999</v>
      </c>
      <c r="O69" s="7">
        <v>30</v>
      </c>
      <c r="P69" s="7" t="s">
        <v>30</v>
      </c>
      <c r="R69" s="2">
        <f t="shared" si="6"/>
        <v>1.3251834254629045E-3</v>
      </c>
    </row>
    <row r="70" spans="1:29" ht="15.75" customHeight="1">
      <c r="A70" s="11" t="s">
        <v>324</v>
      </c>
      <c r="B70" s="2">
        <v>52.60561666666667</v>
      </c>
      <c r="C70" s="2">
        <v>107.28231666666667</v>
      </c>
      <c r="D70" s="2">
        <v>38</v>
      </c>
      <c r="G70" s="4" t="s">
        <v>325</v>
      </c>
      <c r="H70" s="4" t="s">
        <v>326</v>
      </c>
      <c r="I70" s="4" t="s">
        <v>327</v>
      </c>
      <c r="K70" s="5" t="s">
        <v>328</v>
      </c>
      <c r="L70" s="7" t="s">
        <v>329</v>
      </c>
      <c r="M70" s="7">
        <v>52.606866666666669</v>
      </c>
      <c r="N70" s="7">
        <v>107.28381666666667</v>
      </c>
      <c r="O70" s="7">
        <v>18</v>
      </c>
      <c r="P70" s="7" t="s">
        <v>30</v>
      </c>
      <c r="R70" s="2">
        <f t="shared" si="6"/>
        <v>1.952562418970521E-3</v>
      </c>
    </row>
    <row r="71" spans="1:29" ht="15.75" customHeight="1">
      <c r="A71" s="9" t="s">
        <v>330</v>
      </c>
      <c r="B71" s="2">
        <v>52.887549999999997</v>
      </c>
      <c r="C71" s="2">
        <v>107.16421666666666</v>
      </c>
      <c r="D71" s="2">
        <v>1389</v>
      </c>
      <c r="G71" s="4" t="s">
        <v>331</v>
      </c>
      <c r="H71" s="4"/>
      <c r="I71" s="4"/>
      <c r="K71" s="5" t="s">
        <v>331</v>
      </c>
      <c r="L71" s="7" t="s">
        <v>330</v>
      </c>
      <c r="M71" s="7">
        <f t="shared" ref="M71:N71" si="7">B71</f>
        <v>52.887549999999997</v>
      </c>
      <c r="N71" s="7">
        <f t="shared" si="7"/>
        <v>107.16421666666666</v>
      </c>
      <c r="O71" s="7">
        <v>1389</v>
      </c>
      <c r="P71" s="7" t="s">
        <v>30</v>
      </c>
      <c r="Q71" s="2" t="s">
        <v>332</v>
      </c>
      <c r="R71" s="2">
        <f t="shared" si="6"/>
        <v>0</v>
      </c>
    </row>
    <row r="72" spans="1:29" ht="15.75" customHeight="1">
      <c r="K72" s="5" t="s">
        <v>333</v>
      </c>
      <c r="L72" s="7" t="s">
        <v>334</v>
      </c>
      <c r="M72" s="7">
        <v>52.936129999999999</v>
      </c>
      <c r="N72" s="7">
        <v>107.25327</v>
      </c>
      <c r="O72" s="7">
        <v>1463</v>
      </c>
      <c r="P72" s="7" t="s">
        <v>30</v>
      </c>
      <c r="Q72" s="2" t="s">
        <v>332</v>
      </c>
    </row>
    <row r="73" spans="1:29" ht="15.75" customHeight="1">
      <c r="A73" s="8" t="s">
        <v>335</v>
      </c>
      <c r="B73" s="2">
        <v>53.239933333333333</v>
      </c>
      <c r="C73" s="2">
        <v>107.25700000000001</v>
      </c>
      <c r="D73" s="2">
        <v>82</v>
      </c>
      <c r="G73" s="4" t="s">
        <v>336</v>
      </c>
      <c r="H73" s="4" t="s">
        <v>337</v>
      </c>
      <c r="I73" s="4" t="s">
        <v>338</v>
      </c>
      <c r="K73" s="5" t="s">
        <v>339</v>
      </c>
      <c r="L73" s="6" t="s">
        <v>340</v>
      </c>
      <c r="M73" s="7">
        <f t="shared" ref="M73:N73" si="8">B73</f>
        <v>53.239933333333333</v>
      </c>
      <c r="N73" s="7">
        <f t="shared" si="8"/>
        <v>107.25700000000001</v>
      </c>
      <c r="O73" s="7">
        <v>82</v>
      </c>
      <c r="P73" s="7" t="s">
        <v>69</v>
      </c>
      <c r="R73" s="2">
        <f t="shared" ref="R73:R96" si="9">IF(AND(B73&lt;&gt;"",M73&lt;&gt;""),SQRT((B73-M73)^2+(C73-N73)^2),"")</f>
        <v>0</v>
      </c>
    </row>
    <row r="74" spans="1:29" ht="15.75" customHeight="1">
      <c r="A74" s="9" t="s">
        <v>341</v>
      </c>
      <c r="B74" s="2">
        <v>53.442016666666667</v>
      </c>
      <c r="C74" s="2">
        <v>107.67586666666666</v>
      </c>
      <c r="D74" s="2">
        <v>332</v>
      </c>
      <c r="G74" s="4" t="s">
        <v>342</v>
      </c>
      <c r="H74" s="4" t="s">
        <v>343</v>
      </c>
      <c r="I74" s="4" t="s">
        <v>344</v>
      </c>
      <c r="K74" s="5" t="s">
        <v>345</v>
      </c>
      <c r="L74" s="7" t="s">
        <v>346</v>
      </c>
      <c r="M74" s="7">
        <f t="shared" ref="M74:N74" si="10">B74</f>
        <v>53.442016666666667</v>
      </c>
      <c r="N74" s="7">
        <f t="shared" si="10"/>
        <v>107.67586666666666</v>
      </c>
      <c r="O74" s="7">
        <v>332</v>
      </c>
      <c r="P74" s="7" t="s">
        <v>69</v>
      </c>
      <c r="R74" s="2">
        <f t="shared" si="9"/>
        <v>0</v>
      </c>
    </row>
    <row r="75" spans="1:29" ht="15.75" customHeight="1">
      <c r="K75" s="5" t="s">
        <v>347</v>
      </c>
      <c r="L75" s="7" t="s">
        <v>348</v>
      </c>
      <c r="M75" s="7">
        <v>53.06516666666667</v>
      </c>
      <c r="N75" s="7">
        <v>107.40689999999999</v>
      </c>
      <c r="O75" s="7">
        <v>1602</v>
      </c>
      <c r="P75" s="7" t="s">
        <v>30</v>
      </c>
      <c r="R75" s="2" t="str">
        <f t="shared" si="9"/>
        <v/>
      </c>
    </row>
    <row r="76" spans="1:29" ht="15.75" customHeight="1">
      <c r="A76" s="9" t="s">
        <v>349</v>
      </c>
      <c r="B76" s="2">
        <v>53.049583333333331</v>
      </c>
      <c r="C76" s="2">
        <v>107.42158333333333</v>
      </c>
      <c r="D76" s="2">
        <v>1602</v>
      </c>
      <c r="G76" s="4" t="s">
        <v>350</v>
      </c>
      <c r="H76" s="4" t="s">
        <v>351</v>
      </c>
      <c r="I76" s="4" t="s">
        <v>352</v>
      </c>
      <c r="K76" s="5" t="s">
        <v>353</v>
      </c>
      <c r="L76" s="7" t="s">
        <v>354</v>
      </c>
      <c r="M76" s="7">
        <v>53.048183333333334</v>
      </c>
      <c r="N76" s="7">
        <v>107.41466666666666</v>
      </c>
      <c r="O76" s="7">
        <v>676</v>
      </c>
      <c r="P76" s="7" t="s">
        <v>30</v>
      </c>
      <c r="R76" s="2">
        <f t="shared" si="9"/>
        <v>7.0569311869820277E-3</v>
      </c>
    </row>
    <row r="77" spans="1:29" ht="15.75" customHeight="1">
      <c r="K77" s="5" t="s">
        <v>355</v>
      </c>
      <c r="L77" s="7" t="s">
        <v>356</v>
      </c>
      <c r="M77" s="7">
        <v>53.030816666666666</v>
      </c>
      <c r="N77" s="7">
        <v>107.42788333333333</v>
      </c>
      <c r="O77" s="7">
        <v>1600</v>
      </c>
      <c r="P77" s="7" t="s">
        <v>30</v>
      </c>
      <c r="R77" s="2" t="str">
        <f t="shared" si="9"/>
        <v/>
      </c>
    </row>
    <row r="78" spans="1:29" ht="15.75" customHeight="1">
      <c r="A78" s="9" t="s">
        <v>357</v>
      </c>
      <c r="B78" s="2">
        <v>53.017666666666663</v>
      </c>
      <c r="C78" s="2">
        <v>107.44758333333333</v>
      </c>
      <c r="D78" s="2">
        <v>1598</v>
      </c>
      <c r="G78" s="4" t="s">
        <v>358</v>
      </c>
      <c r="H78" s="4" t="s">
        <v>359</v>
      </c>
      <c r="I78" s="4" t="s">
        <v>360</v>
      </c>
      <c r="K78" s="5" t="s">
        <v>361</v>
      </c>
      <c r="L78" s="7" t="s">
        <v>362</v>
      </c>
      <c r="M78" s="7">
        <v>53.016183333333331</v>
      </c>
      <c r="N78" s="7">
        <v>107.44583333333334</v>
      </c>
      <c r="O78" s="7">
        <v>1604</v>
      </c>
      <c r="P78" s="7" t="s">
        <v>30</v>
      </c>
      <c r="R78" s="2">
        <f t="shared" si="9"/>
        <v>2.2940744926289868E-3</v>
      </c>
    </row>
    <row r="79" spans="1:29" ht="15.75" customHeight="1">
      <c r="A79" s="8" t="s">
        <v>363</v>
      </c>
      <c r="B79" s="2">
        <v>52.896516666666663</v>
      </c>
      <c r="C79" s="2">
        <v>107.52894999999999</v>
      </c>
      <c r="D79" s="2">
        <v>1566</v>
      </c>
      <c r="G79" s="4" t="s">
        <v>364</v>
      </c>
      <c r="H79" s="4" t="s">
        <v>365</v>
      </c>
      <c r="I79" s="4" t="s">
        <v>366</v>
      </c>
      <c r="K79" s="5" t="s">
        <v>365</v>
      </c>
      <c r="L79" s="6" t="s">
        <v>367</v>
      </c>
      <c r="M79" s="7">
        <v>52.89821666666667</v>
      </c>
      <c r="N79" s="7">
        <v>107.53631666666666</v>
      </c>
      <c r="O79" s="7">
        <v>1574</v>
      </c>
      <c r="P79" s="7" t="s">
        <v>30</v>
      </c>
      <c r="Q79" s="2" t="s">
        <v>5</v>
      </c>
      <c r="R79" s="2">
        <f t="shared" si="9"/>
        <v>7.5602763030093159E-3</v>
      </c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15.75" customHeight="1">
      <c r="A80" s="9" t="s">
        <v>368</v>
      </c>
      <c r="B80" s="2">
        <v>52.778849999999998</v>
      </c>
      <c r="C80" s="2">
        <v>107.61928333333333</v>
      </c>
      <c r="D80" s="2">
        <v>1032</v>
      </c>
      <c r="G80" s="4" t="s">
        <v>369</v>
      </c>
      <c r="H80" s="4" t="s">
        <v>370</v>
      </c>
      <c r="I80" s="4" t="s">
        <v>109</v>
      </c>
      <c r="K80" s="5" t="s">
        <v>371</v>
      </c>
      <c r="L80" s="7" t="s">
        <v>372</v>
      </c>
      <c r="M80" s="7">
        <v>52.775449999999999</v>
      </c>
      <c r="N80" s="7">
        <v>107.61618333333334</v>
      </c>
      <c r="O80" s="7">
        <v>1556</v>
      </c>
      <c r="P80" s="7" t="s">
        <v>30</v>
      </c>
      <c r="R80" s="2">
        <f t="shared" si="9"/>
        <v>4.60108682812307E-3</v>
      </c>
    </row>
    <row r="81" spans="1:18" ht="15.75" customHeight="1">
      <c r="K81" s="5" t="s">
        <v>373</v>
      </c>
      <c r="L81" s="7" t="s">
        <v>374</v>
      </c>
      <c r="M81" s="7">
        <v>52.758933333333331</v>
      </c>
      <c r="N81" s="7">
        <v>107.6277</v>
      </c>
      <c r="O81" s="7">
        <v>1058</v>
      </c>
      <c r="P81" s="7" t="s">
        <v>30</v>
      </c>
      <c r="R81" s="2" t="str">
        <f t="shared" si="9"/>
        <v/>
      </c>
    </row>
    <row r="82" spans="1:18" ht="15.75" customHeight="1">
      <c r="A82" s="9" t="s">
        <v>375</v>
      </c>
      <c r="B82" s="2">
        <v>52.743933333333331</v>
      </c>
      <c r="C82" s="2">
        <v>107.64061666666667</v>
      </c>
      <c r="D82" s="2">
        <v>512</v>
      </c>
      <c r="G82" s="4" t="s">
        <v>376</v>
      </c>
      <c r="H82" s="4" t="s">
        <v>377</v>
      </c>
      <c r="I82" s="4" t="s">
        <v>119</v>
      </c>
      <c r="K82" s="5" t="s">
        <v>378</v>
      </c>
      <c r="L82" s="7" t="s">
        <v>379</v>
      </c>
      <c r="M82" s="7">
        <v>52.742316666666667</v>
      </c>
      <c r="N82" s="7">
        <v>107.63853333333333</v>
      </c>
      <c r="O82" s="7">
        <v>896</v>
      </c>
      <c r="P82" s="7" t="s">
        <v>30</v>
      </c>
      <c r="R82" s="2">
        <f t="shared" si="9"/>
        <v>2.6370227319706474E-3</v>
      </c>
    </row>
    <row r="83" spans="1:18" ht="15.75" customHeight="1">
      <c r="K83" s="5" t="s">
        <v>380</v>
      </c>
      <c r="L83" s="7" t="s">
        <v>381</v>
      </c>
      <c r="M83" s="7">
        <v>52.727066666666666</v>
      </c>
      <c r="N83" s="7">
        <v>107.65056666666666</v>
      </c>
      <c r="O83" s="7">
        <v>472</v>
      </c>
      <c r="P83" s="7" t="s">
        <v>30</v>
      </c>
      <c r="R83" s="2" t="str">
        <f t="shared" si="9"/>
        <v/>
      </c>
    </row>
    <row r="84" spans="1:18" ht="15.75" customHeight="1">
      <c r="A84" s="1" t="s">
        <v>382</v>
      </c>
      <c r="B84" s="2">
        <v>53.160333333333334</v>
      </c>
      <c r="C84" s="2">
        <v>107.80166666666666</v>
      </c>
      <c r="D84" s="3">
        <v>1617</v>
      </c>
      <c r="G84" s="4" t="s">
        <v>383</v>
      </c>
      <c r="H84" s="4" t="s">
        <v>384</v>
      </c>
      <c r="I84" s="4" t="s">
        <v>385</v>
      </c>
      <c r="K84" s="5" t="s">
        <v>386</v>
      </c>
      <c r="L84" s="6" t="s">
        <v>387</v>
      </c>
      <c r="M84" s="7">
        <f t="shared" ref="M84:N84" si="11">B84</f>
        <v>53.160333333333334</v>
      </c>
      <c r="N84" s="7">
        <f t="shared" si="11"/>
        <v>107.80166666666666</v>
      </c>
      <c r="O84" s="12">
        <v>1617</v>
      </c>
      <c r="P84" s="7" t="s">
        <v>30</v>
      </c>
      <c r="Q84" s="2" t="s">
        <v>5</v>
      </c>
      <c r="R84" s="2">
        <f t="shared" si="9"/>
        <v>0</v>
      </c>
    </row>
    <row r="85" spans="1:18" ht="15.75" customHeight="1">
      <c r="A85" s="10" t="s">
        <v>388</v>
      </c>
      <c r="B85" s="2">
        <v>53.192933333333336</v>
      </c>
      <c r="C85" s="2">
        <v>107.8073</v>
      </c>
      <c r="D85" s="2">
        <v>1624</v>
      </c>
      <c r="G85" s="4" t="s">
        <v>389</v>
      </c>
      <c r="H85" s="4"/>
      <c r="I85" s="4"/>
      <c r="K85" s="5" t="s">
        <v>390</v>
      </c>
      <c r="L85" s="6" t="s">
        <v>391</v>
      </c>
      <c r="M85" s="7">
        <v>53.193750000000001</v>
      </c>
      <c r="N85" s="7">
        <v>107.80581666666667</v>
      </c>
      <c r="O85" s="7">
        <v>1628</v>
      </c>
      <c r="P85" s="7" t="s">
        <v>30</v>
      </c>
      <c r="Q85" s="2" t="s">
        <v>5</v>
      </c>
      <c r="R85" s="2">
        <f t="shared" si="9"/>
        <v>1.693287400944544E-3</v>
      </c>
    </row>
    <row r="86" spans="1:18" ht="15.75" customHeight="1">
      <c r="A86" s="8" t="s">
        <v>392</v>
      </c>
      <c r="B86" s="2">
        <v>53.357916666666668</v>
      </c>
      <c r="C86" s="2">
        <v>108.21733333333333</v>
      </c>
      <c r="D86" s="2">
        <v>1627</v>
      </c>
      <c r="G86" s="4" t="s">
        <v>393</v>
      </c>
      <c r="H86" s="4" t="s">
        <v>394</v>
      </c>
      <c r="I86" s="4" t="s">
        <v>395</v>
      </c>
      <c r="K86" s="5" t="s">
        <v>396</v>
      </c>
      <c r="L86" s="6" t="s">
        <v>397</v>
      </c>
      <c r="M86" s="7">
        <v>53.360083333333336</v>
      </c>
      <c r="N86" s="7">
        <v>108.22523333333334</v>
      </c>
      <c r="O86" s="7">
        <v>396</v>
      </c>
      <c r="P86" s="7" t="s">
        <v>30</v>
      </c>
      <c r="Q86" s="2" t="s">
        <v>5</v>
      </c>
      <c r="R86" s="2">
        <f t="shared" si="9"/>
        <v>8.1917302473012536E-3</v>
      </c>
    </row>
    <row r="87" spans="1:18" ht="15.75" customHeight="1">
      <c r="A87" s="8" t="s">
        <v>398</v>
      </c>
      <c r="B87" s="2">
        <v>53.632150000000003</v>
      </c>
      <c r="C87" s="2">
        <v>108.1215</v>
      </c>
      <c r="D87" s="2">
        <v>404</v>
      </c>
      <c r="G87" s="4" t="s">
        <v>399</v>
      </c>
      <c r="H87" s="4" t="s">
        <v>400</v>
      </c>
      <c r="I87" s="4" t="s">
        <v>401</v>
      </c>
      <c r="K87" s="5" t="s">
        <v>399</v>
      </c>
      <c r="L87" s="6" t="s">
        <v>402</v>
      </c>
      <c r="M87" s="7">
        <v>53.631866666666667</v>
      </c>
      <c r="N87" s="7">
        <v>108.12128333333334</v>
      </c>
      <c r="O87" s="7">
        <v>890</v>
      </c>
      <c r="P87" s="7" t="s">
        <v>403</v>
      </c>
      <c r="Q87" s="2" t="s">
        <v>5</v>
      </c>
      <c r="R87" s="2">
        <f t="shared" si="9"/>
        <v>3.5668224264810895E-4</v>
      </c>
    </row>
    <row r="88" spans="1:18" ht="15.75" customHeight="1">
      <c r="A88" s="13" t="s">
        <v>404</v>
      </c>
      <c r="B88" s="3">
        <v>53.452466666666666</v>
      </c>
      <c r="C88" s="3">
        <v>108.73368333333333</v>
      </c>
      <c r="D88" s="3">
        <v>167</v>
      </c>
      <c r="E88" s="3"/>
      <c r="F88" s="3"/>
      <c r="G88" s="4" t="s">
        <v>405</v>
      </c>
      <c r="H88" s="4" t="s">
        <v>406</v>
      </c>
      <c r="I88" s="4" t="s">
        <v>407</v>
      </c>
      <c r="J88" s="3"/>
      <c r="K88" s="5" t="s">
        <v>405</v>
      </c>
      <c r="L88" s="7" t="s">
        <v>408</v>
      </c>
      <c r="M88" s="7">
        <v>53.453366666666668</v>
      </c>
      <c r="N88" s="7">
        <v>108.73886666666667</v>
      </c>
      <c r="O88" s="12">
        <v>167</v>
      </c>
      <c r="P88" s="7" t="s">
        <v>403</v>
      </c>
      <c r="R88" s="2">
        <f t="shared" si="9"/>
        <v>5.2608881801900157E-3</v>
      </c>
    </row>
    <row r="89" spans="1:18" ht="15.75" customHeight="1">
      <c r="K89" s="5" t="s">
        <v>409</v>
      </c>
      <c r="L89" s="7" t="s">
        <v>410</v>
      </c>
      <c r="M89" s="7">
        <v>53.431733333333334</v>
      </c>
      <c r="N89" s="7">
        <v>108.97176666666667</v>
      </c>
      <c r="O89" s="7">
        <v>382</v>
      </c>
      <c r="P89" s="7" t="s">
        <v>403</v>
      </c>
      <c r="R89" s="2" t="str">
        <f t="shared" si="9"/>
        <v/>
      </c>
    </row>
    <row r="90" spans="1:18" ht="15.75" customHeight="1">
      <c r="A90" s="9" t="s">
        <v>411</v>
      </c>
      <c r="B90" s="2">
        <v>53.759399999999999</v>
      </c>
      <c r="C90" s="2">
        <v>109.12241666666667</v>
      </c>
      <c r="D90" s="2">
        <v>5.25</v>
      </c>
      <c r="G90" s="4" t="s">
        <v>412</v>
      </c>
      <c r="H90" s="4" t="s">
        <v>413</v>
      </c>
      <c r="I90" s="4"/>
      <c r="K90" s="5" t="s">
        <v>412</v>
      </c>
      <c r="L90" s="7" t="s">
        <v>414</v>
      </c>
      <c r="M90" s="7">
        <f t="shared" ref="M90:N90" si="12">B90</f>
        <v>53.759399999999999</v>
      </c>
      <c r="N90" s="7">
        <f t="shared" si="12"/>
        <v>109.12241666666667</v>
      </c>
      <c r="O90" s="7">
        <v>5.25</v>
      </c>
      <c r="P90" s="7" t="s">
        <v>403</v>
      </c>
      <c r="R90" s="2">
        <f t="shared" si="9"/>
        <v>0</v>
      </c>
    </row>
    <row r="91" spans="1:18" ht="15.75" customHeight="1">
      <c r="A91" s="8" t="s">
        <v>415</v>
      </c>
      <c r="B91" s="2">
        <v>53.944283333333331</v>
      </c>
      <c r="C91" s="2">
        <v>108.42928333333333</v>
      </c>
      <c r="D91" s="2">
        <v>888</v>
      </c>
      <c r="G91" s="4" t="s">
        <v>416</v>
      </c>
      <c r="H91" s="4" t="s">
        <v>417</v>
      </c>
      <c r="I91" s="4" t="s">
        <v>418</v>
      </c>
      <c r="K91" s="5" t="s">
        <v>419</v>
      </c>
      <c r="L91" s="6" t="s">
        <v>420</v>
      </c>
      <c r="M91" s="7">
        <v>53.942433333333334</v>
      </c>
      <c r="N91" s="7">
        <v>108.42515</v>
      </c>
      <c r="O91" s="7">
        <v>898</v>
      </c>
      <c r="P91" s="7" t="s">
        <v>403</v>
      </c>
      <c r="Q91" s="2" t="s">
        <v>5</v>
      </c>
      <c r="R91" s="2">
        <f t="shared" si="9"/>
        <v>4.5284593897256704E-3</v>
      </c>
    </row>
    <row r="92" spans="1:18" ht="15.75" customHeight="1">
      <c r="A92" s="8" t="s">
        <v>421</v>
      </c>
      <c r="B92" s="2">
        <v>54.2821</v>
      </c>
      <c r="C92" s="2">
        <v>108.74281666666667</v>
      </c>
      <c r="D92" s="2">
        <v>896</v>
      </c>
      <c r="G92" s="4" t="s">
        <v>422</v>
      </c>
      <c r="H92" s="4" t="s">
        <v>423</v>
      </c>
      <c r="I92" s="4" t="s">
        <v>424</v>
      </c>
      <c r="K92" s="5" t="s">
        <v>422</v>
      </c>
      <c r="L92" s="6" t="s">
        <v>425</v>
      </c>
      <c r="M92" s="7">
        <v>54.282850000000003</v>
      </c>
      <c r="N92" s="7">
        <v>108.7383</v>
      </c>
      <c r="O92" s="7">
        <v>756</v>
      </c>
      <c r="P92" s="7" t="s">
        <v>403</v>
      </c>
      <c r="Q92" s="2" t="s">
        <v>5</v>
      </c>
      <c r="R92" s="2">
        <f t="shared" si="9"/>
        <v>4.578512616325729E-3</v>
      </c>
    </row>
    <row r="93" spans="1:18" ht="15.75" customHeight="1">
      <c r="K93" s="5" t="s">
        <v>426</v>
      </c>
      <c r="L93" s="7" t="s">
        <v>427</v>
      </c>
      <c r="M93" s="7">
        <v>54.538800000000002</v>
      </c>
      <c r="N93" s="7">
        <v>108.67381666666667</v>
      </c>
      <c r="O93" s="7">
        <v>160</v>
      </c>
      <c r="P93" s="7" t="s">
        <v>403</v>
      </c>
      <c r="R93" s="2" t="str">
        <f t="shared" si="9"/>
        <v/>
      </c>
    </row>
    <row r="94" spans="1:18" ht="15.75" customHeight="1">
      <c r="A94" s="9" t="s">
        <v>428</v>
      </c>
      <c r="B94" s="2">
        <v>54.529449999999997</v>
      </c>
      <c r="C94" s="2">
        <v>108.70603333333334</v>
      </c>
      <c r="D94" s="2">
        <v>861</v>
      </c>
      <c r="G94" s="4" t="s">
        <v>429</v>
      </c>
      <c r="H94" s="4" t="s">
        <v>430</v>
      </c>
      <c r="I94" s="4" t="s">
        <v>431</v>
      </c>
      <c r="K94" s="5" t="s">
        <v>432</v>
      </c>
      <c r="L94" s="7" t="s">
        <v>433</v>
      </c>
      <c r="M94" s="7">
        <v>54.533166666666666</v>
      </c>
      <c r="N94" s="7">
        <v>108.70135000000001</v>
      </c>
      <c r="O94" s="7">
        <v>348</v>
      </c>
      <c r="P94" s="7" t="s">
        <v>403</v>
      </c>
      <c r="R94" s="2">
        <f t="shared" si="9"/>
        <v>5.978898077592016E-3</v>
      </c>
    </row>
    <row r="95" spans="1:18" ht="15.75" customHeight="1">
      <c r="K95" s="5" t="s">
        <v>434</v>
      </c>
      <c r="L95" s="7" t="s">
        <v>435</v>
      </c>
      <c r="M95" s="7">
        <v>54.525983333333336</v>
      </c>
      <c r="N95" s="7">
        <v>108.73076666666667</v>
      </c>
      <c r="O95" s="7">
        <v>876</v>
      </c>
      <c r="P95" s="7" t="s">
        <v>403</v>
      </c>
      <c r="R95" s="2" t="str">
        <f t="shared" si="9"/>
        <v/>
      </c>
    </row>
    <row r="96" spans="1:18" ht="15.75" customHeight="1">
      <c r="A96" s="9" t="s">
        <v>436</v>
      </c>
      <c r="B96" s="2">
        <v>54.515066666666669</v>
      </c>
      <c r="C96" s="2">
        <v>108.76056666666666</v>
      </c>
      <c r="D96" s="2">
        <v>888</v>
      </c>
      <c r="G96" s="4" t="s">
        <v>437</v>
      </c>
      <c r="H96" s="4" t="s">
        <v>438</v>
      </c>
      <c r="I96" s="4" t="s">
        <v>439</v>
      </c>
      <c r="K96" s="5" t="s">
        <v>440</v>
      </c>
      <c r="L96" s="7" t="s">
        <v>441</v>
      </c>
      <c r="M96" s="7">
        <v>54.519266666666667</v>
      </c>
      <c r="N96" s="7">
        <v>108.7568</v>
      </c>
      <c r="O96" s="7">
        <v>890</v>
      </c>
      <c r="P96" s="7" t="s">
        <v>403</v>
      </c>
      <c r="R96" s="2">
        <f t="shared" si="9"/>
        <v>5.6416112749580428E-3</v>
      </c>
    </row>
    <row r="97" spans="1:18" ht="15.75" customHeight="1">
      <c r="A97" s="11" t="s">
        <v>442</v>
      </c>
      <c r="B97" s="2">
        <v>54.479816666666665</v>
      </c>
      <c r="C97" s="2">
        <v>108.92035</v>
      </c>
      <c r="D97" s="2">
        <v>889</v>
      </c>
      <c r="G97" s="4" t="s">
        <v>443</v>
      </c>
      <c r="H97" s="4"/>
      <c r="I97" s="4"/>
      <c r="K97" s="5" t="s">
        <v>444</v>
      </c>
      <c r="L97" s="6" t="s">
        <v>445</v>
      </c>
      <c r="M97" s="7">
        <f t="shared" ref="M97:N97" si="13">B97</f>
        <v>54.479816666666665</v>
      </c>
      <c r="N97" s="7">
        <f t="shared" si="13"/>
        <v>108.92035</v>
      </c>
      <c r="O97" s="7">
        <v>889</v>
      </c>
      <c r="P97" s="7" t="s">
        <v>403</v>
      </c>
      <c r="Q97" s="2" t="s">
        <v>5</v>
      </c>
    </row>
    <row r="98" spans="1:18" ht="15.75" customHeight="1">
      <c r="A98" s="8" t="s">
        <v>446</v>
      </c>
      <c r="B98" s="2">
        <v>54.450566666666667</v>
      </c>
      <c r="C98" s="2">
        <v>109.06876666666666</v>
      </c>
      <c r="D98" s="2">
        <v>856</v>
      </c>
      <c r="G98" s="4" t="s">
        <v>447</v>
      </c>
      <c r="H98" s="4" t="s">
        <v>448</v>
      </c>
      <c r="I98" s="4" t="s">
        <v>449</v>
      </c>
      <c r="K98" s="5" t="s">
        <v>447</v>
      </c>
      <c r="L98" s="6" t="s">
        <v>450</v>
      </c>
      <c r="M98" s="7">
        <v>54.458816666666664</v>
      </c>
      <c r="N98" s="7">
        <v>109.06185000000001</v>
      </c>
      <c r="O98" s="7">
        <v>890</v>
      </c>
      <c r="P98" s="7" t="s">
        <v>403</v>
      </c>
      <c r="Q98" s="2" t="s">
        <v>5</v>
      </c>
      <c r="R98" s="2">
        <f t="shared" ref="R98:R102" si="14">IF(AND(B98&lt;&gt;"",M98&lt;&gt;""),SQRT((B98-M98)^2+(C98-N98)^2),"")</f>
        <v>1.0765815239802263E-2</v>
      </c>
    </row>
    <row r="99" spans="1:18" ht="15.75" customHeight="1">
      <c r="A99" s="9" t="s">
        <v>451</v>
      </c>
      <c r="B99" s="2">
        <v>54.388016666666665</v>
      </c>
      <c r="C99" s="2">
        <v>109.36431666666667</v>
      </c>
      <c r="D99" s="2">
        <v>430</v>
      </c>
      <c r="G99" s="4" t="s">
        <v>452</v>
      </c>
      <c r="H99" s="4" t="s">
        <v>453</v>
      </c>
      <c r="I99" s="4" t="s">
        <v>454</v>
      </c>
      <c r="K99" s="5" t="s">
        <v>455</v>
      </c>
      <c r="L99" s="7" t="s">
        <v>456</v>
      </c>
      <c r="M99" s="7">
        <v>54.39705</v>
      </c>
      <c r="N99" s="7">
        <v>109.36133333333333</v>
      </c>
      <c r="O99" s="7">
        <v>864</v>
      </c>
      <c r="P99" s="7" t="s">
        <v>403</v>
      </c>
      <c r="R99" s="2">
        <f t="shared" si="14"/>
        <v>9.5132217933207273E-3</v>
      </c>
    </row>
    <row r="100" spans="1:18" ht="15.75" customHeight="1">
      <c r="K100" s="5" t="s">
        <v>457</v>
      </c>
      <c r="L100" s="7" t="s">
        <v>458</v>
      </c>
      <c r="M100" s="7">
        <v>54.391399999999997</v>
      </c>
      <c r="N100" s="7">
        <v>109.39063333333333</v>
      </c>
      <c r="O100" s="7">
        <v>474</v>
      </c>
      <c r="P100" s="7" t="s">
        <v>403</v>
      </c>
      <c r="R100" s="2" t="str">
        <f t="shared" si="14"/>
        <v/>
      </c>
    </row>
    <row r="101" spans="1:18" ht="15.75" customHeight="1">
      <c r="A101" s="9" t="s">
        <v>459</v>
      </c>
      <c r="B101" s="2">
        <v>54.368633333333335</v>
      </c>
      <c r="C101" s="2">
        <v>109.41755000000001</v>
      </c>
      <c r="D101" s="2">
        <v>87</v>
      </c>
      <c r="G101" s="4" t="s">
        <v>460</v>
      </c>
      <c r="H101" s="4" t="s">
        <v>461</v>
      </c>
      <c r="I101" s="4" t="s">
        <v>462</v>
      </c>
      <c r="K101" s="5" t="s">
        <v>463</v>
      </c>
      <c r="L101" s="7" t="s">
        <v>464</v>
      </c>
      <c r="M101" s="7">
        <v>54.385583333333336</v>
      </c>
      <c r="N101" s="7">
        <v>109.41965</v>
      </c>
      <c r="O101" s="7">
        <v>234</v>
      </c>
      <c r="P101" s="7" t="s">
        <v>403</v>
      </c>
      <c r="R101" s="2">
        <f t="shared" si="14"/>
        <v>1.7079593086488921E-2</v>
      </c>
    </row>
    <row r="102" spans="1:18" ht="15.75" customHeight="1">
      <c r="K102" s="5" t="s">
        <v>465</v>
      </c>
      <c r="L102" s="7" t="s">
        <v>466</v>
      </c>
      <c r="M102" s="7">
        <v>54.380216666666669</v>
      </c>
      <c r="N102" s="7">
        <v>109.4483</v>
      </c>
      <c r="O102" s="7">
        <v>98</v>
      </c>
      <c r="P102" s="7" t="s">
        <v>403</v>
      </c>
      <c r="R102" s="2" t="str">
        <f t="shared" si="14"/>
        <v/>
      </c>
    </row>
    <row r="103" spans="1:18" ht="15.75" customHeight="1">
      <c r="K103" s="5" t="s">
        <v>467</v>
      </c>
      <c r="L103" s="7" t="s">
        <v>468</v>
      </c>
      <c r="M103" s="7">
        <v>54.290199999999999</v>
      </c>
      <c r="N103" s="7">
        <v>109.41296666666666</v>
      </c>
      <c r="O103" s="7">
        <v>142</v>
      </c>
      <c r="P103" s="7" t="s">
        <v>403</v>
      </c>
    </row>
    <row r="104" spans="1:18" ht="15.75" customHeight="1">
      <c r="K104" s="5" t="s">
        <v>469</v>
      </c>
      <c r="L104" s="7" t="s">
        <v>470</v>
      </c>
      <c r="M104" s="7">
        <v>54.271483333333336</v>
      </c>
      <c r="N104" s="7">
        <v>109.37216666666667</v>
      </c>
      <c r="O104" s="7">
        <v>388</v>
      </c>
      <c r="P104" s="7" t="s">
        <v>403</v>
      </c>
    </row>
    <row r="105" spans="1:18" ht="15.75" customHeight="1">
      <c r="K105" s="5" t="s">
        <v>471</v>
      </c>
      <c r="L105" s="7" t="s">
        <v>472</v>
      </c>
      <c r="M105" s="7">
        <v>54.247750000000003</v>
      </c>
      <c r="N105" s="7">
        <v>109.33836666666667</v>
      </c>
      <c r="O105" s="7">
        <v>417</v>
      </c>
      <c r="P105" s="7" t="s">
        <v>403</v>
      </c>
    </row>
    <row r="106" spans="1:18" ht="15.75" customHeight="1">
      <c r="K106" s="5" t="s">
        <v>473</v>
      </c>
      <c r="L106" s="7" t="s">
        <v>474</v>
      </c>
      <c r="M106" s="7">
        <v>54.232366666666664</v>
      </c>
      <c r="N106" s="7">
        <v>109.29291666666667</v>
      </c>
      <c r="O106" s="7">
        <v>625</v>
      </c>
      <c r="P106" s="7" t="s">
        <v>403</v>
      </c>
    </row>
    <row r="107" spans="1:18" ht="15.75" customHeight="1">
      <c r="A107" s="8" t="s">
        <v>475</v>
      </c>
      <c r="B107" s="2">
        <v>54.615766666666666</v>
      </c>
      <c r="C107" s="2">
        <v>109.12335</v>
      </c>
      <c r="D107" s="2">
        <v>887</v>
      </c>
      <c r="G107" s="4" t="s">
        <v>476</v>
      </c>
      <c r="H107" s="4" t="s">
        <v>477</v>
      </c>
      <c r="I107" s="4" t="s">
        <v>478</v>
      </c>
      <c r="K107" s="5" t="s">
        <v>477</v>
      </c>
      <c r="L107" s="6" t="s">
        <v>479</v>
      </c>
      <c r="M107" s="7">
        <v>54.619516666666669</v>
      </c>
      <c r="N107" s="7">
        <v>109.11735</v>
      </c>
      <c r="O107" s="7">
        <v>38</v>
      </c>
      <c r="P107" s="7" t="s">
        <v>403</v>
      </c>
      <c r="Q107" s="2" t="s">
        <v>5</v>
      </c>
      <c r="R107" s="2">
        <f>IF(AND(B107&lt;&gt;"",M107&lt;&gt;""),SQRT((B107-M107)^2+(C107-N107)^2),"")</f>
        <v>7.075485849044604E-3</v>
      </c>
    </row>
    <row r="108" spans="1:18" ht="15.75" customHeight="1">
      <c r="A108" s="8" t="s">
        <v>480</v>
      </c>
      <c r="B108" s="2">
        <v>54.833333333333336</v>
      </c>
      <c r="C108" s="2">
        <v>109.24851666666666</v>
      </c>
      <c r="D108" s="2">
        <v>884</v>
      </c>
      <c r="K108" s="5" t="s">
        <v>481</v>
      </c>
      <c r="L108" s="6" t="s">
        <v>482</v>
      </c>
      <c r="M108" s="7">
        <v>54.833333333333336</v>
      </c>
      <c r="N108" s="7">
        <v>109.24851666666666</v>
      </c>
      <c r="O108" s="7">
        <v>884</v>
      </c>
      <c r="P108" s="7" t="s">
        <v>403</v>
      </c>
      <c r="Q108" s="2" t="s">
        <v>5</v>
      </c>
    </row>
    <row r="109" spans="1:18" ht="15.75" customHeight="1">
      <c r="A109" s="8" t="s">
        <v>483</v>
      </c>
      <c r="B109" s="2">
        <v>55.042066666666663</v>
      </c>
      <c r="C109" s="2">
        <v>109.43425000000001</v>
      </c>
      <c r="D109" s="2">
        <v>760</v>
      </c>
      <c r="G109" s="4" t="s">
        <v>484</v>
      </c>
      <c r="H109" s="4" t="s">
        <v>485</v>
      </c>
      <c r="I109" s="4" t="s">
        <v>486</v>
      </c>
      <c r="J109" s="4" t="s">
        <v>487</v>
      </c>
      <c r="K109" s="5" t="s">
        <v>488</v>
      </c>
      <c r="L109" s="6" t="s">
        <v>489</v>
      </c>
      <c r="M109" s="7">
        <v>55.043216666666666</v>
      </c>
      <c r="N109" s="7">
        <v>109.43565</v>
      </c>
      <c r="O109" s="7">
        <v>302</v>
      </c>
      <c r="P109" s="7" t="s">
        <v>403</v>
      </c>
      <c r="Q109" s="2" t="s">
        <v>5</v>
      </c>
      <c r="R109" s="2">
        <f t="shared" ref="R109:R120" si="15">IF(AND(B109&lt;&gt;"",M109&lt;&gt;""),SQRT((B109-M109)^2+(C109-N109)^2),"")</f>
        <v>1.8117670931930136E-3</v>
      </c>
    </row>
    <row r="110" spans="1:18" ht="15.75" customHeight="1">
      <c r="A110" s="9" t="s">
        <v>490</v>
      </c>
      <c r="B110" s="2">
        <v>55.351316666666669</v>
      </c>
      <c r="C110" s="2">
        <v>109.22408333333334</v>
      </c>
      <c r="D110" s="2">
        <v>361</v>
      </c>
      <c r="G110" s="4" t="s">
        <v>491</v>
      </c>
      <c r="H110" s="4" t="s">
        <v>492</v>
      </c>
      <c r="I110" s="4" t="s">
        <v>327</v>
      </c>
      <c r="K110" s="5" t="s">
        <v>493</v>
      </c>
      <c r="L110" s="7" t="s">
        <v>494</v>
      </c>
      <c r="M110" s="7">
        <v>55.354583333333331</v>
      </c>
      <c r="N110" s="7">
        <v>109.21729999999999</v>
      </c>
      <c r="O110" s="7">
        <v>720</v>
      </c>
      <c r="P110" s="7" t="s">
        <v>403</v>
      </c>
      <c r="R110" s="2">
        <f t="shared" si="15"/>
        <v>7.5289257017419845E-3</v>
      </c>
    </row>
    <row r="111" spans="1:18" ht="15.75" customHeight="1">
      <c r="A111" s="9" t="s">
        <v>495</v>
      </c>
      <c r="B111" s="2">
        <v>55.350483333333337</v>
      </c>
      <c r="C111" s="2">
        <v>109.24496666666667</v>
      </c>
      <c r="D111" s="2">
        <v>586</v>
      </c>
      <c r="G111" s="4" t="s">
        <v>496</v>
      </c>
      <c r="H111" s="4" t="s">
        <v>497</v>
      </c>
      <c r="I111" s="4" t="s">
        <v>321</v>
      </c>
      <c r="K111" s="5" t="s">
        <v>498</v>
      </c>
      <c r="L111" s="7" t="s">
        <v>499</v>
      </c>
      <c r="M111" s="7">
        <v>55.357799999999997</v>
      </c>
      <c r="N111" s="7">
        <v>109.26531666666666</v>
      </c>
      <c r="O111" s="7">
        <v>776</v>
      </c>
      <c r="P111" s="7" t="s">
        <v>403</v>
      </c>
      <c r="R111" s="2">
        <f t="shared" si="15"/>
        <v>2.1625358057400085E-2</v>
      </c>
    </row>
    <row r="112" spans="1:18" ht="15.75" customHeight="1">
      <c r="A112" s="9" t="s">
        <v>500</v>
      </c>
      <c r="B112" s="2">
        <v>55.34728333333333</v>
      </c>
      <c r="C112" s="2">
        <v>109.28393333333334</v>
      </c>
      <c r="D112" s="2">
        <v>675</v>
      </c>
      <c r="G112" s="4" t="s">
        <v>501</v>
      </c>
      <c r="H112" s="4" t="s">
        <v>502</v>
      </c>
      <c r="I112" s="4" t="s">
        <v>503</v>
      </c>
      <c r="K112" s="5" t="s">
        <v>504</v>
      </c>
      <c r="L112" s="7" t="s">
        <v>505</v>
      </c>
      <c r="M112" s="7">
        <v>55.353766666666665</v>
      </c>
      <c r="N112" s="7">
        <v>109.29613333333333</v>
      </c>
      <c r="O112" s="7">
        <v>808</v>
      </c>
      <c r="P112" s="7" t="s">
        <v>403</v>
      </c>
      <c r="R112" s="2">
        <f t="shared" si="15"/>
        <v>1.3815701614864307E-2</v>
      </c>
    </row>
    <row r="113" spans="1:20" ht="15.75" customHeight="1">
      <c r="A113" s="9" t="s">
        <v>506</v>
      </c>
      <c r="B113" s="2">
        <v>55.343366666666668</v>
      </c>
      <c r="C113" s="2">
        <v>109.30808333333333</v>
      </c>
      <c r="D113" s="2">
        <v>782</v>
      </c>
      <c r="G113" s="4" t="s">
        <v>507</v>
      </c>
      <c r="H113" s="4" t="s">
        <v>508</v>
      </c>
      <c r="I113" s="4" t="s">
        <v>509</v>
      </c>
      <c r="K113" s="5" t="s">
        <v>510</v>
      </c>
      <c r="L113" s="7" t="s">
        <v>511</v>
      </c>
      <c r="M113" s="7">
        <v>55.3489</v>
      </c>
      <c r="N113" s="7">
        <v>109.32731666666666</v>
      </c>
      <c r="O113" s="7">
        <v>804</v>
      </c>
      <c r="P113" s="7" t="s">
        <v>403</v>
      </c>
      <c r="R113" s="2">
        <f t="shared" si="15"/>
        <v>2.0013467687755623E-2</v>
      </c>
    </row>
    <row r="114" spans="1:20" ht="15.75" customHeight="1">
      <c r="A114" s="8" t="s">
        <v>512</v>
      </c>
      <c r="B114" s="2">
        <v>55.325400000000002</v>
      </c>
      <c r="C114" s="2">
        <v>109.49701666666667</v>
      </c>
      <c r="D114" s="2">
        <v>800</v>
      </c>
      <c r="G114" s="4" t="s">
        <v>513</v>
      </c>
      <c r="H114" s="4" t="s">
        <v>514</v>
      </c>
      <c r="I114" s="4" t="s">
        <v>515</v>
      </c>
      <c r="K114" s="5" t="s">
        <v>513</v>
      </c>
      <c r="L114" s="6" t="s">
        <v>516</v>
      </c>
      <c r="M114" s="7">
        <v>55.325249999999997</v>
      </c>
      <c r="N114" s="7">
        <v>109.48378333333334</v>
      </c>
      <c r="O114" s="7">
        <v>668</v>
      </c>
      <c r="P114" s="7" t="s">
        <v>403</v>
      </c>
      <c r="Q114" s="2" t="s">
        <v>5</v>
      </c>
      <c r="R114" s="2">
        <f t="shared" si="15"/>
        <v>1.3234183431971913E-2</v>
      </c>
    </row>
    <row r="115" spans="1:20" ht="15.75" customHeight="1">
      <c r="A115" s="9" t="s">
        <v>517</v>
      </c>
      <c r="B115" s="2">
        <v>55.300783333333335</v>
      </c>
      <c r="C115" s="2">
        <v>109.6511</v>
      </c>
      <c r="D115" s="2">
        <v>664</v>
      </c>
      <c r="G115" s="4" t="s">
        <v>518</v>
      </c>
      <c r="H115" s="4" t="s">
        <v>519</v>
      </c>
      <c r="I115" s="3"/>
      <c r="K115" s="5" t="s">
        <v>520</v>
      </c>
      <c r="L115" s="7" t="s">
        <v>521</v>
      </c>
      <c r="M115" s="7">
        <v>55.299566666666664</v>
      </c>
      <c r="N115" s="7">
        <v>109.65128333333334</v>
      </c>
      <c r="O115" s="7">
        <v>658</v>
      </c>
      <c r="P115" s="7" t="s">
        <v>403</v>
      </c>
      <c r="R115" s="2">
        <f t="shared" si="15"/>
        <v>1.2304019216918313E-3</v>
      </c>
    </row>
    <row r="116" spans="1:20" ht="15.75" customHeight="1">
      <c r="A116" s="9" t="s">
        <v>522</v>
      </c>
      <c r="B116" s="2">
        <v>55.2986</v>
      </c>
      <c r="C116" s="2">
        <v>109.67698333333334</v>
      </c>
      <c r="D116" s="2">
        <v>663</v>
      </c>
      <c r="G116" s="4" t="s">
        <v>523</v>
      </c>
      <c r="H116" s="4" t="s">
        <v>524</v>
      </c>
      <c r="I116" s="4"/>
      <c r="K116" s="5" t="s">
        <v>525</v>
      </c>
      <c r="L116" s="7" t="s">
        <v>526</v>
      </c>
      <c r="M116" s="7">
        <v>55.297683333333332</v>
      </c>
      <c r="N116" s="7">
        <v>109.68115</v>
      </c>
      <c r="O116" s="7">
        <v>600</v>
      </c>
      <c r="P116" s="7" t="s">
        <v>403</v>
      </c>
      <c r="R116" s="2">
        <f t="shared" si="15"/>
        <v>4.2663085787201316E-3</v>
      </c>
    </row>
    <row r="117" spans="1:20" ht="15.75" customHeight="1">
      <c r="A117" s="9" t="s">
        <v>527</v>
      </c>
      <c r="B117" s="2">
        <v>55.293566666666663</v>
      </c>
      <c r="C117" s="2">
        <v>109.71166666666667</v>
      </c>
      <c r="D117" s="2">
        <v>574</v>
      </c>
      <c r="G117" s="4" t="s">
        <v>528</v>
      </c>
      <c r="H117" s="4" t="s">
        <v>529</v>
      </c>
      <c r="I117" s="4"/>
      <c r="K117" s="5" t="s">
        <v>530</v>
      </c>
      <c r="L117" s="7" t="s">
        <v>531</v>
      </c>
      <c r="M117" s="7">
        <v>55.294066666666666</v>
      </c>
      <c r="N117" s="7">
        <v>109.71176666666666</v>
      </c>
      <c r="O117" s="7">
        <v>248</v>
      </c>
      <c r="P117" s="7" t="s">
        <v>403</v>
      </c>
      <c r="R117" s="2">
        <f t="shared" si="15"/>
        <v>5.0990195135948359E-4</v>
      </c>
      <c r="S117" s="14"/>
    </row>
    <row r="118" spans="1:20" ht="15.75" customHeight="1">
      <c r="A118" s="9" t="s">
        <v>532</v>
      </c>
      <c r="B118" s="2">
        <v>55.291083333333333</v>
      </c>
      <c r="C118" s="2">
        <v>109.74316666666667</v>
      </c>
      <c r="D118" s="2">
        <v>213</v>
      </c>
      <c r="G118" s="4" t="s">
        <v>533</v>
      </c>
      <c r="H118" s="4" t="s">
        <v>534</v>
      </c>
      <c r="I118" s="4"/>
      <c r="K118" s="5" t="s">
        <v>535</v>
      </c>
      <c r="L118" s="7" t="s">
        <v>536</v>
      </c>
      <c r="M118" s="7">
        <v>55.289666666666669</v>
      </c>
      <c r="N118" s="7">
        <v>109.74156666666667</v>
      </c>
      <c r="O118" s="7">
        <v>656</v>
      </c>
      <c r="P118" s="7" t="s">
        <v>403</v>
      </c>
      <c r="R118" s="2">
        <f t="shared" si="15"/>
        <v>2.1370410488394543E-3</v>
      </c>
      <c r="S118" s="14"/>
    </row>
    <row r="119" spans="1:20" ht="15.75" customHeight="1">
      <c r="A119" s="8" t="s">
        <v>537</v>
      </c>
      <c r="B119" s="2">
        <v>55.566033333333337</v>
      </c>
      <c r="C119" s="2">
        <v>109.59331666666667</v>
      </c>
      <c r="D119" s="2">
        <v>654</v>
      </c>
      <c r="G119" s="4" t="s">
        <v>538</v>
      </c>
      <c r="H119" s="4" t="s">
        <v>539</v>
      </c>
      <c r="I119" s="4" t="s">
        <v>540</v>
      </c>
      <c r="K119" s="5" t="s">
        <v>538</v>
      </c>
      <c r="L119" s="6" t="s">
        <v>541</v>
      </c>
      <c r="M119" s="7">
        <v>55.56516666666667</v>
      </c>
      <c r="N119" s="7">
        <v>109.59253333333334</v>
      </c>
      <c r="O119" s="7">
        <v>492</v>
      </c>
      <c r="P119" s="7" t="s">
        <v>403</v>
      </c>
      <c r="Q119" s="2" t="s">
        <v>5</v>
      </c>
      <c r="R119" s="2">
        <f t="shared" si="15"/>
        <v>1.168213260590308E-3</v>
      </c>
      <c r="S119" s="14"/>
    </row>
    <row r="120" spans="1:20" ht="15.75" customHeight="1">
      <c r="A120" s="8" t="s">
        <v>542</v>
      </c>
      <c r="B120" s="2">
        <v>55.716133333333332</v>
      </c>
      <c r="C120" s="2">
        <v>109.62333333333333</v>
      </c>
      <c r="D120" s="2">
        <v>485</v>
      </c>
      <c r="G120" s="4" t="s">
        <v>543</v>
      </c>
      <c r="H120" s="4" t="s">
        <v>544</v>
      </c>
      <c r="I120" s="4" t="s">
        <v>545</v>
      </c>
      <c r="K120" s="5" t="s">
        <v>546</v>
      </c>
      <c r="L120" s="6" t="s">
        <v>547</v>
      </c>
      <c r="M120" s="7">
        <v>55.714399999999998</v>
      </c>
      <c r="N120" s="7">
        <v>109.62275</v>
      </c>
      <c r="O120" s="7">
        <v>890</v>
      </c>
      <c r="P120" s="7" t="s">
        <v>403</v>
      </c>
      <c r="Q120" s="2" t="s">
        <v>5</v>
      </c>
      <c r="R120" s="2">
        <f t="shared" si="15"/>
        <v>1.8288581744440033E-3</v>
      </c>
      <c r="S120" s="14"/>
    </row>
    <row r="121" spans="1:20" ht="15.75" customHeight="1">
      <c r="A121" s="7" t="s">
        <v>548</v>
      </c>
      <c r="K121" s="5" t="s">
        <v>549</v>
      </c>
      <c r="L121" s="7" t="s">
        <v>548</v>
      </c>
      <c r="M121" s="7">
        <v>51.918779999999998</v>
      </c>
      <c r="N121" s="7">
        <v>105.6357</v>
      </c>
      <c r="O121" s="7">
        <v>1364</v>
      </c>
      <c r="P121" s="7" t="s">
        <v>4</v>
      </c>
      <c r="Q121" s="2" t="s">
        <v>332</v>
      </c>
      <c r="R121" s="2" t="e">
        <f t="shared" ref="R121:R122" si="16">IF(AND(B121&lt;&gt;"",#REF!&lt;&gt;""),SQRT((B121-#REF!)^2+(C121-#REF!)^2),"")</f>
        <v>#REF!</v>
      </c>
      <c r="S121" s="14"/>
      <c r="T121" s="15"/>
    </row>
    <row r="122" spans="1:20" ht="15.75" customHeight="1">
      <c r="A122" s="7" t="s">
        <v>550</v>
      </c>
      <c r="K122" s="5" t="s">
        <v>551</v>
      </c>
      <c r="L122" s="7" t="s">
        <v>550</v>
      </c>
      <c r="M122" s="16">
        <f>52+3.438/60</f>
        <v>52.057299999999998</v>
      </c>
      <c r="N122" s="7">
        <f>105+41.13/60</f>
        <v>105.6855</v>
      </c>
      <c r="O122" s="7">
        <v>1116</v>
      </c>
      <c r="P122" s="7" t="s">
        <v>4</v>
      </c>
      <c r="Q122" s="2" t="s">
        <v>332</v>
      </c>
      <c r="R122" s="2" t="e">
        <f t="shared" si="16"/>
        <v>#REF!</v>
      </c>
      <c r="S122" s="14"/>
      <c r="T122" s="15"/>
    </row>
    <row r="123" spans="1:20" ht="15.75" customHeight="1">
      <c r="A123" s="7" t="s">
        <v>552</v>
      </c>
      <c r="K123" s="5" t="s">
        <v>553</v>
      </c>
      <c r="L123" s="7" t="s">
        <v>552</v>
      </c>
      <c r="M123" s="7">
        <v>52.590433333333337</v>
      </c>
      <c r="N123" s="7">
        <v>106.3951</v>
      </c>
      <c r="O123" s="7">
        <v>1077</v>
      </c>
      <c r="P123" s="7" t="s">
        <v>403</v>
      </c>
      <c r="Q123" s="2" t="s">
        <v>11</v>
      </c>
      <c r="S123" s="17"/>
      <c r="T123" s="17"/>
    </row>
    <row r="124" spans="1:20" ht="15.75" customHeight="1">
      <c r="A124" s="9" t="s">
        <v>554</v>
      </c>
      <c r="K124" s="5" t="s">
        <v>554</v>
      </c>
      <c r="L124" s="9" t="s">
        <v>554</v>
      </c>
      <c r="M124" s="2">
        <v>53.249722222222225</v>
      </c>
      <c r="N124" s="2">
        <v>108.08638888888889</v>
      </c>
      <c r="O124" s="7">
        <v>1620</v>
      </c>
      <c r="P124" s="7" t="s">
        <v>30</v>
      </c>
      <c r="R124" s="2" t="str">
        <f>IF(AND(B124&lt;&gt;"",N122&lt;&gt;""),SQRT((B124-N122)^2+(C124-O122)^2),"")</f>
        <v/>
      </c>
      <c r="S124" s="14"/>
      <c r="T124" s="15"/>
    </row>
    <row r="125" spans="1:20" ht="15.75" customHeight="1">
      <c r="A125" s="8" t="s">
        <v>555</v>
      </c>
      <c r="K125" s="5" t="s">
        <v>556</v>
      </c>
      <c r="L125" s="8" t="s">
        <v>557</v>
      </c>
      <c r="M125" s="2">
        <v>52.195149999999998</v>
      </c>
      <c r="N125" s="2">
        <v>105.92975</v>
      </c>
      <c r="O125" s="2">
        <v>353</v>
      </c>
      <c r="P125" s="7" t="s">
        <v>4</v>
      </c>
      <c r="Q125" s="2" t="s">
        <v>5</v>
      </c>
      <c r="R125" s="2" t="str">
        <f>IF(AND(B125&lt;&gt;"",M125&lt;&gt;""),SQRT((B125-M125)^2+(C125-N125)^2),"")</f>
        <v/>
      </c>
      <c r="S125" s="14"/>
      <c r="T125" s="15"/>
    </row>
    <row r="126" spans="1:20" ht="15.75" customHeight="1">
      <c r="A126" s="8" t="s">
        <v>558</v>
      </c>
      <c r="K126" s="5" t="s">
        <v>559</v>
      </c>
      <c r="L126" s="8" t="s">
        <v>560</v>
      </c>
      <c r="M126" s="2">
        <v>53.16578333333333</v>
      </c>
      <c r="N126" s="2">
        <v>107.99401666666667</v>
      </c>
      <c r="O126" s="2">
        <v>1610</v>
      </c>
      <c r="P126" s="7" t="s">
        <v>30</v>
      </c>
      <c r="Q126" s="2" t="s">
        <v>5</v>
      </c>
      <c r="R126" s="15"/>
      <c r="S126" s="14"/>
      <c r="T126" s="15"/>
    </row>
    <row r="127" spans="1:20" ht="15.75" customHeight="1">
      <c r="A127" s="18" t="s">
        <v>561</v>
      </c>
      <c r="K127" s="5" t="s">
        <v>562</v>
      </c>
      <c r="L127" s="18" t="s">
        <v>563</v>
      </c>
      <c r="M127" s="2">
        <v>53.524433333333334</v>
      </c>
      <c r="N127" s="2">
        <v>108.39748333333333</v>
      </c>
      <c r="O127" s="2">
        <v>1508</v>
      </c>
      <c r="P127" s="15" t="s">
        <v>30</v>
      </c>
      <c r="Q127" s="2" t="s">
        <v>11</v>
      </c>
      <c r="R127" s="15"/>
      <c r="S127" s="14"/>
      <c r="T127" s="15"/>
    </row>
    <row r="128" spans="1:20" ht="15.75" customHeight="1">
      <c r="A128" s="9" t="s">
        <v>564</v>
      </c>
      <c r="K128" s="5" t="s">
        <v>565</v>
      </c>
      <c r="L128" s="9" t="s">
        <v>564</v>
      </c>
      <c r="M128" s="2">
        <v>52.932116666666666</v>
      </c>
      <c r="N128" s="2">
        <v>106.86771666666667</v>
      </c>
      <c r="O128" s="2">
        <v>1170</v>
      </c>
      <c r="P128" s="15" t="s">
        <v>30</v>
      </c>
      <c r="Q128" s="2" t="s">
        <v>332</v>
      </c>
      <c r="R128" s="15"/>
      <c r="S128" s="14"/>
      <c r="T128" s="15"/>
    </row>
    <row r="129" spans="11:23" ht="15.75" customHeight="1">
      <c r="K129" s="5" t="s">
        <v>566</v>
      </c>
      <c r="L129" s="15" t="s">
        <v>567</v>
      </c>
      <c r="M129" s="15">
        <v>52.413350000000001</v>
      </c>
      <c r="N129" s="15">
        <v>106.24721666666667</v>
      </c>
      <c r="O129" s="15">
        <v>203</v>
      </c>
      <c r="P129" s="15" t="s">
        <v>30</v>
      </c>
      <c r="R129" s="15"/>
      <c r="S129" s="14"/>
      <c r="T129" s="15"/>
    </row>
    <row r="130" spans="11:23" ht="15.75" customHeight="1">
      <c r="K130" s="5" t="s">
        <v>568</v>
      </c>
      <c r="L130" s="15" t="s">
        <v>569</v>
      </c>
      <c r="M130" s="15">
        <v>52.394416666666665</v>
      </c>
      <c r="N130" s="15">
        <v>106.27856666666666</v>
      </c>
      <c r="O130" s="15">
        <v>80</v>
      </c>
      <c r="P130" s="15" t="s">
        <v>30</v>
      </c>
      <c r="R130" s="15"/>
      <c r="S130" s="14"/>
      <c r="T130" s="15"/>
    </row>
    <row r="131" spans="11:23" ht="15.75" customHeight="1">
      <c r="K131" s="5" t="s">
        <v>570</v>
      </c>
      <c r="L131" s="15" t="s">
        <v>571</v>
      </c>
      <c r="M131" s="15">
        <v>52.3827</v>
      </c>
      <c r="N131" s="15">
        <v>106.29916666666666</v>
      </c>
      <c r="O131" s="15">
        <v>45</v>
      </c>
      <c r="P131" s="15" t="s">
        <v>30</v>
      </c>
      <c r="R131" s="15"/>
      <c r="S131" s="14"/>
      <c r="T131" s="15"/>
    </row>
    <row r="132" spans="11:23" ht="15.75" customHeight="1">
      <c r="K132" s="5" t="s">
        <v>572</v>
      </c>
      <c r="L132" s="15" t="s">
        <v>573</v>
      </c>
      <c r="M132" s="15">
        <v>52.369616666666666</v>
      </c>
      <c r="N132" s="15">
        <v>106.32076666666667</v>
      </c>
      <c r="O132" s="15">
        <v>25</v>
      </c>
      <c r="P132" s="15" t="s">
        <v>30</v>
      </c>
      <c r="R132" s="15"/>
      <c r="S132" s="19" t="s">
        <v>574</v>
      </c>
      <c r="T132" s="20" t="s">
        <v>575</v>
      </c>
      <c r="U132" s="21">
        <f t="shared" ref="U132:U139" si="17">LEFT(S132,2)+VALUE((MID(S132,4,6)))/60</f>
        <v>54.833333333333336</v>
      </c>
      <c r="V132" s="21">
        <f t="shared" ref="V132:V139" si="18">LEFT(T132,3)+VALUE((MID(T132,5,6)))/60</f>
        <v>109.24851666666666</v>
      </c>
      <c r="W132" s="2">
        <v>884</v>
      </c>
    </row>
    <row r="133" spans="11:23" ht="15.75" customHeight="1">
      <c r="K133" s="5" t="s">
        <v>576</v>
      </c>
      <c r="L133" s="15" t="s">
        <v>577</v>
      </c>
      <c r="M133" s="15">
        <v>52.151033333333331</v>
      </c>
      <c r="N133" s="15">
        <v>106.0808</v>
      </c>
      <c r="O133" s="15">
        <v>82</v>
      </c>
      <c r="P133" s="15" t="s">
        <v>30</v>
      </c>
      <c r="R133" s="15"/>
      <c r="S133" s="9" t="s">
        <v>578</v>
      </c>
      <c r="T133" s="9" t="s">
        <v>579</v>
      </c>
      <c r="U133" s="21">
        <f t="shared" si="17"/>
        <v>52.590433333333337</v>
      </c>
      <c r="V133" s="21">
        <f t="shared" si="18"/>
        <v>106.3951</v>
      </c>
      <c r="W133" s="9">
        <v>1077</v>
      </c>
    </row>
    <row r="134" spans="11:23" ht="15.75" customHeight="1">
      <c r="K134" s="5" t="s">
        <v>580</v>
      </c>
      <c r="L134" s="15" t="s">
        <v>581</v>
      </c>
      <c r="M134" s="15">
        <v>52.135216666666665</v>
      </c>
      <c r="N134" s="15">
        <v>106.14798333333333</v>
      </c>
      <c r="O134" s="15">
        <v>17</v>
      </c>
      <c r="P134" s="15" t="s">
        <v>30</v>
      </c>
      <c r="R134" s="15"/>
      <c r="S134" s="14" t="s">
        <v>582</v>
      </c>
      <c r="T134" s="15" t="s">
        <v>583</v>
      </c>
      <c r="U134" s="21">
        <f t="shared" si="17"/>
        <v>52.04996666666667</v>
      </c>
      <c r="V134" s="21">
        <f t="shared" si="18"/>
        <v>105.70193333333333</v>
      </c>
      <c r="W134" s="2">
        <v>1080</v>
      </c>
    </row>
    <row r="135" spans="11:23" ht="15.75" customHeight="1">
      <c r="K135" s="5" t="s">
        <v>584</v>
      </c>
      <c r="L135" s="15" t="s">
        <v>585</v>
      </c>
      <c r="M135" s="15">
        <v>52.172400000000003</v>
      </c>
      <c r="N135" s="15">
        <v>106.0151</v>
      </c>
      <c r="O135" s="15">
        <v>117</v>
      </c>
      <c r="P135" s="15" t="s">
        <v>30</v>
      </c>
      <c r="R135" s="15"/>
      <c r="S135" s="14" t="s">
        <v>586</v>
      </c>
      <c r="T135" s="15" t="s">
        <v>587</v>
      </c>
      <c r="U135" s="21">
        <f t="shared" si="17"/>
        <v>52.623216666666664</v>
      </c>
      <c r="V135" s="21">
        <f t="shared" si="18"/>
        <v>106.43470000000001</v>
      </c>
    </row>
    <row r="136" spans="11:23" ht="15.75" customHeight="1">
      <c r="K136" s="5"/>
      <c r="L136" s="15"/>
      <c r="M136" s="15"/>
      <c r="N136" s="15"/>
      <c r="O136" s="15"/>
      <c r="P136" s="15"/>
      <c r="R136" s="15"/>
      <c r="S136" s="22" t="s">
        <v>588</v>
      </c>
      <c r="T136" s="22" t="s">
        <v>589</v>
      </c>
      <c r="U136" s="21">
        <f t="shared" si="17"/>
        <v>52.365166666666667</v>
      </c>
      <c r="V136" s="21">
        <f t="shared" si="18"/>
        <v>105.9697</v>
      </c>
    </row>
    <row r="137" spans="11:23" ht="15.75" customHeight="1">
      <c r="R137" s="15"/>
      <c r="S137" s="9" t="s">
        <v>590</v>
      </c>
      <c r="T137" s="9" t="s">
        <v>591</v>
      </c>
      <c r="U137" s="21">
        <f t="shared" si="17"/>
        <v>53.601533333333336</v>
      </c>
      <c r="V137" s="21">
        <f t="shared" si="18"/>
        <v>108.19943333333333</v>
      </c>
    </row>
    <row r="138" spans="11:23" ht="15.75" customHeight="1">
      <c r="R138" s="15"/>
      <c r="S138" s="14"/>
      <c r="T138" s="15"/>
      <c r="U138" s="21" t="e">
        <f t="shared" si="17"/>
        <v>#VALUE!</v>
      </c>
      <c r="V138" s="21" t="e">
        <f t="shared" si="18"/>
        <v>#VALUE!</v>
      </c>
    </row>
    <row r="139" spans="11:23" ht="15.75" customHeight="1">
      <c r="R139" s="15"/>
      <c r="S139" s="14"/>
      <c r="T139" s="15"/>
      <c r="U139" s="21" t="e">
        <f t="shared" si="17"/>
        <v>#VALUE!</v>
      </c>
      <c r="V139" s="21" t="e">
        <f t="shared" si="18"/>
        <v>#VALUE!</v>
      </c>
    </row>
    <row r="140" spans="11:23" ht="15.75" customHeight="1">
      <c r="P140" s="15"/>
      <c r="R140" s="15"/>
      <c r="S140" s="14"/>
      <c r="T140" s="15"/>
    </row>
    <row r="141" spans="11:23" ht="15.75" customHeight="1">
      <c r="P141" s="15"/>
      <c r="R141" s="15"/>
      <c r="S141" s="14"/>
      <c r="T141" s="15"/>
    </row>
    <row r="142" spans="11:23" ht="15.75" customHeight="1">
      <c r="P142" s="15"/>
      <c r="R142" s="15"/>
      <c r="S142" s="14" t="s">
        <v>582</v>
      </c>
      <c r="T142" s="15" t="s">
        <v>583</v>
      </c>
    </row>
    <row r="143" spans="11:23" ht="15.75" customHeight="1">
      <c r="L143" s="15" t="s">
        <v>592</v>
      </c>
      <c r="M143" s="15">
        <v>53.858649999999997</v>
      </c>
      <c r="N143" s="15">
        <v>108.78383333333333</v>
      </c>
      <c r="O143" s="15">
        <v>715</v>
      </c>
      <c r="P143" s="15"/>
      <c r="R143" s="15"/>
      <c r="S143" s="14"/>
      <c r="T143" s="15"/>
    </row>
    <row r="144" spans="11:23" ht="15.75" customHeight="1">
      <c r="L144" s="15" t="s">
        <v>593</v>
      </c>
      <c r="M144" s="15">
        <v>53.83873333333333</v>
      </c>
      <c r="N144" s="15">
        <v>108.76694999999999</v>
      </c>
      <c r="O144" s="15">
        <v>540</v>
      </c>
      <c r="P144" s="15"/>
      <c r="R144" s="15"/>
      <c r="S144" s="14"/>
      <c r="T144" s="15"/>
    </row>
    <row r="145" spans="12:24" ht="15.75" customHeight="1">
      <c r="L145" s="15" t="s">
        <v>594</v>
      </c>
      <c r="M145" s="15">
        <v>53.824083333333334</v>
      </c>
      <c r="N145" s="15">
        <v>108.73343333333334</v>
      </c>
      <c r="O145" s="15">
        <v>748</v>
      </c>
      <c r="P145" s="15"/>
      <c r="R145" s="15"/>
      <c r="S145" s="14"/>
      <c r="T145" s="15"/>
    </row>
    <row r="146" spans="12:24" ht="15.75" customHeight="1">
      <c r="L146" s="15" t="s">
        <v>595</v>
      </c>
      <c r="M146" s="15">
        <v>53.913550000000001</v>
      </c>
      <c r="N146" s="15">
        <v>108.42508333333333</v>
      </c>
      <c r="O146" s="15">
        <v>966</v>
      </c>
      <c r="P146" s="15"/>
      <c r="R146" s="15"/>
      <c r="S146" s="14"/>
      <c r="T146" s="15"/>
    </row>
    <row r="147" spans="12:24" ht="15.75" customHeight="1">
      <c r="L147" s="15" t="s">
        <v>596</v>
      </c>
      <c r="M147" s="15">
        <v>53.62401666666667</v>
      </c>
      <c r="N147" s="15">
        <v>108.12548333333334</v>
      </c>
      <c r="O147" s="15">
        <v>394</v>
      </c>
      <c r="P147" s="15"/>
      <c r="R147" s="23" t="s">
        <v>597</v>
      </c>
      <c r="S147" s="14"/>
      <c r="T147" s="15"/>
    </row>
    <row r="148" spans="12:24" ht="15.75" customHeight="1">
      <c r="L148" s="15" t="s">
        <v>598</v>
      </c>
      <c r="M148" s="15">
        <v>53.556933333333333</v>
      </c>
      <c r="N148" s="15">
        <v>108.10196666666667</v>
      </c>
      <c r="O148" s="15">
        <v>523</v>
      </c>
      <c r="P148" s="15"/>
      <c r="R148" s="15"/>
      <c r="S148" s="14"/>
      <c r="T148" s="15"/>
    </row>
    <row r="149" spans="12:24" ht="15.75" customHeight="1">
      <c r="L149" s="15" t="s">
        <v>599</v>
      </c>
      <c r="M149" s="15">
        <v>53.587633333333336</v>
      </c>
      <c r="N149" s="15">
        <v>108.02303333333333</v>
      </c>
      <c r="O149" s="15">
        <v>351</v>
      </c>
      <c r="P149" s="15"/>
      <c r="R149" s="15">
        <v>53</v>
      </c>
      <c r="S149" s="14">
        <v>14</v>
      </c>
      <c r="T149" s="15">
        <v>59</v>
      </c>
    </row>
    <row r="150" spans="12:24" ht="15.75" customHeight="1">
      <c r="L150" s="15" t="s">
        <v>600</v>
      </c>
      <c r="M150" s="15">
        <v>53.644133333333336</v>
      </c>
      <c r="N150" s="15">
        <v>107.98688333333334</v>
      </c>
      <c r="O150" s="15">
        <v>636</v>
      </c>
      <c r="P150" s="15"/>
      <c r="R150" s="15">
        <v>108</v>
      </c>
      <c r="S150" s="14">
        <v>5</v>
      </c>
      <c r="T150" s="15">
        <v>11</v>
      </c>
    </row>
    <row r="151" spans="12:24" ht="15.75" customHeight="1">
      <c r="L151" s="15" t="s">
        <v>601</v>
      </c>
      <c r="M151" s="15">
        <v>53.626066666666667</v>
      </c>
      <c r="N151" s="15">
        <v>107.95978333333333</v>
      </c>
      <c r="O151" s="15">
        <v>630</v>
      </c>
      <c r="P151" s="15"/>
      <c r="R151" s="15">
        <f t="shared" ref="R151:R152" si="19">R149+S149/60+T149/3600</f>
        <v>53.249722222222225</v>
      </c>
      <c r="S151" s="15"/>
      <c r="T151" s="15"/>
    </row>
    <row r="152" spans="12:24" ht="15.75" customHeight="1">
      <c r="L152" s="15" t="s">
        <v>602</v>
      </c>
      <c r="M152" s="15">
        <v>53.605116666666667</v>
      </c>
      <c r="N152" s="15">
        <v>107.98571666666666</v>
      </c>
      <c r="O152" s="15">
        <v>513</v>
      </c>
      <c r="P152" s="15"/>
      <c r="R152" s="15">
        <f t="shared" si="19"/>
        <v>108.08638888888889</v>
      </c>
      <c r="S152" s="14"/>
      <c r="T152" s="15" t="s">
        <v>603</v>
      </c>
      <c r="U152" s="2" t="s">
        <v>604</v>
      </c>
      <c r="V152" s="2">
        <v>52</v>
      </c>
      <c r="W152" s="2">
        <v>37.393000000000001</v>
      </c>
    </row>
    <row r="153" spans="12:24" ht="15.75" customHeight="1">
      <c r="L153" s="15" t="s">
        <v>605</v>
      </c>
      <c r="M153" s="15">
        <v>53.575766666666667</v>
      </c>
      <c r="N153" s="15">
        <v>108.03106666666666</v>
      </c>
      <c r="O153" s="15">
        <v>309</v>
      </c>
      <c r="P153" s="15"/>
      <c r="R153" s="15"/>
      <c r="S153" s="14"/>
      <c r="T153" s="15" t="s">
        <v>603</v>
      </c>
      <c r="U153" s="2" t="s">
        <v>606</v>
      </c>
      <c r="V153" s="2">
        <v>106</v>
      </c>
      <c r="W153" s="2">
        <v>26.082000000000001</v>
      </c>
    </row>
    <row r="154" spans="12:24" ht="15.75" customHeight="1">
      <c r="L154" s="15" t="s">
        <v>607</v>
      </c>
      <c r="M154" s="15">
        <v>53.555</v>
      </c>
      <c r="N154" s="15">
        <v>108.06638333333333</v>
      </c>
      <c r="O154" s="15">
        <v>563</v>
      </c>
      <c r="P154" s="15"/>
      <c r="R154" s="15"/>
      <c r="S154" s="14"/>
      <c r="T154" s="15"/>
    </row>
    <row r="155" spans="12:24" ht="15.75" customHeight="1">
      <c r="L155" s="15" t="s">
        <v>608</v>
      </c>
      <c r="M155" s="15">
        <v>53.499850000000002</v>
      </c>
      <c r="N155" s="15">
        <v>108.11685</v>
      </c>
      <c r="O155" s="15">
        <v>821</v>
      </c>
      <c r="P155" s="15"/>
      <c r="R155" s="15"/>
      <c r="S155" s="14"/>
      <c r="T155" s="15"/>
    </row>
    <row r="156" spans="12:24" ht="15.75" customHeight="1">
      <c r="L156" s="15" t="s">
        <v>609</v>
      </c>
      <c r="M156" s="15">
        <v>53.552283333333335</v>
      </c>
      <c r="N156" s="15">
        <v>108.10120000000001</v>
      </c>
      <c r="O156" s="15">
        <v>530</v>
      </c>
      <c r="P156" s="15"/>
      <c r="R156" s="15"/>
      <c r="S156" s="14"/>
      <c r="T156" s="15"/>
    </row>
    <row r="157" spans="12:24" ht="15.75" customHeight="1">
      <c r="L157" s="15" t="s">
        <v>610</v>
      </c>
      <c r="M157" s="15">
        <v>53.583500000000001</v>
      </c>
      <c r="N157" s="15">
        <v>108.06635</v>
      </c>
      <c r="O157" s="15">
        <v>321</v>
      </c>
      <c r="P157" s="15"/>
      <c r="R157" s="15"/>
      <c r="S157" s="14"/>
      <c r="T157" s="15"/>
    </row>
    <row r="158" spans="12:24" ht="15.75" customHeight="1">
      <c r="L158" s="15" t="s">
        <v>611</v>
      </c>
      <c r="M158" s="15">
        <v>53.491050000000001</v>
      </c>
      <c r="N158" s="15">
        <v>108.05455000000001</v>
      </c>
      <c r="O158" s="15">
        <v>788</v>
      </c>
      <c r="P158" s="15"/>
      <c r="R158" s="15"/>
      <c r="S158" s="14"/>
      <c r="T158" s="15"/>
    </row>
    <row r="159" spans="12:24" ht="15.75" customHeight="1">
      <c r="L159" s="15" t="s">
        <v>612</v>
      </c>
      <c r="M159" s="15">
        <v>53.525333333333336</v>
      </c>
      <c r="N159" s="15">
        <v>108.01864999999999</v>
      </c>
      <c r="O159" s="15">
        <v>503</v>
      </c>
      <c r="P159" s="15"/>
      <c r="R159" s="15"/>
      <c r="S159" s="14"/>
      <c r="T159" s="15"/>
    </row>
    <row r="160" spans="12:24" ht="15.75" customHeight="1">
      <c r="L160" s="15" t="s">
        <v>613</v>
      </c>
      <c r="M160" s="15">
        <v>53.555633333333333</v>
      </c>
      <c r="N160" s="15">
        <v>107.98808333333334</v>
      </c>
      <c r="O160" s="15">
        <v>371</v>
      </c>
      <c r="P160" s="15"/>
      <c r="R160" s="15"/>
      <c r="S160" s="14"/>
      <c r="T160" s="15"/>
      <c r="W160" s="21" t="e">
        <f t="shared" ref="W160:W171" si="20">LEFT(U160,2)+VALUE((MID(U160,4,6)))/60</f>
        <v>#VALUE!</v>
      </c>
      <c r="X160" s="21" t="e">
        <f t="shared" ref="X160:X171" si="21">LEFT(V160,3)+VALUE((MID(V160,5,6)))/60</f>
        <v>#VALUE!</v>
      </c>
    </row>
    <row r="161" spans="12:25" ht="15.75" customHeight="1">
      <c r="L161" s="15" t="s">
        <v>614</v>
      </c>
      <c r="M161" s="15">
        <v>53.586033333333333</v>
      </c>
      <c r="N161" s="15">
        <v>107.95363333333333</v>
      </c>
      <c r="O161" s="15">
        <v>500</v>
      </c>
      <c r="P161" s="15"/>
      <c r="R161" s="8" t="s">
        <v>555</v>
      </c>
      <c r="S161" s="24">
        <v>42589</v>
      </c>
      <c r="T161" s="25">
        <v>0.7284722222222223</v>
      </c>
      <c r="U161" s="9" t="s">
        <v>615</v>
      </c>
      <c r="V161" s="9" t="s">
        <v>616</v>
      </c>
      <c r="W161" s="21">
        <f t="shared" si="20"/>
        <v>52.195149999999998</v>
      </c>
      <c r="X161" s="21">
        <f t="shared" si="21"/>
        <v>105.92975</v>
      </c>
      <c r="Y161" s="26">
        <v>353</v>
      </c>
    </row>
    <row r="162" spans="12:25" ht="15.75" customHeight="1">
      <c r="L162" s="15" t="s">
        <v>617</v>
      </c>
      <c r="M162" s="15">
        <v>53.60863333333333</v>
      </c>
      <c r="N162" s="15">
        <v>107.92068333333333</v>
      </c>
      <c r="O162" s="15">
        <v>596</v>
      </c>
      <c r="P162" s="15"/>
      <c r="R162" s="8" t="s">
        <v>558</v>
      </c>
      <c r="S162" s="24">
        <v>42591</v>
      </c>
      <c r="T162" s="25">
        <v>0.46666666666666662</v>
      </c>
      <c r="U162" s="19" t="s">
        <v>618</v>
      </c>
      <c r="V162" s="19" t="s">
        <v>619</v>
      </c>
      <c r="W162" s="21">
        <f t="shared" si="20"/>
        <v>53.16578333333333</v>
      </c>
      <c r="X162" s="21">
        <f t="shared" si="21"/>
        <v>107.99401666666667</v>
      </c>
      <c r="Y162" s="27">
        <v>1610</v>
      </c>
    </row>
    <row r="163" spans="12:25" ht="15.75" customHeight="1">
      <c r="L163" s="15" t="s">
        <v>620</v>
      </c>
      <c r="M163" s="15">
        <v>53.504116666666668</v>
      </c>
      <c r="N163" s="15">
        <v>107.80673333333333</v>
      </c>
      <c r="O163" s="15">
        <v>490</v>
      </c>
      <c r="P163" s="15"/>
      <c r="R163" s="18" t="s">
        <v>561</v>
      </c>
      <c r="S163" s="24">
        <v>42591</v>
      </c>
      <c r="T163" s="25">
        <v>0.89861111111111114</v>
      </c>
      <c r="U163" s="19" t="s">
        <v>621</v>
      </c>
      <c r="V163" s="19" t="s">
        <v>622</v>
      </c>
      <c r="W163" s="21">
        <f t="shared" si="20"/>
        <v>53.524433333333334</v>
      </c>
      <c r="X163" s="21">
        <f t="shared" si="21"/>
        <v>108.39748333333333</v>
      </c>
      <c r="Y163" s="27">
        <v>1508</v>
      </c>
    </row>
    <row r="164" spans="12:25" ht="15.75" customHeight="1">
      <c r="L164" s="15" t="s">
        <v>623</v>
      </c>
      <c r="M164" s="15">
        <v>53.500050000000002</v>
      </c>
      <c r="N164" s="15">
        <v>107.86499999999999</v>
      </c>
      <c r="O164" s="15">
        <v>423</v>
      </c>
      <c r="P164" s="15"/>
      <c r="R164" s="9" t="s">
        <v>624</v>
      </c>
      <c r="S164" s="24">
        <v>42596</v>
      </c>
      <c r="T164" s="25">
        <v>0.74652777777777779</v>
      </c>
      <c r="U164" s="9" t="s">
        <v>625</v>
      </c>
      <c r="V164" s="9" t="s">
        <v>626</v>
      </c>
      <c r="W164" s="21">
        <f t="shared" si="20"/>
        <v>52.932116666666666</v>
      </c>
      <c r="X164" s="21">
        <f t="shared" si="21"/>
        <v>106.86771666666667</v>
      </c>
      <c r="Y164" s="26">
        <v>1170</v>
      </c>
    </row>
    <row r="165" spans="12:25" ht="15.75" customHeight="1">
      <c r="L165" s="15" t="s">
        <v>627</v>
      </c>
      <c r="M165" s="15">
        <v>53.488916666666668</v>
      </c>
      <c r="N165" s="15">
        <v>107.91725</v>
      </c>
      <c r="O165" s="15">
        <v>461</v>
      </c>
      <c r="P165" s="15"/>
      <c r="R165" s="15"/>
      <c r="S165" s="14"/>
      <c r="T165" s="15"/>
      <c r="W165" s="21" t="e">
        <f t="shared" si="20"/>
        <v>#VALUE!</v>
      </c>
      <c r="X165" s="21" t="e">
        <f t="shared" si="21"/>
        <v>#VALUE!</v>
      </c>
    </row>
    <row r="166" spans="12:25" ht="15.75" customHeight="1">
      <c r="L166" s="15" t="s">
        <v>628</v>
      </c>
      <c r="M166" s="15">
        <v>52.79815</v>
      </c>
      <c r="N166" s="15">
        <v>107.11168333333333</v>
      </c>
      <c r="O166" s="15">
        <v>1326</v>
      </c>
      <c r="P166" s="15"/>
      <c r="R166" s="15"/>
      <c r="S166" s="14"/>
      <c r="T166" s="15"/>
      <c r="W166" s="21" t="e">
        <f t="shared" si="20"/>
        <v>#VALUE!</v>
      </c>
      <c r="X166" s="21" t="e">
        <f t="shared" si="21"/>
        <v>#VALUE!</v>
      </c>
    </row>
    <row r="167" spans="12:25" ht="15.75" customHeight="1">
      <c r="L167" s="15" t="s">
        <v>629</v>
      </c>
      <c r="M167" s="15">
        <v>52.676050000000004</v>
      </c>
      <c r="N167" s="15">
        <v>107.22</v>
      </c>
      <c r="O167" s="15">
        <v>1221</v>
      </c>
      <c r="P167" s="15"/>
      <c r="R167" s="15"/>
      <c r="S167" s="14"/>
      <c r="T167" s="15"/>
      <c r="W167" s="21" t="e">
        <f t="shared" si="20"/>
        <v>#VALUE!</v>
      </c>
      <c r="X167" s="21" t="e">
        <f t="shared" si="21"/>
        <v>#VALUE!</v>
      </c>
    </row>
    <row r="168" spans="12:25" ht="15.75" customHeight="1">
      <c r="L168" s="15" t="s">
        <v>630</v>
      </c>
      <c r="M168" s="15">
        <v>52.651183333333336</v>
      </c>
      <c r="N168" s="15">
        <v>107.24011666666667</v>
      </c>
      <c r="O168" s="15">
        <v>921</v>
      </c>
      <c r="P168" s="15"/>
      <c r="R168" s="15"/>
      <c r="S168" s="14"/>
      <c r="T168" s="15"/>
      <c r="W168" s="21" t="e">
        <f t="shared" si="20"/>
        <v>#VALUE!</v>
      </c>
      <c r="X168" s="21" t="e">
        <f t="shared" si="21"/>
        <v>#VALUE!</v>
      </c>
    </row>
    <row r="169" spans="12:25" ht="15.75" customHeight="1">
      <c r="L169" s="15" t="s">
        <v>631</v>
      </c>
      <c r="M169" s="15">
        <v>52.636049999999997</v>
      </c>
      <c r="N169" s="15">
        <v>107.25676666666666</v>
      </c>
      <c r="O169" s="15">
        <v>657</v>
      </c>
      <c r="P169" s="15"/>
      <c r="R169" s="15"/>
      <c r="S169" s="14"/>
      <c r="T169" s="15"/>
      <c r="W169" s="21" t="e">
        <f t="shared" si="20"/>
        <v>#VALUE!</v>
      </c>
      <c r="X169" s="21" t="e">
        <f t="shared" si="21"/>
        <v>#VALUE!</v>
      </c>
    </row>
    <row r="170" spans="12:25" ht="15.75" customHeight="1">
      <c r="L170" s="15" t="s">
        <v>632</v>
      </c>
      <c r="M170" s="15">
        <v>52.621333333333332</v>
      </c>
      <c r="N170" s="15">
        <v>107.26801666666667</v>
      </c>
      <c r="O170" s="15">
        <v>321</v>
      </c>
      <c r="P170" s="15"/>
      <c r="R170" s="15"/>
      <c r="S170" s="14"/>
      <c r="T170" s="15"/>
      <c r="W170" s="21" t="e">
        <f t="shared" si="20"/>
        <v>#VALUE!</v>
      </c>
      <c r="X170" s="21" t="e">
        <f t="shared" si="21"/>
        <v>#VALUE!</v>
      </c>
    </row>
    <row r="171" spans="12:25" ht="15.75" customHeight="1">
      <c r="L171" s="15" t="s">
        <v>633</v>
      </c>
      <c r="M171" s="15">
        <v>52.575183333333335</v>
      </c>
      <c r="N171" s="15">
        <v>107.08658333333334</v>
      </c>
      <c r="O171" s="15">
        <v>90.4</v>
      </c>
      <c r="P171" s="15"/>
      <c r="R171" s="15"/>
      <c r="S171" s="14"/>
      <c r="T171" s="15"/>
      <c r="W171" s="21" t="e">
        <f t="shared" si="20"/>
        <v>#VALUE!</v>
      </c>
      <c r="X171" s="21" t="e">
        <f t="shared" si="21"/>
        <v>#VALUE!</v>
      </c>
    </row>
    <row r="172" spans="12:25" ht="15.75" customHeight="1">
      <c r="L172" s="15" t="s">
        <v>634</v>
      </c>
      <c r="M172" s="15">
        <v>52.587183333333336</v>
      </c>
      <c r="N172" s="15">
        <v>107.0605</v>
      </c>
      <c r="O172" s="15">
        <v>90.4</v>
      </c>
      <c r="P172" s="15"/>
      <c r="R172" s="15"/>
      <c r="S172" s="14"/>
      <c r="T172" s="15"/>
    </row>
    <row r="173" spans="12:25" ht="15.75" customHeight="1">
      <c r="L173" s="15" t="s">
        <v>635</v>
      </c>
      <c r="M173" s="15">
        <v>52.597066666666663</v>
      </c>
      <c r="N173" s="15">
        <v>107.03453333333333</v>
      </c>
      <c r="O173" s="15">
        <v>567</v>
      </c>
      <c r="P173" s="15"/>
      <c r="R173" s="15"/>
      <c r="S173" s="14"/>
      <c r="T173" s="15"/>
    </row>
    <row r="174" spans="12:25" ht="15.75" customHeight="1">
      <c r="L174" s="15" t="s">
        <v>636</v>
      </c>
      <c r="M174" s="15">
        <v>52.612416666666668</v>
      </c>
      <c r="N174" s="15">
        <v>106.99616666666667</v>
      </c>
      <c r="O174" s="15">
        <v>990</v>
      </c>
      <c r="P174" s="15"/>
      <c r="R174" s="15"/>
      <c r="S174" s="14"/>
      <c r="T174" s="15"/>
    </row>
    <row r="175" spans="12:25" ht="15.75" customHeight="1">
      <c r="L175" s="15" t="s">
        <v>637</v>
      </c>
      <c r="M175" s="15">
        <v>52.665366666666664</v>
      </c>
      <c r="N175" s="15">
        <v>106.86486666666667</v>
      </c>
      <c r="O175" s="15">
        <v>1235</v>
      </c>
      <c r="P175" s="15"/>
      <c r="R175" s="15"/>
      <c r="S175" s="14"/>
      <c r="T175" s="15"/>
    </row>
    <row r="176" spans="12:25" ht="15.75" customHeight="1">
      <c r="L176" s="15" t="s">
        <v>255</v>
      </c>
      <c r="M176" s="15">
        <v>52.47325</v>
      </c>
      <c r="N176" s="15">
        <v>106.84675</v>
      </c>
      <c r="O176" s="15">
        <v>19</v>
      </c>
      <c r="P176" s="15"/>
      <c r="R176" s="15"/>
      <c r="S176" s="14"/>
      <c r="T176" s="15"/>
    </row>
    <row r="177" spans="12:20" ht="15.75" customHeight="1">
      <c r="L177" s="15" t="s">
        <v>257</v>
      </c>
      <c r="M177" s="15">
        <v>52.479383333333331</v>
      </c>
      <c r="N177" s="28">
        <v>106.82461666666667</v>
      </c>
      <c r="O177" s="15">
        <v>29</v>
      </c>
      <c r="P177" s="15"/>
      <c r="R177" s="15"/>
      <c r="S177" s="14"/>
      <c r="T177" s="15"/>
    </row>
    <row r="178" spans="12:20" ht="15.75" customHeight="1">
      <c r="L178" s="15" t="s">
        <v>259</v>
      </c>
      <c r="M178" s="15">
        <v>52.492133333333335</v>
      </c>
      <c r="N178" s="15">
        <v>106.80411666666667</v>
      </c>
      <c r="O178" s="15">
        <v>269</v>
      </c>
      <c r="P178" s="15"/>
      <c r="R178" s="15"/>
      <c r="S178" s="14"/>
      <c r="T178" s="15"/>
    </row>
    <row r="179" spans="12:20" ht="15.75" customHeight="1">
      <c r="L179" s="15" t="s">
        <v>261</v>
      </c>
      <c r="M179" s="15">
        <v>52.508066666666664</v>
      </c>
      <c r="N179" s="15">
        <v>106.76560000000001</v>
      </c>
      <c r="O179" s="15">
        <v>470</v>
      </c>
      <c r="P179" s="15"/>
      <c r="R179" s="15"/>
    </row>
    <row r="180" spans="12:20" ht="15.75" customHeight="1">
      <c r="L180" s="15" t="s">
        <v>638</v>
      </c>
      <c r="M180" s="15">
        <v>52.408966666666664</v>
      </c>
      <c r="N180" s="15">
        <v>106.51718333333334</v>
      </c>
      <c r="O180" s="15">
        <v>77</v>
      </c>
      <c r="P180" s="15"/>
      <c r="R180" s="15"/>
    </row>
    <row r="181" spans="12:20" ht="15.75" customHeight="1">
      <c r="L181" s="15" t="s">
        <v>639</v>
      </c>
      <c r="M181" s="15">
        <v>52.419216666666664</v>
      </c>
      <c r="N181" s="15">
        <v>106.4973</v>
      </c>
      <c r="O181" s="15">
        <v>117</v>
      </c>
      <c r="P181" s="15"/>
      <c r="R181" s="15"/>
    </row>
    <row r="182" spans="12:20" ht="15.75" customHeight="1">
      <c r="L182" s="15" t="s">
        <v>640</v>
      </c>
      <c r="M182" s="15">
        <v>52.429349999999999</v>
      </c>
      <c r="N182" s="15">
        <v>106.47716666666666</v>
      </c>
      <c r="O182" s="15">
        <v>237</v>
      </c>
      <c r="P182" s="15"/>
      <c r="R182" s="15"/>
    </row>
    <row r="183" spans="12:20" ht="15.75" customHeight="1">
      <c r="L183" s="15" t="s">
        <v>641</v>
      </c>
      <c r="M183" s="15">
        <v>52.44701666666667</v>
      </c>
      <c r="N183" s="15">
        <v>106.44145</v>
      </c>
      <c r="O183" s="15">
        <v>157</v>
      </c>
      <c r="P183" s="15"/>
      <c r="R183" s="15"/>
    </row>
    <row r="184" spans="12:20" ht="15.75" customHeight="1">
      <c r="L184" s="15" t="s">
        <v>642</v>
      </c>
      <c r="M184" s="15">
        <v>52.516583333333337</v>
      </c>
      <c r="N184" s="15">
        <v>106.30840000000001</v>
      </c>
      <c r="O184" s="15">
        <v>883</v>
      </c>
    </row>
    <row r="185" spans="12:20" ht="15.75" customHeight="1">
      <c r="L185" s="15" t="s">
        <v>643</v>
      </c>
      <c r="M185" s="15">
        <v>52.469516666666664</v>
      </c>
      <c r="N185" s="15">
        <v>106.23281666666666</v>
      </c>
      <c r="O185" s="15">
        <v>545</v>
      </c>
    </row>
    <row r="186" spans="12:20" ht="15.75" customHeight="1">
      <c r="L186" s="15" t="s">
        <v>644</v>
      </c>
      <c r="M186" s="15">
        <v>52.453333333333333</v>
      </c>
      <c r="N186" s="15">
        <v>106.14928333333333</v>
      </c>
      <c r="O186" s="15">
        <v>358</v>
      </c>
    </row>
    <row r="187" spans="12:20" ht="15.75" customHeight="1">
      <c r="L187" s="15" t="s">
        <v>645</v>
      </c>
      <c r="M187" s="15">
        <v>52.444116666666666</v>
      </c>
      <c r="N187" s="15">
        <v>106.02068333333334</v>
      </c>
      <c r="O187" s="15">
        <v>542</v>
      </c>
    </row>
    <row r="188" spans="12:20" ht="15.75" customHeight="1">
      <c r="L188" s="15" t="s">
        <v>646</v>
      </c>
      <c r="M188" s="15">
        <v>52.387833333333333</v>
      </c>
      <c r="N188" s="15">
        <v>105.93253333333334</v>
      </c>
      <c r="O188" s="15">
        <v>853</v>
      </c>
    </row>
    <row r="189" spans="12:20" ht="15.75" customHeight="1">
      <c r="L189" s="15" t="s">
        <v>647</v>
      </c>
      <c r="M189" s="15">
        <v>52.413350000000001</v>
      </c>
      <c r="N189" s="15">
        <v>106.24721666666667</v>
      </c>
      <c r="O189" s="15">
        <v>203</v>
      </c>
    </row>
    <row r="190" spans="12:20" ht="15.75" customHeight="1">
      <c r="L190" s="15" t="s">
        <v>648</v>
      </c>
      <c r="M190" s="15">
        <v>52.394416666666665</v>
      </c>
      <c r="N190" s="15">
        <v>106.27856666666666</v>
      </c>
      <c r="O190" s="15">
        <v>80</v>
      </c>
    </row>
    <row r="191" spans="12:20" ht="15.75" customHeight="1">
      <c r="L191" s="15" t="s">
        <v>649</v>
      </c>
      <c r="M191" s="15">
        <v>52.3827</v>
      </c>
      <c r="N191" s="15">
        <v>106.29916666666666</v>
      </c>
      <c r="O191" s="15">
        <v>45</v>
      </c>
    </row>
    <row r="192" spans="12:20" ht="15.75" customHeight="1">
      <c r="L192" s="15" t="s">
        <v>650</v>
      </c>
      <c r="M192" s="15">
        <v>52.369616666666666</v>
      </c>
      <c r="N192" s="15">
        <v>106.32076666666667</v>
      </c>
      <c r="O192" s="15">
        <v>25</v>
      </c>
    </row>
    <row r="193" spans="12:15" ht="15.75" customHeight="1">
      <c r="L193" s="15" t="s">
        <v>651</v>
      </c>
      <c r="M193" s="15">
        <v>52.293483333333334</v>
      </c>
      <c r="N193" s="15">
        <v>106.24553333333333</v>
      </c>
      <c r="O193" s="15">
        <v>5.5</v>
      </c>
    </row>
    <row r="194" spans="12:15" ht="15.75" customHeight="1">
      <c r="L194" s="15" t="s">
        <v>652</v>
      </c>
      <c r="M194" s="15">
        <v>52.291066666666666</v>
      </c>
      <c r="N194" s="15">
        <v>106.21015</v>
      </c>
      <c r="O194" s="15">
        <v>17</v>
      </c>
    </row>
    <row r="195" spans="12:15" ht="15.75" customHeight="1">
      <c r="L195" s="15" t="s">
        <v>653</v>
      </c>
      <c r="M195" s="15">
        <v>52.302</v>
      </c>
      <c r="N195" s="15">
        <v>106.1867</v>
      </c>
      <c r="O195" s="15">
        <v>26</v>
      </c>
    </row>
    <row r="196" spans="12:15" ht="15.75" customHeight="1">
      <c r="L196" s="15" t="s">
        <v>654</v>
      </c>
      <c r="M196" s="15">
        <v>52.310499999999998</v>
      </c>
      <c r="N196" s="15">
        <v>106.16353333333333</v>
      </c>
      <c r="O196" s="15">
        <v>29</v>
      </c>
    </row>
    <row r="197" spans="12:15" ht="15.75" customHeight="1">
      <c r="L197" s="15" t="s">
        <v>655</v>
      </c>
      <c r="M197" s="15">
        <v>52.324300000000001</v>
      </c>
      <c r="N197" s="15">
        <v>106.12455</v>
      </c>
      <c r="O197" s="15">
        <v>116</v>
      </c>
    </row>
    <row r="198" spans="12:15" ht="15.75" customHeight="1">
      <c r="L198" s="15" t="s">
        <v>656</v>
      </c>
      <c r="M198" s="15">
        <v>52.151033333333331</v>
      </c>
      <c r="N198" s="15">
        <v>106.0808</v>
      </c>
      <c r="O198" s="15">
        <v>82</v>
      </c>
    </row>
    <row r="199" spans="12:15" ht="15.75" customHeight="1">
      <c r="L199" s="15" t="s">
        <v>657</v>
      </c>
      <c r="M199" s="15">
        <v>52.135216666666665</v>
      </c>
      <c r="N199" s="15">
        <v>106.14798333333333</v>
      </c>
      <c r="O199" s="15">
        <v>17</v>
      </c>
    </row>
    <row r="200" spans="12:15" ht="15.75" customHeight="1">
      <c r="L200" s="15" t="s">
        <v>658</v>
      </c>
      <c r="M200" s="15">
        <v>52.172400000000003</v>
      </c>
      <c r="N200" s="15">
        <v>106.0151</v>
      </c>
      <c r="O200" s="15">
        <v>117</v>
      </c>
    </row>
    <row r="201" spans="12:15" ht="15.75" customHeight="1"/>
    <row r="202" spans="12:15" ht="15.75" customHeight="1"/>
    <row r="203" spans="12:15" ht="15.75" customHeight="1"/>
    <row r="204" spans="12:15" ht="15.75" customHeight="1"/>
    <row r="205" spans="12:15" ht="15.75" customHeight="1"/>
    <row r="206" spans="12:15" ht="15.75" customHeight="1"/>
    <row r="207" spans="12:15" ht="15.75" customHeight="1"/>
    <row r="208" spans="12:15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qref="L1:L11 L14 L21:L24 L84:L85 L162:L174" xr:uid="{00000000-0002-0000-0000-000000000000}">
      <formula1>$E$164:$E$276</formula1>
    </dataValidation>
  </dataValidation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1000"/>
  <sheetViews>
    <sheetView tabSelected="1" workbookViewId="0">
      <selection activeCell="I112" sqref="I112:I113"/>
    </sheetView>
  </sheetViews>
  <sheetFormatPr defaultColWidth="14.42578125" defaultRowHeight="15" customHeight="1"/>
  <cols>
    <col min="1" max="1" width="17.5703125" customWidth="1"/>
    <col min="2" max="2" width="32.28515625" customWidth="1"/>
    <col min="3" max="3" width="18.42578125" customWidth="1"/>
    <col min="4" max="4" width="16.85546875" customWidth="1"/>
    <col min="5" max="26" width="8.7109375" customWidth="1"/>
  </cols>
  <sheetData>
    <row r="1" spans="1:7">
      <c r="A1" s="2" t="s">
        <v>659</v>
      </c>
      <c r="B1" s="2" t="s">
        <v>660</v>
      </c>
      <c r="C1" s="2" t="s">
        <v>661</v>
      </c>
      <c r="D1" s="2" t="s">
        <v>662</v>
      </c>
      <c r="E1" s="2" t="s">
        <v>663</v>
      </c>
      <c r="F1" s="2" t="s">
        <v>664</v>
      </c>
      <c r="G1" s="2" t="s">
        <v>665</v>
      </c>
    </row>
    <row r="2" spans="1:7" ht="15.75" hidden="1">
      <c r="A2" s="29" t="s">
        <v>3</v>
      </c>
      <c r="B2" s="30" t="s">
        <v>0</v>
      </c>
      <c r="C2" s="22">
        <v>51.677811111111112</v>
      </c>
      <c r="D2" s="22">
        <v>103.93265833333334</v>
      </c>
      <c r="E2" s="22">
        <v>1258</v>
      </c>
      <c r="F2" s="22" t="s">
        <v>4</v>
      </c>
      <c r="G2" s="22" t="s">
        <v>5</v>
      </c>
    </row>
    <row r="3" spans="1:7" ht="15.75" hidden="1">
      <c r="A3" s="29" t="s">
        <v>9</v>
      </c>
      <c r="B3" s="30" t="s">
        <v>10</v>
      </c>
      <c r="C3" s="22">
        <v>51.675283333333333</v>
      </c>
      <c r="D3" s="22">
        <v>103.87591666666667</v>
      </c>
      <c r="E3" s="22">
        <v>1218</v>
      </c>
      <c r="F3" s="22" t="s">
        <v>4</v>
      </c>
      <c r="G3" s="22" t="s">
        <v>11</v>
      </c>
    </row>
    <row r="4" spans="1:7" ht="15.75" hidden="1">
      <c r="A4" s="29" t="s">
        <v>16</v>
      </c>
      <c r="B4" s="22" t="s">
        <v>17</v>
      </c>
      <c r="C4" s="22">
        <v>51.775622222222225</v>
      </c>
      <c r="D4" s="22">
        <v>104.2195</v>
      </c>
      <c r="E4" s="22">
        <v>557</v>
      </c>
      <c r="F4" s="22" t="s">
        <v>4</v>
      </c>
      <c r="G4" s="22"/>
    </row>
    <row r="5" spans="1:7" ht="15.75" hidden="1">
      <c r="A5" s="29" t="s">
        <v>22</v>
      </c>
      <c r="B5" s="22" t="s">
        <v>23</v>
      </c>
      <c r="C5" s="22">
        <v>51.759194444444447</v>
      </c>
      <c r="D5" s="22">
        <v>104.22319444444445</v>
      </c>
      <c r="E5" s="22">
        <v>1328</v>
      </c>
      <c r="F5" s="22" t="s">
        <v>4</v>
      </c>
      <c r="G5" s="22"/>
    </row>
    <row r="6" spans="1:7" ht="15.75" hidden="1">
      <c r="A6" s="29" t="s">
        <v>28</v>
      </c>
      <c r="B6" s="22" t="s">
        <v>29</v>
      </c>
      <c r="C6" s="22">
        <v>51.740311111111112</v>
      </c>
      <c r="D6" s="22">
        <v>104.23102777777778</v>
      </c>
      <c r="E6" s="22">
        <v>1330</v>
      </c>
      <c r="F6" s="22" t="s">
        <v>4</v>
      </c>
      <c r="G6" s="22"/>
    </row>
    <row r="7" spans="1:7" ht="15.75" hidden="1">
      <c r="A7" s="29" t="s">
        <v>35</v>
      </c>
      <c r="B7" s="22" t="s">
        <v>36</v>
      </c>
      <c r="C7" s="22">
        <v>51.722166666666666</v>
      </c>
      <c r="D7" s="22">
        <v>104.22818333333333</v>
      </c>
      <c r="E7" s="22">
        <v>1331</v>
      </c>
      <c r="F7" s="22" t="s">
        <v>4</v>
      </c>
      <c r="G7" s="22"/>
    </row>
    <row r="8" spans="1:7" ht="15.75" hidden="1">
      <c r="A8" s="29" t="s">
        <v>39</v>
      </c>
      <c r="B8" s="30" t="s">
        <v>40</v>
      </c>
      <c r="C8" s="22">
        <v>51.644822222222224</v>
      </c>
      <c r="D8" s="22">
        <v>104.23184444444445</v>
      </c>
      <c r="E8" s="22">
        <v>1264</v>
      </c>
      <c r="F8" s="22" t="s">
        <v>4</v>
      </c>
      <c r="G8" s="22" t="s">
        <v>5</v>
      </c>
    </row>
    <row r="9" spans="1:7" ht="15.75" hidden="1">
      <c r="A9" s="29" t="s">
        <v>45</v>
      </c>
      <c r="B9" s="22" t="s">
        <v>46</v>
      </c>
      <c r="C9" s="22">
        <v>51.563724999999998</v>
      </c>
      <c r="D9" s="22">
        <v>104.227575</v>
      </c>
      <c r="E9" s="22">
        <v>866</v>
      </c>
      <c r="F9" s="22" t="s">
        <v>4</v>
      </c>
      <c r="G9" s="22"/>
    </row>
    <row r="10" spans="1:7" ht="15.75" hidden="1">
      <c r="A10" s="29" t="s">
        <v>51</v>
      </c>
      <c r="B10" s="22" t="s">
        <v>52</v>
      </c>
      <c r="C10" s="22">
        <v>51.545877777777775</v>
      </c>
      <c r="D10" s="22">
        <v>104.22685277777778</v>
      </c>
      <c r="E10" s="22">
        <v>628</v>
      </c>
      <c r="F10" s="22" t="s">
        <v>4</v>
      </c>
      <c r="G10" s="22"/>
    </row>
    <row r="11" spans="1:7" ht="15.75" hidden="1">
      <c r="A11" s="29" t="s">
        <v>57</v>
      </c>
      <c r="B11" s="22" t="s">
        <v>58</v>
      </c>
      <c r="C11" s="22">
        <v>51.529116666666667</v>
      </c>
      <c r="D11" s="22">
        <v>104.2302</v>
      </c>
      <c r="E11" s="22">
        <v>457</v>
      </c>
      <c r="F11" s="22" t="s">
        <v>4</v>
      </c>
      <c r="G11" s="22"/>
    </row>
    <row r="12" spans="1:7" ht="15.75" hidden="1">
      <c r="A12" s="29" t="s">
        <v>63</v>
      </c>
      <c r="B12" s="22" t="s">
        <v>64</v>
      </c>
      <c r="C12" s="22">
        <v>51.50716666666667</v>
      </c>
      <c r="D12" s="22">
        <v>104.2296</v>
      </c>
      <c r="E12" s="22">
        <v>122</v>
      </c>
      <c r="F12" s="22" t="s">
        <v>4</v>
      </c>
      <c r="G12" s="22"/>
    </row>
    <row r="13" spans="1:7" ht="15.75" hidden="1">
      <c r="A13" s="29" t="s">
        <v>67</v>
      </c>
      <c r="B13" s="30" t="s">
        <v>68</v>
      </c>
      <c r="C13" s="22">
        <v>51.64575</v>
      </c>
      <c r="D13" s="22">
        <v>104.43186666666666</v>
      </c>
      <c r="E13" s="22">
        <v>1297</v>
      </c>
      <c r="F13" s="22" t="s">
        <v>4</v>
      </c>
      <c r="G13" s="22" t="s">
        <v>5</v>
      </c>
    </row>
    <row r="14" spans="1:7" ht="15.75" hidden="1">
      <c r="A14" s="29" t="s">
        <v>71</v>
      </c>
      <c r="B14" s="30" t="s">
        <v>71</v>
      </c>
      <c r="C14" s="22">
        <v>51.668533333333336</v>
      </c>
      <c r="D14" s="22">
        <v>104.54396666666666</v>
      </c>
      <c r="E14" s="22">
        <v>1329</v>
      </c>
      <c r="F14" s="22" t="s">
        <v>4</v>
      </c>
      <c r="G14" s="22" t="s">
        <v>5</v>
      </c>
    </row>
    <row r="15" spans="1:7" ht="15.75" hidden="1">
      <c r="A15" s="29" t="s">
        <v>74</v>
      </c>
      <c r="B15" s="30" t="s">
        <v>74</v>
      </c>
      <c r="C15" s="22">
        <v>51.62448333333333</v>
      </c>
      <c r="D15" s="22">
        <v>104.7565</v>
      </c>
      <c r="E15" s="22">
        <v>1096</v>
      </c>
      <c r="F15" s="22" t="s">
        <v>4</v>
      </c>
      <c r="G15" s="22" t="s">
        <v>5</v>
      </c>
    </row>
    <row r="16" spans="1:7" ht="15.75" hidden="1">
      <c r="A16" s="29" t="s">
        <v>79</v>
      </c>
      <c r="B16" s="22" t="s">
        <v>80</v>
      </c>
      <c r="C16" s="22">
        <v>51.831800000000001</v>
      </c>
      <c r="D16" s="22">
        <v>104.89345</v>
      </c>
      <c r="E16" s="22">
        <v>467</v>
      </c>
      <c r="F16" s="22" t="s">
        <v>4</v>
      </c>
      <c r="G16" s="22"/>
    </row>
    <row r="17" spans="1:7" ht="15.75" hidden="1">
      <c r="A17" s="29" t="s">
        <v>85</v>
      </c>
      <c r="B17" s="22" t="s">
        <v>86</v>
      </c>
      <c r="C17" s="22">
        <v>51.815566666666669</v>
      </c>
      <c r="D17" s="22">
        <v>104.90908333333333</v>
      </c>
      <c r="E17" s="22">
        <v>1401</v>
      </c>
      <c r="F17" s="22" t="s">
        <v>4</v>
      </c>
      <c r="G17" s="22"/>
    </row>
    <row r="18" spans="1:7" ht="15.75" hidden="1">
      <c r="A18" s="29" t="s">
        <v>91</v>
      </c>
      <c r="B18" s="22" t="s">
        <v>92</v>
      </c>
      <c r="C18" s="22">
        <v>51.801433333333335</v>
      </c>
      <c r="D18" s="22">
        <v>104.9211</v>
      </c>
      <c r="E18" s="22">
        <v>1395</v>
      </c>
      <c r="F18" s="22" t="s">
        <v>4</v>
      </c>
      <c r="G18" s="22"/>
    </row>
    <row r="19" spans="1:7" ht="15.75" hidden="1">
      <c r="A19" s="29" t="s">
        <v>97</v>
      </c>
      <c r="B19" s="22" t="s">
        <v>98</v>
      </c>
      <c r="C19" s="22">
        <v>51.78543333333333</v>
      </c>
      <c r="D19" s="22">
        <v>104.93505</v>
      </c>
      <c r="E19" s="22">
        <v>1405</v>
      </c>
      <c r="F19" s="22" t="s">
        <v>4</v>
      </c>
      <c r="G19" s="22"/>
    </row>
    <row r="20" spans="1:7" ht="15.75" hidden="1">
      <c r="A20" s="29" t="s">
        <v>100</v>
      </c>
      <c r="B20" s="30" t="s">
        <v>102</v>
      </c>
      <c r="C20" s="22">
        <v>51.719000000000001</v>
      </c>
      <c r="D20" s="22">
        <v>104.98108333333333</v>
      </c>
      <c r="E20" s="22">
        <v>1411</v>
      </c>
      <c r="F20" s="22" t="s">
        <v>4</v>
      </c>
      <c r="G20" s="22" t="s">
        <v>5</v>
      </c>
    </row>
    <row r="21" spans="1:7" ht="15.75" hidden="1" customHeight="1">
      <c r="A21" s="29" t="s">
        <v>104</v>
      </c>
      <c r="B21" s="30" t="s">
        <v>103</v>
      </c>
      <c r="C21" s="22">
        <v>51.704966666666664</v>
      </c>
      <c r="D21" s="22">
        <v>105.00879999999999</v>
      </c>
      <c r="E21" s="22">
        <v>1414</v>
      </c>
      <c r="F21" s="22" t="s">
        <v>4</v>
      </c>
      <c r="G21" s="22" t="s">
        <v>5</v>
      </c>
    </row>
    <row r="22" spans="1:7" ht="15.75" hidden="1" customHeight="1">
      <c r="A22" s="29" t="s">
        <v>110</v>
      </c>
      <c r="B22" s="22" t="s">
        <v>111</v>
      </c>
      <c r="C22" s="22">
        <v>51.619816666666665</v>
      </c>
      <c r="D22" s="22">
        <v>105.0848</v>
      </c>
      <c r="E22" s="22">
        <v>1162</v>
      </c>
      <c r="F22" s="22" t="s">
        <v>4</v>
      </c>
      <c r="G22" s="22"/>
    </row>
    <row r="23" spans="1:7" ht="15.75" hidden="1" customHeight="1">
      <c r="A23" s="29" t="s">
        <v>115</v>
      </c>
      <c r="B23" s="22" t="s">
        <v>116</v>
      </c>
      <c r="C23" s="22">
        <v>51.606216666666668</v>
      </c>
      <c r="D23" s="22">
        <v>105.098</v>
      </c>
      <c r="E23" s="22">
        <v>924</v>
      </c>
      <c r="F23" s="22" t="s">
        <v>4</v>
      </c>
      <c r="G23" s="22"/>
    </row>
    <row r="24" spans="1:7" ht="15.75" hidden="1" customHeight="1">
      <c r="A24" s="29" t="s">
        <v>120</v>
      </c>
      <c r="B24" s="22" t="s">
        <v>121</v>
      </c>
      <c r="C24" s="22">
        <v>51.592683333333333</v>
      </c>
      <c r="D24" s="22">
        <v>105.11346666666667</v>
      </c>
      <c r="E24" s="22">
        <v>713</v>
      </c>
      <c r="F24" s="22" t="s">
        <v>4</v>
      </c>
      <c r="G24" s="22"/>
    </row>
    <row r="25" spans="1:7" ht="15.75" hidden="1" customHeight="1">
      <c r="A25" s="29" t="s">
        <v>125</v>
      </c>
      <c r="B25" s="22" t="s">
        <v>126</v>
      </c>
      <c r="C25" s="22">
        <v>51.574666666666666</v>
      </c>
      <c r="D25" s="22">
        <v>105.12753333333333</v>
      </c>
      <c r="E25" s="22">
        <v>234</v>
      </c>
      <c r="F25" s="22" t="s">
        <v>4</v>
      </c>
      <c r="G25" s="22"/>
    </row>
    <row r="26" spans="1:7" ht="15.75" hidden="1" customHeight="1">
      <c r="A26" s="29" t="s">
        <v>130</v>
      </c>
      <c r="B26" s="22" t="s">
        <v>131</v>
      </c>
      <c r="C26" s="22">
        <v>51.843266666666665</v>
      </c>
      <c r="D26" s="22">
        <v>105.12011666666666</v>
      </c>
      <c r="E26" s="22">
        <v>1418</v>
      </c>
      <c r="F26" s="22" t="s">
        <v>4</v>
      </c>
      <c r="G26" s="22"/>
    </row>
    <row r="27" spans="1:7" ht="15.75" hidden="1" customHeight="1">
      <c r="A27" s="29" t="s">
        <v>136</v>
      </c>
      <c r="B27" s="22" t="s">
        <v>137</v>
      </c>
      <c r="C27" s="22">
        <v>51.907516666666666</v>
      </c>
      <c r="D27" s="22">
        <v>105.22828333333334</v>
      </c>
      <c r="E27" s="22">
        <v>498</v>
      </c>
      <c r="F27" s="22" t="s">
        <v>4</v>
      </c>
      <c r="G27" s="22"/>
    </row>
    <row r="28" spans="1:7" ht="15.75" hidden="1" customHeight="1">
      <c r="A28" s="29" t="s">
        <v>142</v>
      </c>
      <c r="B28" s="22" t="s">
        <v>143</v>
      </c>
      <c r="C28" s="22">
        <v>51.89371666666667</v>
      </c>
      <c r="D28" s="22">
        <v>105.24684999999999</v>
      </c>
      <c r="E28" s="22">
        <v>1357</v>
      </c>
      <c r="F28" s="22" t="s">
        <v>4</v>
      </c>
      <c r="G28" s="22"/>
    </row>
    <row r="29" spans="1:7" ht="15.75" hidden="1" customHeight="1">
      <c r="A29" s="29" t="s">
        <v>148</v>
      </c>
      <c r="B29" s="22" t="s">
        <v>149</v>
      </c>
      <c r="C29" s="22">
        <v>51.878483333333335</v>
      </c>
      <c r="D29" s="22">
        <v>105.26686666666667</v>
      </c>
      <c r="E29" s="22">
        <v>1404</v>
      </c>
      <c r="F29" s="22" t="s">
        <v>4</v>
      </c>
      <c r="G29" s="22"/>
    </row>
    <row r="30" spans="1:7" ht="15.75" hidden="1" customHeight="1">
      <c r="A30" s="29" t="s">
        <v>154</v>
      </c>
      <c r="B30" s="22" t="s">
        <v>155</v>
      </c>
      <c r="C30" s="22">
        <v>51.863683333333334</v>
      </c>
      <c r="D30" s="22">
        <v>105.28081666666667</v>
      </c>
      <c r="E30" s="22">
        <v>1385</v>
      </c>
      <c r="F30" s="22" t="s">
        <v>4</v>
      </c>
      <c r="G30" s="22"/>
    </row>
    <row r="31" spans="1:7" ht="15.75" hidden="1" customHeight="1">
      <c r="A31" s="29" t="s">
        <v>159</v>
      </c>
      <c r="B31" s="30" t="s">
        <v>160</v>
      </c>
      <c r="C31" s="22">
        <v>51.777283333333337</v>
      </c>
      <c r="D31" s="22">
        <v>105.36778333333334</v>
      </c>
      <c r="E31" s="22">
        <v>1433</v>
      </c>
      <c r="F31" s="22" t="s">
        <v>4</v>
      </c>
      <c r="G31" s="22" t="s">
        <v>5</v>
      </c>
    </row>
    <row r="32" spans="1:7" ht="15.75" hidden="1" customHeight="1">
      <c r="A32" s="29" t="s">
        <v>163</v>
      </c>
      <c r="B32" s="22" t="s">
        <v>164</v>
      </c>
      <c r="C32" s="22">
        <v>51.6965</v>
      </c>
      <c r="D32" s="22">
        <v>105.46176666666666</v>
      </c>
      <c r="E32" s="22">
        <v>1356</v>
      </c>
      <c r="F32" s="22" t="s">
        <v>4</v>
      </c>
      <c r="G32" s="22"/>
    </row>
    <row r="33" spans="1:7" ht="15.75" hidden="1" customHeight="1">
      <c r="A33" s="29" t="s">
        <v>167</v>
      </c>
      <c r="B33" s="22" t="s">
        <v>168</v>
      </c>
      <c r="C33" s="22">
        <v>51.680733333333336</v>
      </c>
      <c r="D33" s="22">
        <v>105.48126666666667</v>
      </c>
      <c r="E33" s="22">
        <v>1010</v>
      </c>
      <c r="F33" s="22" t="s">
        <v>4</v>
      </c>
      <c r="G33" s="22"/>
    </row>
    <row r="34" spans="1:7" ht="15.75" hidden="1" customHeight="1">
      <c r="A34" s="29" t="s">
        <v>171</v>
      </c>
      <c r="B34" s="22" t="s">
        <v>172</v>
      </c>
      <c r="C34" s="22">
        <v>51.666566666666668</v>
      </c>
      <c r="D34" s="22">
        <v>105.49885</v>
      </c>
      <c r="E34" s="22">
        <v>612</v>
      </c>
      <c r="F34" s="22" t="s">
        <v>4</v>
      </c>
      <c r="G34" s="22"/>
    </row>
    <row r="35" spans="1:7" ht="15.75" hidden="1" customHeight="1">
      <c r="A35" s="29" t="s">
        <v>175</v>
      </c>
      <c r="B35" s="22" t="s">
        <v>176</v>
      </c>
      <c r="C35" s="22">
        <v>51.650083333333335</v>
      </c>
      <c r="D35" s="22">
        <v>105.51636666666667</v>
      </c>
      <c r="E35" s="22">
        <v>171</v>
      </c>
      <c r="F35" s="22" t="s">
        <v>4</v>
      </c>
      <c r="G35" s="22"/>
    </row>
    <row r="36" spans="1:7" ht="15.75" hidden="1" customHeight="1">
      <c r="A36" s="29" t="s">
        <v>181</v>
      </c>
      <c r="B36" s="30" t="s">
        <v>182</v>
      </c>
      <c r="C36" s="22">
        <v>51.918666666666667</v>
      </c>
      <c r="D36" s="22">
        <v>105.63823333333333</v>
      </c>
      <c r="E36" s="22">
        <v>1292</v>
      </c>
      <c r="F36" s="22" t="s">
        <v>4</v>
      </c>
      <c r="G36" s="22" t="s">
        <v>5</v>
      </c>
    </row>
    <row r="37" spans="1:7" ht="15.75" hidden="1" customHeight="1">
      <c r="A37" s="29" t="s">
        <v>186</v>
      </c>
      <c r="B37" s="30" t="s">
        <v>187</v>
      </c>
      <c r="C37" s="22">
        <v>52.23211666666667</v>
      </c>
      <c r="D37" s="22">
        <v>105.80006666666667</v>
      </c>
      <c r="E37" s="22">
        <v>977</v>
      </c>
      <c r="F37" s="22" t="s">
        <v>4</v>
      </c>
      <c r="G37" s="22" t="s">
        <v>5</v>
      </c>
    </row>
    <row r="38" spans="1:7" ht="15.75" hidden="1" customHeight="1">
      <c r="A38" s="29" t="s">
        <v>188</v>
      </c>
      <c r="B38" s="22" t="s">
        <v>189</v>
      </c>
      <c r="C38" s="22">
        <v>52.280516666666664</v>
      </c>
      <c r="D38" s="22">
        <v>106.23268333333333</v>
      </c>
      <c r="E38" s="22">
        <v>6</v>
      </c>
      <c r="F38" s="22" t="s">
        <v>4</v>
      </c>
      <c r="G38" s="22"/>
    </row>
    <row r="39" spans="1:7" ht="15.75" hidden="1" customHeight="1">
      <c r="A39" s="29" t="s">
        <v>194</v>
      </c>
      <c r="B39" s="22" t="s">
        <v>195</v>
      </c>
      <c r="C39" s="22">
        <v>52.291550000000001</v>
      </c>
      <c r="D39" s="22">
        <v>106.21108333333333</v>
      </c>
      <c r="E39" s="22">
        <v>14</v>
      </c>
      <c r="F39" s="22" t="s">
        <v>4</v>
      </c>
      <c r="G39" s="22"/>
    </row>
    <row r="40" spans="1:7" ht="15.75" hidden="1" customHeight="1">
      <c r="A40" s="29" t="s">
        <v>196</v>
      </c>
      <c r="B40" s="22" t="s">
        <v>197</v>
      </c>
      <c r="C40" s="22">
        <v>52.301216666666669</v>
      </c>
      <c r="D40" s="22">
        <v>106.18635</v>
      </c>
      <c r="E40" s="22">
        <v>28</v>
      </c>
      <c r="F40" s="22" t="s">
        <v>4</v>
      </c>
      <c r="G40" s="22"/>
    </row>
    <row r="41" spans="1:7" ht="15.75" hidden="1" customHeight="1">
      <c r="A41" s="29" t="s">
        <v>202</v>
      </c>
      <c r="B41" s="22" t="s">
        <v>203</v>
      </c>
      <c r="C41" s="22">
        <v>52.30813333333333</v>
      </c>
      <c r="D41" s="22">
        <v>106.16153333333334</v>
      </c>
      <c r="E41" s="22">
        <v>30</v>
      </c>
      <c r="F41" s="22" t="s">
        <v>4</v>
      </c>
      <c r="G41" s="22"/>
    </row>
    <row r="42" spans="1:7" ht="15.75" hidden="1" customHeight="1">
      <c r="A42" s="29" t="s">
        <v>206</v>
      </c>
      <c r="B42" s="30" t="s">
        <v>209</v>
      </c>
      <c r="C42" s="22">
        <v>52.344316666666664</v>
      </c>
      <c r="D42" s="22">
        <v>106.06258333333334</v>
      </c>
      <c r="E42" s="22">
        <v>262</v>
      </c>
      <c r="F42" s="22" t="s">
        <v>4</v>
      </c>
      <c r="G42" s="22" t="s">
        <v>5</v>
      </c>
    </row>
    <row r="43" spans="1:7" ht="15.75" hidden="1" customHeight="1">
      <c r="A43" s="29" t="s">
        <v>213</v>
      </c>
      <c r="B43" s="22" t="s">
        <v>214</v>
      </c>
      <c r="C43" s="22">
        <v>52.381883333333334</v>
      </c>
      <c r="D43" s="22">
        <v>105.96446666666667</v>
      </c>
      <c r="E43" s="22">
        <v>750</v>
      </c>
      <c r="F43" s="22" t="s">
        <v>4</v>
      </c>
      <c r="G43" s="22"/>
    </row>
    <row r="44" spans="1:7" ht="15.75" hidden="1" customHeight="1">
      <c r="A44" s="29" t="s">
        <v>215</v>
      </c>
      <c r="B44" s="22" t="s">
        <v>216</v>
      </c>
      <c r="C44" s="22">
        <v>52.392566666666667</v>
      </c>
      <c r="D44" s="22">
        <v>105.94011666666667</v>
      </c>
      <c r="E44" s="22">
        <v>802</v>
      </c>
      <c r="F44" s="22" t="s">
        <v>4</v>
      </c>
      <c r="G44" s="22"/>
    </row>
    <row r="45" spans="1:7" ht="15.75" hidden="1" customHeight="1">
      <c r="A45" s="29" t="s">
        <v>220</v>
      </c>
      <c r="B45" s="22" t="s">
        <v>221</v>
      </c>
      <c r="C45" s="22">
        <v>52.403199999999998</v>
      </c>
      <c r="D45" s="22">
        <v>105.91851666666666</v>
      </c>
      <c r="E45" s="22">
        <v>834</v>
      </c>
      <c r="F45" s="22" t="s">
        <v>4</v>
      </c>
      <c r="G45" s="22"/>
    </row>
    <row r="46" spans="1:7" ht="15.75" hidden="1" customHeight="1">
      <c r="A46" s="29" t="s">
        <v>222</v>
      </c>
      <c r="B46" s="22" t="s">
        <v>223</v>
      </c>
      <c r="C46" s="22">
        <v>52.412999999999997</v>
      </c>
      <c r="D46" s="22">
        <v>105.89319999999999</v>
      </c>
      <c r="E46" s="22">
        <v>428</v>
      </c>
      <c r="F46" s="22" t="s">
        <v>4</v>
      </c>
      <c r="G46" s="22"/>
    </row>
    <row r="47" spans="1:7" ht="15.75" hidden="1" customHeight="1">
      <c r="A47" s="29" t="s">
        <v>227</v>
      </c>
      <c r="B47" s="30" t="s">
        <v>228</v>
      </c>
      <c r="C47" s="22">
        <v>52.473833333333332</v>
      </c>
      <c r="D47" s="22">
        <v>106.11565</v>
      </c>
      <c r="E47" s="22">
        <v>262</v>
      </c>
      <c r="F47" s="22" t="s">
        <v>4</v>
      </c>
      <c r="G47" s="22" t="s">
        <v>5</v>
      </c>
    </row>
    <row r="48" spans="1:7" ht="15.75" hidden="1" customHeight="1">
      <c r="A48" s="29" t="s">
        <v>233</v>
      </c>
      <c r="B48" s="22" t="s">
        <v>234</v>
      </c>
      <c r="C48" s="22">
        <v>52.541316666666667</v>
      </c>
      <c r="D48" s="22">
        <v>106.21259999999999</v>
      </c>
      <c r="E48" s="22">
        <v>654</v>
      </c>
      <c r="F48" s="22" t="s">
        <v>30</v>
      </c>
      <c r="G48" s="22"/>
    </row>
    <row r="49" spans="1:7" ht="15.75" hidden="1" customHeight="1">
      <c r="A49" s="29" t="s">
        <v>239</v>
      </c>
      <c r="B49" s="22" t="s">
        <v>240</v>
      </c>
      <c r="C49" s="22">
        <v>52.507899999999999</v>
      </c>
      <c r="D49" s="22">
        <v>106.24469999999999</v>
      </c>
      <c r="E49" s="22">
        <v>650</v>
      </c>
      <c r="F49" s="22" t="s">
        <v>30</v>
      </c>
      <c r="G49" s="22"/>
    </row>
    <row r="50" spans="1:7" ht="15.75" hidden="1" customHeight="1">
      <c r="A50" s="29" t="s">
        <v>244</v>
      </c>
      <c r="B50" s="30" t="s">
        <v>245</v>
      </c>
      <c r="C50" s="22">
        <v>52.469250000000002</v>
      </c>
      <c r="D50" s="22">
        <v>106.28798333333333</v>
      </c>
      <c r="E50" s="22">
        <v>542</v>
      </c>
      <c r="F50" s="22" t="s">
        <v>30</v>
      </c>
      <c r="G50" s="22" t="s">
        <v>5</v>
      </c>
    </row>
    <row r="51" spans="1:7" ht="15.75" hidden="1" customHeight="1">
      <c r="A51" s="29" t="s">
        <v>248</v>
      </c>
      <c r="B51" s="22" t="s">
        <v>249</v>
      </c>
      <c r="C51" s="22">
        <v>52.411900000000003</v>
      </c>
      <c r="D51" s="22">
        <v>106.37325</v>
      </c>
      <c r="E51" s="22">
        <v>124</v>
      </c>
      <c r="F51" s="22" t="s">
        <v>30</v>
      </c>
      <c r="G51" s="22"/>
    </row>
    <row r="52" spans="1:7" ht="15.75" hidden="1" customHeight="1">
      <c r="A52" s="29" t="s">
        <v>252</v>
      </c>
      <c r="B52" s="22" t="s">
        <v>253</v>
      </c>
      <c r="C52" s="22">
        <v>52.385966666666668</v>
      </c>
      <c r="D52" s="22">
        <v>106.41096666666667</v>
      </c>
      <c r="E52" s="22">
        <v>6</v>
      </c>
      <c r="F52" s="22" t="s">
        <v>30</v>
      </c>
      <c r="G52" s="22"/>
    </row>
    <row r="53" spans="1:7" ht="15.75" hidden="1" customHeight="1">
      <c r="A53" s="29" t="s">
        <v>254</v>
      </c>
      <c r="B53" s="22" t="s">
        <v>255</v>
      </c>
      <c r="C53" s="22">
        <v>52.47325</v>
      </c>
      <c r="D53" s="22">
        <v>106.84675</v>
      </c>
      <c r="E53" s="22">
        <v>19</v>
      </c>
      <c r="F53" s="22" t="s">
        <v>30</v>
      </c>
      <c r="G53" s="22"/>
    </row>
    <row r="54" spans="1:7" ht="15.75" hidden="1" customHeight="1">
      <c r="A54" s="29" t="s">
        <v>256</v>
      </c>
      <c r="B54" s="22" t="s">
        <v>257</v>
      </c>
      <c r="C54" s="22">
        <v>52.479383333333331</v>
      </c>
      <c r="D54" s="22">
        <v>106.82461666666667</v>
      </c>
      <c r="E54" s="22">
        <v>29</v>
      </c>
      <c r="F54" s="22" t="s">
        <v>30</v>
      </c>
      <c r="G54" s="22"/>
    </row>
    <row r="55" spans="1:7" ht="15.75" hidden="1" customHeight="1">
      <c r="A55" s="29" t="s">
        <v>258</v>
      </c>
      <c r="B55" s="22" t="s">
        <v>259</v>
      </c>
      <c r="C55" s="22">
        <v>52.492133333333335</v>
      </c>
      <c r="D55" s="22">
        <v>106.80411666666667</v>
      </c>
      <c r="E55" s="22">
        <v>269</v>
      </c>
      <c r="F55" s="22" t="s">
        <v>30</v>
      </c>
      <c r="G55" s="22"/>
    </row>
    <row r="56" spans="1:7" ht="15.75" hidden="1" customHeight="1">
      <c r="A56" s="29" t="s">
        <v>260</v>
      </c>
      <c r="B56" s="22" t="s">
        <v>261</v>
      </c>
      <c r="C56" s="22">
        <v>52.508066666666664</v>
      </c>
      <c r="D56" s="22">
        <v>106.76560000000001</v>
      </c>
      <c r="E56" s="22">
        <v>470</v>
      </c>
      <c r="F56" s="22" t="s">
        <v>30</v>
      </c>
      <c r="G56" s="22"/>
    </row>
    <row r="57" spans="1:7" ht="15.75" hidden="1" customHeight="1">
      <c r="A57" s="29" t="s">
        <v>264</v>
      </c>
      <c r="B57" s="30" t="s">
        <v>266</v>
      </c>
      <c r="C57" s="22">
        <v>52.664583333333333</v>
      </c>
      <c r="D57" s="22">
        <v>106.85076666666667</v>
      </c>
      <c r="E57" s="22">
        <v>1170</v>
      </c>
      <c r="F57" s="22" t="s">
        <v>30</v>
      </c>
      <c r="G57" s="22" t="s">
        <v>5</v>
      </c>
    </row>
    <row r="58" spans="1:7" ht="15.75" hidden="1" customHeight="1">
      <c r="A58" s="29" t="s">
        <v>267</v>
      </c>
      <c r="B58" s="22" t="s">
        <v>268</v>
      </c>
      <c r="C58" s="22">
        <v>52.575183333333335</v>
      </c>
      <c r="D58" s="22">
        <v>107.08658333333334</v>
      </c>
      <c r="E58" s="22">
        <v>90.4</v>
      </c>
      <c r="F58" s="22" t="s">
        <v>30</v>
      </c>
      <c r="G58" s="22"/>
    </row>
    <row r="59" spans="1:7" ht="15.75" hidden="1" customHeight="1">
      <c r="A59" s="29" t="s">
        <v>269</v>
      </c>
      <c r="B59" s="22" t="s">
        <v>270</v>
      </c>
      <c r="C59" s="22">
        <v>52.587183333333336</v>
      </c>
      <c r="D59" s="22">
        <v>107.0605</v>
      </c>
      <c r="E59" s="22">
        <v>90.4</v>
      </c>
      <c r="F59" s="22" t="s">
        <v>30</v>
      </c>
      <c r="G59" s="22"/>
    </row>
    <row r="60" spans="1:7" ht="15.75" hidden="1" customHeight="1">
      <c r="A60" s="29" t="s">
        <v>271</v>
      </c>
      <c r="B60" s="22" t="s">
        <v>272</v>
      </c>
      <c r="C60" s="22">
        <v>52.597066666666663</v>
      </c>
      <c r="D60" s="22">
        <v>107.03453333333333</v>
      </c>
      <c r="E60" s="22">
        <v>567</v>
      </c>
      <c r="F60" s="22" t="s">
        <v>30</v>
      </c>
      <c r="G60" s="22"/>
    </row>
    <row r="61" spans="1:7" ht="15.75" hidden="1" customHeight="1">
      <c r="A61" s="29" t="s">
        <v>273</v>
      </c>
      <c r="B61" s="22" t="s">
        <v>274</v>
      </c>
      <c r="C61" s="22">
        <v>52.612416666666668</v>
      </c>
      <c r="D61" s="22">
        <v>106.99616666666667</v>
      </c>
      <c r="E61" s="22">
        <v>990</v>
      </c>
      <c r="F61" s="22" t="s">
        <v>30</v>
      </c>
      <c r="G61" s="22"/>
    </row>
    <row r="62" spans="1:7" ht="15.75" hidden="1" customHeight="1">
      <c r="A62" s="29" t="s">
        <v>279</v>
      </c>
      <c r="B62" s="22" t="s">
        <v>280</v>
      </c>
      <c r="C62" s="22">
        <v>52.988566666666664</v>
      </c>
      <c r="D62" s="22">
        <v>106.94618333333334</v>
      </c>
      <c r="E62" s="22">
        <v>392</v>
      </c>
      <c r="F62" s="22" t="s">
        <v>30</v>
      </c>
      <c r="G62" s="22"/>
    </row>
    <row r="63" spans="1:7" ht="15.75" hidden="1" customHeight="1">
      <c r="A63" s="29" t="s">
        <v>285</v>
      </c>
      <c r="B63" s="22" t="s">
        <v>286</v>
      </c>
      <c r="C63" s="22">
        <v>52.97345</v>
      </c>
      <c r="D63" s="22">
        <v>106.9605</v>
      </c>
      <c r="E63" s="22">
        <v>1038</v>
      </c>
      <c r="F63" s="22" t="s">
        <v>30</v>
      </c>
      <c r="G63" s="22"/>
    </row>
    <row r="64" spans="1:7" ht="15.75" hidden="1" customHeight="1">
      <c r="A64" s="29" t="s">
        <v>287</v>
      </c>
      <c r="B64" s="22" t="s">
        <v>288</v>
      </c>
      <c r="C64" s="22">
        <v>52.956583333333334</v>
      </c>
      <c r="D64" s="22">
        <v>106.97626666666666</v>
      </c>
      <c r="E64" s="22">
        <v>1378</v>
      </c>
      <c r="F64" s="22" t="s">
        <v>30</v>
      </c>
      <c r="G64" s="22"/>
    </row>
    <row r="65" spans="1:7" ht="15.75" hidden="1" customHeight="1">
      <c r="A65" s="29" t="s">
        <v>293</v>
      </c>
      <c r="B65" s="22" t="s">
        <v>294</v>
      </c>
      <c r="C65" s="22">
        <v>52.94083333333333</v>
      </c>
      <c r="D65" s="22">
        <v>106.9883</v>
      </c>
      <c r="E65" s="22">
        <v>1376</v>
      </c>
      <c r="F65" s="22" t="s">
        <v>30</v>
      </c>
      <c r="G65" s="22"/>
    </row>
    <row r="66" spans="1:7" ht="15.75" hidden="1" customHeight="1">
      <c r="A66" s="29" t="s">
        <v>299</v>
      </c>
      <c r="B66" s="30" t="s">
        <v>300</v>
      </c>
      <c r="C66" s="22">
        <v>52.794133333333335</v>
      </c>
      <c r="D66" s="22">
        <v>107.12053333333333</v>
      </c>
      <c r="E66" s="22">
        <v>1370</v>
      </c>
      <c r="F66" s="22" t="s">
        <v>30</v>
      </c>
      <c r="G66" s="22" t="s">
        <v>5</v>
      </c>
    </row>
    <row r="67" spans="1:7" ht="15.75" hidden="1" customHeight="1">
      <c r="A67" s="29" t="s">
        <v>305</v>
      </c>
      <c r="B67" s="22" t="s">
        <v>301</v>
      </c>
      <c r="C67" s="22">
        <v>52.693249999999999</v>
      </c>
      <c r="D67" s="22">
        <v>107.21281666666667</v>
      </c>
      <c r="E67" s="22">
        <v>1270</v>
      </c>
      <c r="F67" s="22" t="s">
        <v>30</v>
      </c>
      <c r="G67" s="22"/>
    </row>
    <row r="68" spans="1:7" ht="15.75" hidden="1" customHeight="1">
      <c r="A68" s="29" t="s">
        <v>310</v>
      </c>
      <c r="B68" s="22" t="s">
        <v>311</v>
      </c>
      <c r="C68" s="22">
        <v>52.670433333333335</v>
      </c>
      <c r="D68" s="22">
        <v>107.23283333333333</v>
      </c>
      <c r="E68" s="22">
        <v>998</v>
      </c>
      <c r="F68" s="22" t="s">
        <v>30</v>
      </c>
      <c r="G68" s="22"/>
    </row>
    <row r="69" spans="1:7" ht="15.75" hidden="1" customHeight="1">
      <c r="A69" s="29" t="s">
        <v>316</v>
      </c>
      <c r="B69" s="22" t="s">
        <v>317</v>
      </c>
      <c r="C69" s="22">
        <v>52.645800000000001</v>
      </c>
      <c r="D69" s="22">
        <v>107.25648333333334</v>
      </c>
      <c r="E69" s="22">
        <v>280</v>
      </c>
      <c r="F69" s="22" t="s">
        <v>30</v>
      </c>
      <c r="G69" s="22"/>
    </row>
    <row r="70" spans="1:7" ht="15.75" hidden="1" customHeight="1">
      <c r="A70" s="29" t="s">
        <v>322</v>
      </c>
      <c r="B70" s="22" t="s">
        <v>323</v>
      </c>
      <c r="C70" s="22">
        <v>52.621200000000002</v>
      </c>
      <c r="D70" s="22">
        <v>107.26904999999999</v>
      </c>
      <c r="E70" s="22">
        <v>30</v>
      </c>
      <c r="F70" s="22" t="s">
        <v>30</v>
      </c>
      <c r="G70" s="22"/>
    </row>
    <row r="71" spans="1:7" ht="15.75" hidden="1" customHeight="1">
      <c r="A71" s="29" t="s">
        <v>328</v>
      </c>
      <c r="B71" s="22" t="s">
        <v>329</v>
      </c>
      <c r="C71" s="22">
        <v>52.606866666666669</v>
      </c>
      <c r="D71" s="22">
        <v>107.28381666666667</v>
      </c>
      <c r="E71" s="22">
        <v>18</v>
      </c>
      <c r="F71" s="22" t="s">
        <v>30</v>
      </c>
      <c r="G71" s="22"/>
    </row>
    <row r="72" spans="1:7" ht="15.75" hidden="1" customHeight="1">
      <c r="A72" s="29" t="s">
        <v>331</v>
      </c>
      <c r="B72" s="22" t="s">
        <v>330</v>
      </c>
      <c r="C72" s="22">
        <v>52.887549999999997</v>
      </c>
      <c r="D72" s="22">
        <v>107.16421666666666</v>
      </c>
      <c r="E72" s="22">
        <v>1389</v>
      </c>
      <c r="F72" s="22" t="s">
        <v>30</v>
      </c>
      <c r="G72" s="22" t="s">
        <v>332</v>
      </c>
    </row>
    <row r="73" spans="1:7" ht="15.75" hidden="1" customHeight="1">
      <c r="A73" s="29" t="s">
        <v>333</v>
      </c>
      <c r="B73" s="22" t="s">
        <v>334</v>
      </c>
      <c r="C73" s="22">
        <v>52.936129999999999</v>
      </c>
      <c r="D73" s="22">
        <v>107.25327</v>
      </c>
      <c r="E73" s="22">
        <v>1463</v>
      </c>
      <c r="F73" s="22" t="s">
        <v>30</v>
      </c>
      <c r="G73" s="22" t="s">
        <v>332</v>
      </c>
    </row>
    <row r="74" spans="1:7" ht="15.75" hidden="1" customHeight="1">
      <c r="A74" s="29" t="s">
        <v>339</v>
      </c>
      <c r="B74" s="30" t="s">
        <v>340</v>
      </c>
      <c r="C74" s="22">
        <v>53.239933333333333</v>
      </c>
      <c r="D74" s="22">
        <v>107.25700000000001</v>
      </c>
      <c r="E74" s="22">
        <v>82</v>
      </c>
      <c r="F74" s="22" t="s">
        <v>69</v>
      </c>
      <c r="G74" s="22"/>
    </row>
    <row r="75" spans="1:7" ht="15.75" hidden="1" customHeight="1">
      <c r="A75" s="29" t="s">
        <v>345</v>
      </c>
      <c r="B75" s="22" t="s">
        <v>346</v>
      </c>
      <c r="C75" s="22">
        <v>53.442016666666667</v>
      </c>
      <c r="D75" s="22">
        <v>107.67586666666666</v>
      </c>
      <c r="E75" s="22">
        <v>332</v>
      </c>
      <c r="F75" s="22" t="s">
        <v>69</v>
      </c>
      <c r="G75" s="22"/>
    </row>
    <row r="76" spans="1:7" ht="15.75" hidden="1" customHeight="1">
      <c r="A76" s="29" t="s">
        <v>347</v>
      </c>
      <c r="B76" s="22" t="s">
        <v>348</v>
      </c>
      <c r="C76" s="22">
        <v>53.06516666666667</v>
      </c>
      <c r="D76" s="22">
        <v>107.40689999999999</v>
      </c>
      <c r="E76" s="22">
        <v>1602</v>
      </c>
      <c r="F76" s="22" t="s">
        <v>30</v>
      </c>
      <c r="G76" s="22"/>
    </row>
    <row r="77" spans="1:7" ht="15.75" hidden="1" customHeight="1">
      <c r="A77" s="29" t="s">
        <v>353</v>
      </c>
      <c r="B77" s="22" t="s">
        <v>354</v>
      </c>
      <c r="C77" s="22">
        <v>53.048183333333334</v>
      </c>
      <c r="D77" s="22">
        <v>107.41466666666666</v>
      </c>
      <c r="E77" s="22">
        <v>676</v>
      </c>
      <c r="F77" s="22" t="s">
        <v>30</v>
      </c>
      <c r="G77" s="22"/>
    </row>
    <row r="78" spans="1:7" ht="15.75" hidden="1" customHeight="1">
      <c r="A78" s="29" t="s">
        <v>355</v>
      </c>
      <c r="B78" s="22" t="s">
        <v>356</v>
      </c>
      <c r="C78" s="22">
        <v>53.030816666666666</v>
      </c>
      <c r="D78" s="22">
        <v>107.42788333333333</v>
      </c>
      <c r="E78" s="22">
        <v>1600</v>
      </c>
      <c r="F78" s="22" t="s">
        <v>30</v>
      </c>
      <c r="G78" s="22"/>
    </row>
    <row r="79" spans="1:7" ht="15.75" hidden="1" customHeight="1">
      <c r="A79" s="29" t="s">
        <v>361</v>
      </c>
      <c r="B79" s="22" t="s">
        <v>362</v>
      </c>
      <c r="C79" s="22">
        <v>53.016183333333331</v>
      </c>
      <c r="D79" s="22">
        <v>107.44583333333334</v>
      </c>
      <c r="E79" s="22">
        <v>1604</v>
      </c>
      <c r="F79" s="22" t="s">
        <v>30</v>
      </c>
      <c r="G79" s="22"/>
    </row>
    <row r="80" spans="1:7" ht="15.75" hidden="1" customHeight="1">
      <c r="A80" s="29" t="s">
        <v>365</v>
      </c>
      <c r="B80" s="30" t="s">
        <v>367</v>
      </c>
      <c r="C80" s="22">
        <v>52.89821666666667</v>
      </c>
      <c r="D80" s="22">
        <v>107.53631666666666</v>
      </c>
      <c r="E80" s="22">
        <v>1574</v>
      </c>
      <c r="F80" s="22" t="s">
        <v>30</v>
      </c>
      <c r="G80" s="22" t="s">
        <v>5</v>
      </c>
    </row>
    <row r="81" spans="1:7" ht="15.75" hidden="1" customHeight="1">
      <c r="A81" s="29" t="s">
        <v>371</v>
      </c>
      <c r="B81" s="22" t="s">
        <v>372</v>
      </c>
      <c r="C81" s="22">
        <v>52.775449999999999</v>
      </c>
      <c r="D81" s="22">
        <v>107.61618333333334</v>
      </c>
      <c r="E81" s="22">
        <v>1556</v>
      </c>
      <c r="F81" s="22" t="s">
        <v>30</v>
      </c>
      <c r="G81" s="22"/>
    </row>
    <row r="82" spans="1:7" ht="15.75" hidden="1" customHeight="1">
      <c r="A82" s="29" t="s">
        <v>373</v>
      </c>
      <c r="B82" s="22" t="s">
        <v>374</v>
      </c>
      <c r="C82" s="22">
        <v>52.758933333333331</v>
      </c>
      <c r="D82" s="22">
        <v>107.6277</v>
      </c>
      <c r="E82" s="22">
        <v>1058</v>
      </c>
      <c r="F82" s="22" t="s">
        <v>30</v>
      </c>
      <c r="G82" s="22"/>
    </row>
    <row r="83" spans="1:7" ht="15.75" hidden="1" customHeight="1">
      <c r="A83" s="29" t="s">
        <v>378</v>
      </c>
      <c r="B83" s="22" t="s">
        <v>379</v>
      </c>
      <c r="C83" s="22">
        <v>52.742316666666667</v>
      </c>
      <c r="D83" s="22">
        <v>107.63853333333333</v>
      </c>
      <c r="E83" s="22">
        <v>896</v>
      </c>
      <c r="F83" s="22" t="s">
        <v>30</v>
      </c>
      <c r="G83" s="22"/>
    </row>
    <row r="84" spans="1:7" ht="15.75" hidden="1" customHeight="1">
      <c r="A84" s="29" t="s">
        <v>380</v>
      </c>
      <c r="B84" s="22" t="s">
        <v>381</v>
      </c>
      <c r="C84" s="22">
        <v>52.727066666666666</v>
      </c>
      <c r="D84" s="22">
        <v>107.65056666666666</v>
      </c>
      <c r="E84" s="22">
        <v>472</v>
      </c>
      <c r="F84" s="22" t="s">
        <v>30</v>
      </c>
      <c r="G84" s="22"/>
    </row>
    <row r="85" spans="1:7" ht="15.75" hidden="1" customHeight="1">
      <c r="A85" s="29" t="s">
        <v>386</v>
      </c>
      <c r="B85" s="30" t="s">
        <v>387</v>
      </c>
      <c r="C85" s="22">
        <v>53.160333333333334</v>
      </c>
      <c r="D85" s="22">
        <v>107.80166666666666</v>
      </c>
      <c r="E85" s="31">
        <v>1617</v>
      </c>
      <c r="F85" s="22" t="s">
        <v>30</v>
      </c>
      <c r="G85" s="22" t="s">
        <v>5</v>
      </c>
    </row>
    <row r="86" spans="1:7" ht="15.75" hidden="1" customHeight="1">
      <c r="A86" s="29" t="s">
        <v>390</v>
      </c>
      <c r="B86" s="30" t="s">
        <v>391</v>
      </c>
      <c r="C86" s="22">
        <v>53.193750000000001</v>
      </c>
      <c r="D86" s="22">
        <v>107.80581666666667</v>
      </c>
      <c r="E86" s="22">
        <v>1628</v>
      </c>
      <c r="F86" s="22" t="s">
        <v>30</v>
      </c>
      <c r="G86" s="22" t="s">
        <v>5</v>
      </c>
    </row>
    <row r="87" spans="1:7" ht="15.75" hidden="1" customHeight="1">
      <c r="A87" s="29" t="s">
        <v>396</v>
      </c>
      <c r="B87" s="30" t="s">
        <v>397</v>
      </c>
      <c r="C87" s="22">
        <v>53.360083333333336</v>
      </c>
      <c r="D87" s="22">
        <v>108.22523333333334</v>
      </c>
      <c r="E87" s="22">
        <v>396</v>
      </c>
      <c r="F87" s="22" t="s">
        <v>30</v>
      </c>
      <c r="G87" s="22" t="s">
        <v>5</v>
      </c>
    </row>
    <row r="88" spans="1:7" ht="15.75" customHeight="1">
      <c r="A88" s="29" t="s">
        <v>399</v>
      </c>
      <c r="B88" s="30" t="s">
        <v>402</v>
      </c>
      <c r="C88" s="22">
        <v>53.631866666666667</v>
      </c>
      <c r="D88" s="22">
        <v>108.12128333333334</v>
      </c>
      <c r="E88" s="22">
        <v>890</v>
      </c>
      <c r="F88" s="22" t="s">
        <v>403</v>
      </c>
      <c r="G88" s="22" t="s">
        <v>5</v>
      </c>
    </row>
    <row r="89" spans="1:7" ht="15.75" hidden="1" customHeight="1">
      <c r="A89" s="29" t="s">
        <v>405</v>
      </c>
      <c r="B89" s="22" t="s">
        <v>408</v>
      </c>
      <c r="C89" s="22">
        <v>53.453366666666668</v>
      </c>
      <c r="D89" s="22">
        <v>108.73886666666667</v>
      </c>
      <c r="E89" s="31">
        <v>167</v>
      </c>
      <c r="F89" s="22" t="s">
        <v>403</v>
      </c>
      <c r="G89" s="22"/>
    </row>
    <row r="90" spans="1:7" ht="15.75" hidden="1" customHeight="1">
      <c r="A90" s="29" t="s">
        <v>409</v>
      </c>
      <c r="B90" s="22" t="s">
        <v>410</v>
      </c>
      <c r="C90" s="22">
        <v>53.431733333333334</v>
      </c>
      <c r="D90" s="22">
        <v>108.97176666666667</v>
      </c>
      <c r="E90" s="22">
        <v>382</v>
      </c>
      <c r="F90" s="22" t="s">
        <v>403</v>
      </c>
      <c r="G90" s="22"/>
    </row>
    <row r="91" spans="1:7" ht="15.75" hidden="1" customHeight="1">
      <c r="A91" s="29" t="s">
        <v>412</v>
      </c>
      <c r="B91" s="22" t="s">
        <v>414</v>
      </c>
      <c r="C91" s="22">
        <v>53.759399999999999</v>
      </c>
      <c r="D91" s="22">
        <v>109.12241666666667</v>
      </c>
      <c r="E91" s="22">
        <v>5.25</v>
      </c>
      <c r="F91" s="22" t="s">
        <v>403</v>
      </c>
      <c r="G91" s="22"/>
    </row>
    <row r="92" spans="1:7" ht="15.75" customHeight="1">
      <c r="A92" s="29" t="s">
        <v>419</v>
      </c>
      <c r="B92" s="30" t="s">
        <v>420</v>
      </c>
      <c r="C92" s="22">
        <v>53.942433333333334</v>
      </c>
      <c r="D92" s="22">
        <v>108.42515</v>
      </c>
      <c r="E92" s="22">
        <v>898</v>
      </c>
      <c r="F92" s="22" t="s">
        <v>403</v>
      </c>
      <c r="G92" s="22" t="s">
        <v>5</v>
      </c>
    </row>
    <row r="93" spans="1:7" ht="15.75" customHeight="1">
      <c r="A93" s="29" t="s">
        <v>422</v>
      </c>
      <c r="B93" s="30" t="s">
        <v>425</v>
      </c>
      <c r="C93" s="22">
        <v>54.282850000000003</v>
      </c>
      <c r="D93" s="22">
        <v>108.7383</v>
      </c>
      <c r="E93" s="22">
        <v>756</v>
      </c>
      <c r="F93" s="22" t="s">
        <v>403</v>
      </c>
      <c r="G93" s="22" t="s">
        <v>5</v>
      </c>
    </row>
    <row r="94" spans="1:7" ht="15.75" hidden="1" customHeight="1">
      <c r="A94" s="29" t="s">
        <v>426</v>
      </c>
      <c r="B94" s="22" t="s">
        <v>427</v>
      </c>
      <c r="C94" s="22">
        <v>54.538800000000002</v>
      </c>
      <c r="D94" s="22">
        <v>108.67381666666667</v>
      </c>
      <c r="E94" s="22">
        <v>160</v>
      </c>
      <c r="F94" s="22" t="s">
        <v>403</v>
      </c>
      <c r="G94" s="22"/>
    </row>
    <row r="95" spans="1:7" ht="15.75" hidden="1" customHeight="1">
      <c r="A95" s="29" t="s">
        <v>432</v>
      </c>
      <c r="B95" s="22" t="s">
        <v>433</v>
      </c>
      <c r="C95" s="22">
        <v>54.533166666666666</v>
      </c>
      <c r="D95" s="22">
        <v>108.70135000000001</v>
      </c>
      <c r="E95" s="22">
        <v>348</v>
      </c>
      <c r="F95" s="22" t="s">
        <v>403</v>
      </c>
      <c r="G95" s="22"/>
    </row>
    <row r="96" spans="1:7" ht="15.75" customHeight="1">
      <c r="A96" s="29" t="s">
        <v>434</v>
      </c>
      <c r="B96" s="22" t="s">
        <v>435</v>
      </c>
      <c r="C96" s="22">
        <v>54.525983333333336</v>
      </c>
      <c r="D96" s="22">
        <v>108.73076666666667</v>
      </c>
      <c r="E96" s="22">
        <v>876</v>
      </c>
      <c r="F96" s="22" t="s">
        <v>403</v>
      </c>
      <c r="G96" s="22"/>
    </row>
    <row r="97" spans="1:7" ht="15.75" customHeight="1">
      <c r="A97" s="29" t="s">
        <v>440</v>
      </c>
      <c r="B97" s="22" t="s">
        <v>441</v>
      </c>
      <c r="C97" s="22">
        <v>54.519266666666667</v>
      </c>
      <c r="D97" s="22">
        <v>108.7568</v>
      </c>
      <c r="E97" s="22">
        <v>890</v>
      </c>
      <c r="F97" s="22" t="s">
        <v>403</v>
      </c>
      <c r="G97" s="22"/>
    </row>
    <row r="98" spans="1:7" ht="15.75" customHeight="1">
      <c r="A98" s="29" t="s">
        <v>444</v>
      </c>
      <c r="B98" s="30" t="s">
        <v>445</v>
      </c>
      <c r="C98" s="22">
        <v>54.479816666666665</v>
      </c>
      <c r="D98" s="22">
        <v>108.92035</v>
      </c>
      <c r="E98" s="22">
        <v>889</v>
      </c>
      <c r="F98" s="22" t="s">
        <v>403</v>
      </c>
      <c r="G98" s="22" t="s">
        <v>5</v>
      </c>
    </row>
    <row r="99" spans="1:7" ht="15.75" customHeight="1">
      <c r="A99" s="29" t="s">
        <v>447</v>
      </c>
      <c r="B99" s="30" t="s">
        <v>450</v>
      </c>
      <c r="C99" s="22">
        <v>54.458816666666664</v>
      </c>
      <c r="D99" s="22">
        <v>109.06185000000001</v>
      </c>
      <c r="E99" s="22">
        <v>890</v>
      </c>
      <c r="F99" s="22" t="s">
        <v>403</v>
      </c>
      <c r="G99" s="22" t="s">
        <v>5</v>
      </c>
    </row>
    <row r="100" spans="1:7" ht="15.75" customHeight="1">
      <c r="A100" s="29" t="s">
        <v>455</v>
      </c>
      <c r="B100" s="22" t="s">
        <v>456</v>
      </c>
      <c r="C100" s="22">
        <v>54.39705</v>
      </c>
      <c r="D100" s="22">
        <v>109.36133333333333</v>
      </c>
      <c r="E100" s="22">
        <v>864</v>
      </c>
      <c r="F100" s="22" t="s">
        <v>403</v>
      </c>
      <c r="G100" s="22"/>
    </row>
    <row r="101" spans="1:7" ht="15.75" hidden="1" customHeight="1">
      <c r="A101" s="29" t="s">
        <v>457</v>
      </c>
      <c r="B101" s="22" t="s">
        <v>458</v>
      </c>
      <c r="C101" s="22">
        <v>54.391399999999997</v>
      </c>
      <c r="D101" s="22">
        <v>109.39063333333333</v>
      </c>
      <c r="E101" s="22">
        <v>474</v>
      </c>
      <c r="F101" s="22" t="s">
        <v>403</v>
      </c>
      <c r="G101" s="22"/>
    </row>
    <row r="102" spans="1:7" ht="15.75" hidden="1" customHeight="1">
      <c r="A102" s="29" t="s">
        <v>463</v>
      </c>
      <c r="B102" s="22" t="s">
        <v>464</v>
      </c>
      <c r="C102" s="22">
        <v>54.385583333333336</v>
      </c>
      <c r="D102" s="22">
        <v>109.41965</v>
      </c>
      <c r="E102" s="22">
        <v>234</v>
      </c>
      <c r="F102" s="22" t="s">
        <v>403</v>
      </c>
      <c r="G102" s="22"/>
    </row>
    <row r="103" spans="1:7" ht="15.75" hidden="1" customHeight="1">
      <c r="A103" s="29" t="s">
        <v>465</v>
      </c>
      <c r="B103" s="22" t="s">
        <v>466</v>
      </c>
      <c r="C103" s="22">
        <v>54.380216666666669</v>
      </c>
      <c r="D103" s="22">
        <v>109.4483</v>
      </c>
      <c r="E103" s="22">
        <v>98</v>
      </c>
      <c r="F103" s="22" t="s">
        <v>403</v>
      </c>
      <c r="G103" s="22"/>
    </row>
    <row r="104" spans="1:7" ht="15.75" hidden="1" customHeight="1">
      <c r="A104" s="29" t="s">
        <v>467</v>
      </c>
      <c r="B104" s="22" t="s">
        <v>468</v>
      </c>
      <c r="C104" s="22">
        <v>54.290199999999999</v>
      </c>
      <c r="D104" s="22">
        <v>109.41296666666666</v>
      </c>
      <c r="E104" s="22">
        <v>142</v>
      </c>
      <c r="F104" s="22" t="s">
        <v>403</v>
      </c>
      <c r="G104" s="22"/>
    </row>
    <row r="105" spans="1:7" ht="15.75" hidden="1" customHeight="1">
      <c r="A105" s="29" t="s">
        <v>469</v>
      </c>
      <c r="B105" s="22" t="s">
        <v>470</v>
      </c>
      <c r="C105" s="22">
        <v>54.271483333333336</v>
      </c>
      <c r="D105" s="22">
        <v>109.37216666666667</v>
      </c>
      <c r="E105" s="22">
        <v>388</v>
      </c>
      <c r="F105" s="22" t="s">
        <v>403</v>
      </c>
      <c r="G105" s="22"/>
    </row>
    <row r="106" spans="1:7" ht="15.75" hidden="1" customHeight="1">
      <c r="A106" s="29" t="s">
        <v>471</v>
      </c>
      <c r="B106" s="22" t="s">
        <v>472</v>
      </c>
      <c r="C106" s="22">
        <v>54.247750000000003</v>
      </c>
      <c r="D106" s="22">
        <v>109.33836666666667</v>
      </c>
      <c r="E106" s="22">
        <v>417</v>
      </c>
      <c r="F106" s="22" t="s">
        <v>403</v>
      </c>
      <c r="G106" s="22"/>
    </row>
    <row r="107" spans="1:7" ht="15.75" customHeight="1">
      <c r="A107" s="29" t="s">
        <v>473</v>
      </c>
      <c r="B107" s="22" t="s">
        <v>474</v>
      </c>
      <c r="C107" s="22">
        <v>54.232366666666664</v>
      </c>
      <c r="D107" s="22">
        <v>109.29291666666667</v>
      </c>
      <c r="E107" s="22">
        <v>625</v>
      </c>
      <c r="F107" s="22" t="s">
        <v>403</v>
      </c>
      <c r="G107" s="22"/>
    </row>
    <row r="108" spans="1:7" ht="15.75" hidden="1" customHeight="1">
      <c r="A108" s="29" t="s">
        <v>477</v>
      </c>
      <c r="B108" s="30" t="s">
        <v>479</v>
      </c>
      <c r="C108" s="22">
        <v>54.619516666666669</v>
      </c>
      <c r="D108" s="22">
        <v>109.11735</v>
      </c>
      <c r="E108" s="22">
        <v>38</v>
      </c>
      <c r="F108" s="22" t="s">
        <v>403</v>
      </c>
      <c r="G108" s="22" t="s">
        <v>5</v>
      </c>
    </row>
    <row r="109" spans="1:7" ht="15.75" customHeight="1">
      <c r="A109" s="29" t="s">
        <v>481</v>
      </c>
      <c r="B109" s="30" t="s">
        <v>482</v>
      </c>
      <c r="C109" s="22">
        <v>54.833333333333336</v>
      </c>
      <c r="D109" s="22">
        <v>109.24851666666666</v>
      </c>
      <c r="E109" s="22">
        <v>884</v>
      </c>
      <c r="F109" s="22" t="s">
        <v>403</v>
      </c>
      <c r="G109" s="22" t="s">
        <v>5</v>
      </c>
    </row>
    <row r="110" spans="1:7" ht="15.75" hidden="1" customHeight="1">
      <c r="A110" s="29" t="s">
        <v>488</v>
      </c>
      <c r="B110" s="30" t="s">
        <v>489</v>
      </c>
      <c r="C110" s="22">
        <v>55.043216666666666</v>
      </c>
      <c r="D110" s="22">
        <v>109.43565</v>
      </c>
      <c r="E110" s="22">
        <v>302</v>
      </c>
      <c r="F110" s="22" t="s">
        <v>403</v>
      </c>
      <c r="G110" s="22" t="s">
        <v>5</v>
      </c>
    </row>
    <row r="111" spans="1:7" ht="15.75" hidden="1" customHeight="1">
      <c r="A111" s="29" t="s">
        <v>493</v>
      </c>
      <c r="B111" s="22" t="s">
        <v>494</v>
      </c>
      <c r="C111" s="22">
        <v>55.354583333333331</v>
      </c>
      <c r="D111" s="22">
        <v>109.21729999999999</v>
      </c>
      <c r="E111" s="32">
        <v>340</v>
      </c>
      <c r="F111" s="22" t="s">
        <v>403</v>
      </c>
      <c r="G111" s="22"/>
    </row>
    <row r="112" spans="1:7" ht="15.75" customHeight="1">
      <c r="A112" s="29" t="s">
        <v>498</v>
      </c>
      <c r="B112" s="22" t="s">
        <v>499</v>
      </c>
      <c r="C112" s="22">
        <v>55.357799999999997</v>
      </c>
      <c r="D112" s="22">
        <v>109.26531666666666</v>
      </c>
      <c r="E112" s="22">
        <v>776</v>
      </c>
      <c r="F112" s="22" t="s">
        <v>403</v>
      </c>
      <c r="G112" s="22"/>
    </row>
    <row r="113" spans="1:7" ht="15.75" customHeight="1">
      <c r="A113" s="29" t="s">
        <v>504</v>
      </c>
      <c r="B113" s="22" t="s">
        <v>505</v>
      </c>
      <c r="C113" s="22">
        <v>55.353766666666665</v>
      </c>
      <c r="D113" s="22">
        <v>109.29613333333333</v>
      </c>
      <c r="E113" s="22">
        <v>808</v>
      </c>
      <c r="F113" s="22" t="s">
        <v>403</v>
      </c>
      <c r="G113" s="22"/>
    </row>
    <row r="114" spans="1:7" ht="15.75" customHeight="1">
      <c r="A114" s="29" t="s">
        <v>510</v>
      </c>
      <c r="B114" s="22" t="s">
        <v>511</v>
      </c>
      <c r="C114" s="22">
        <v>55.3489</v>
      </c>
      <c r="D114" s="22">
        <v>109.32731666666666</v>
      </c>
      <c r="E114" s="22">
        <v>804</v>
      </c>
      <c r="F114" s="22" t="s">
        <v>403</v>
      </c>
      <c r="G114" s="22"/>
    </row>
    <row r="115" spans="1:7" ht="15.75" customHeight="1">
      <c r="A115" s="29" t="s">
        <v>513</v>
      </c>
      <c r="B115" s="30" t="s">
        <v>516</v>
      </c>
      <c r="C115" s="22">
        <v>55.325249999999997</v>
      </c>
      <c r="D115" s="22">
        <v>109.48378333333334</v>
      </c>
      <c r="E115" s="22">
        <v>668</v>
      </c>
      <c r="F115" s="22" t="s">
        <v>403</v>
      </c>
      <c r="G115" s="22" t="s">
        <v>5</v>
      </c>
    </row>
    <row r="116" spans="1:7" ht="15.75" customHeight="1">
      <c r="A116" s="29" t="s">
        <v>520</v>
      </c>
      <c r="B116" s="22" t="s">
        <v>521</v>
      </c>
      <c r="C116" s="22">
        <v>55.299566666666664</v>
      </c>
      <c r="D116" s="22">
        <v>109.65128333333334</v>
      </c>
      <c r="E116" s="22">
        <v>658</v>
      </c>
      <c r="F116" s="22" t="s">
        <v>403</v>
      </c>
      <c r="G116" s="22"/>
    </row>
    <row r="117" spans="1:7" ht="15.75" customHeight="1">
      <c r="A117" s="29" t="s">
        <v>525</v>
      </c>
      <c r="B117" s="22" t="s">
        <v>526</v>
      </c>
      <c r="C117" s="22">
        <v>55.297683333333332</v>
      </c>
      <c r="D117" s="22">
        <v>109.68115</v>
      </c>
      <c r="E117" s="22">
        <v>600</v>
      </c>
      <c r="F117" s="22" t="s">
        <v>403</v>
      </c>
      <c r="G117" s="22"/>
    </row>
    <row r="118" spans="1:7" ht="15.75" hidden="1" customHeight="1">
      <c r="A118" s="29" t="s">
        <v>530</v>
      </c>
      <c r="B118" s="22" t="s">
        <v>531</v>
      </c>
      <c r="C118" s="22">
        <v>55.294066666666666</v>
      </c>
      <c r="D118" s="22">
        <v>109.71176666666666</v>
      </c>
      <c r="E118" s="22">
        <v>248</v>
      </c>
      <c r="F118" s="22" t="s">
        <v>403</v>
      </c>
      <c r="G118" s="22"/>
    </row>
    <row r="119" spans="1:7" ht="15.75" hidden="1" customHeight="1">
      <c r="A119" s="29" t="s">
        <v>535</v>
      </c>
      <c r="B119" s="22" t="s">
        <v>536</v>
      </c>
      <c r="C119" s="22">
        <v>55.289666666666669</v>
      </c>
      <c r="D119" s="22">
        <v>109.74156666666667</v>
      </c>
      <c r="E119" s="32">
        <v>250</v>
      </c>
      <c r="F119" s="22" t="s">
        <v>403</v>
      </c>
      <c r="G119" s="22"/>
    </row>
    <row r="120" spans="1:7" ht="15.75" hidden="1" customHeight="1">
      <c r="A120" s="29" t="s">
        <v>538</v>
      </c>
      <c r="B120" s="30" t="s">
        <v>541</v>
      </c>
      <c r="C120" s="22">
        <v>55.56516666666667</v>
      </c>
      <c r="D120" s="22">
        <v>109.59253333333334</v>
      </c>
      <c r="E120" s="22">
        <v>492</v>
      </c>
      <c r="F120" s="22" t="s">
        <v>403</v>
      </c>
      <c r="G120" s="22" t="s">
        <v>5</v>
      </c>
    </row>
    <row r="121" spans="1:7" ht="15.75" customHeight="1">
      <c r="A121" s="29" t="s">
        <v>546</v>
      </c>
      <c r="B121" s="30" t="s">
        <v>547</v>
      </c>
      <c r="C121" s="22">
        <v>55.714399999999998</v>
      </c>
      <c r="D121" s="22">
        <v>109.62275</v>
      </c>
      <c r="E121" s="22">
        <v>890</v>
      </c>
      <c r="F121" s="22" t="s">
        <v>403</v>
      </c>
      <c r="G121" s="22" t="s">
        <v>5</v>
      </c>
    </row>
    <row r="122" spans="1:7" ht="15.75" hidden="1" customHeight="1">
      <c r="A122" s="29" t="s">
        <v>549</v>
      </c>
      <c r="B122" s="22" t="s">
        <v>548</v>
      </c>
      <c r="C122" s="22">
        <v>51.918779999999998</v>
      </c>
      <c r="D122" s="22">
        <v>105.6357</v>
      </c>
      <c r="E122" s="22">
        <v>1364</v>
      </c>
      <c r="F122" s="22" t="s">
        <v>4</v>
      </c>
      <c r="G122" s="22" t="s">
        <v>332</v>
      </c>
    </row>
    <row r="123" spans="1:7" ht="15.75" hidden="1" customHeight="1">
      <c r="A123" s="29" t="s">
        <v>551</v>
      </c>
      <c r="B123" s="22" t="s">
        <v>550</v>
      </c>
      <c r="C123" s="33">
        <v>52.057299999999998</v>
      </c>
      <c r="D123" s="22">
        <v>105.6855</v>
      </c>
      <c r="E123" s="22">
        <v>1116</v>
      </c>
      <c r="F123" s="22" t="s">
        <v>4</v>
      </c>
      <c r="G123" s="22" t="s">
        <v>332</v>
      </c>
    </row>
    <row r="124" spans="1:7" ht="15.75" customHeight="1">
      <c r="A124" s="29" t="s">
        <v>553</v>
      </c>
      <c r="B124" s="22" t="s">
        <v>552</v>
      </c>
      <c r="C124" s="22">
        <v>52.590433333333337</v>
      </c>
      <c r="D124" s="22">
        <v>106.3951</v>
      </c>
      <c r="E124" s="22">
        <v>1077</v>
      </c>
      <c r="F124" s="22" t="s">
        <v>30</v>
      </c>
      <c r="G124" s="22" t="s">
        <v>11</v>
      </c>
    </row>
    <row r="125" spans="1:7" ht="15.75" hidden="1" customHeight="1">
      <c r="A125" s="29" t="s">
        <v>554</v>
      </c>
      <c r="B125" s="22" t="s">
        <v>554</v>
      </c>
      <c r="C125" s="22">
        <v>53.249722222222225</v>
      </c>
      <c r="D125" s="22">
        <v>108.08638888888889</v>
      </c>
      <c r="E125" s="22">
        <v>1620</v>
      </c>
      <c r="F125" s="22" t="s">
        <v>30</v>
      </c>
      <c r="G125" s="22"/>
    </row>
    <row r="126" spans="1:7" ht="15.75" hidden="1" customHeight="1">
      <c r="A126" s="29" t="s">
        <v>556</v>
      </c>
      <c r="B126" s="30" t="s">
        <v>557</v>
      </c>
      <c r="C126" s="22">
        <v>52.195149999999998</v>
      </c>
      <c r="D126" s="22">
        <v>105.92975</v>
      </c>
      <c r="E126" s="22">
        <v>353</v>
      </c>
      <c r="F126" s="22" t="s">
        <v>4</v>
      </c>
      <c r="G126" s="22" t="s">
        <v>5</v>
      </c>
    </row>
    <row r="127" spans="1:7" ht="15.75" hidden="1" customHeight="1">
      <c r="A127" s="29" t="s">
        <v>559</v>
      </c>
      <c r="B127" s="30" t="s">
        <v>560</v>
      </c>
      <c r="C127" s="22">
        <v>53.16578333333333</v>
      </c>
      <c r="D127" s="22">
        <v>107.99401666666667</v>
      </c>
      <c r="E127" s="22">
        <v>1610</v>
      </c>
      <c r="F127" s="22" t="s">
        <v>30</v>
      </c>
      <c r="G127" s="22" t="s">
        <v>5</v>
      </c>
    </row>
    <row r="128" spans="1:7" ht="15.75" hidden="1" customHeight="1">
      <c r="A128" s="29" t="s">
        <v>562</v>
      </c>
      <c r="B128" s="18" t="s">
        <v>563</v>
      </c>
      <c r="C128" s="22">
        <v>53.524433333333334</v>
      </c>
      <c r="D128" s="22">
        <v>108.39748333333333</v>
      </c>
      <c r="E128" s="22">
        <v>1508</v>
      </c>
      <c r="F128" s="22" t="s">
        <v>30</v>
      </c>
      <c r="G128" s="22" t="s">
        <v>11</v>
      </c>
    </row>
    <row r="129" spans="1:7" ht="15.75" hidden="1" customHeight="1">
      <c r="A129" s="29" t="s">
        <v>565</v>
      </c>
      <c r="B129" s="22" t="s">
        <v>564</v>
      </c>
      <c r="C129" s="22">
        <v>52.932116666666666</v>
      </c>
      <c r="D129" s="22">
        <v>106.86771666666667</v>
      </c>
      <c r="E129" s="22">
        <v>1170</v>
      </c>
      <c r="F129" s="22" t="s">
        <v>30</v>
      </c>
      <c r="G129" s="22" t="s">
        <v>332</v>
      </c>
    </row>
    <row r="130" spans="1:7" ht="15.75" hidden="1" customHeight="1">
      <c r="A130" s="29" t="s">
        <v>566</v>
      </c>
      <c r="B130" s="22" t="s">
        <v>567</v>
      </c>
      <c r="C130" s="22">
        <v>52.413350000000001</v>
      </c>
      <c r="D130" s="22">
        <v>106.24721666666667</v>
      </c>
      <c r="E130" s="22">
        <v>203</v>
      </c>
      <c r="F130" s="22" t="s">
        <v>30</v>
      </c>
      <c r="G130" s="22"/>
    </row>
    <row r="131" spans="1:7" ht="15.75" hidden="1" customHeight="1">
      <c r="A131" s="29" t="s">
        <v>568</v>
      </c>
      <c r="B131" s="22" t="s">
        <v>569</v>
      </c>
      <c r="C131" s="22">
        <v>52.394416666666665</v>
      </c>
      <c r="D131" s="22">
        <v>106.27856666666666</v>
      </c>
      <c r="E131" s="22">
        <v>80</v>
      </c>
      <c r="F131" s="22" t="s">
        <v>30</v>
      </c>
      <c r="G131" s="22"/>
    </row>
    <row r="132" spans="1:7" ht="15.75" hidden="1" customHeight="1">
      <c r="A132" s="29" t="s">
        <v>570</v>
      </c>
      <c r="B132" s="22" t="s">
        <v>571</v>
      </c>
      <c r="C132" s="22">
        <v>52.3827</v>
      </c>
      <c r="D132" s="22">
        <v>106.29916666666666</v>
      </c>
      <c r="E132" s="22">
        <v>45</v>
      </c>
      <c r="F132" s="22" t="s">
        <v>30</v>
      </c>
      <c r="G132" s="22"/>
    </row>
    <row r="133" spans="1:7" ht="15.75" hidden="1" customHeight="1">
      <c r="A133" s="29" t="s">
        <v>572</v>
      </c>
      <c r="B133" s="22" t="s">
        <v>573</v>
      </c>
      <c r="C133" s="22">
        <v>52.369616666666666</v>
      </c>
      <c r="D133" s="22">
        <v>106.32076666666667</v>
      </c>
      <c r="E133" s="22">
        <v>25</v>
      </c>
      <c r="F133" s="22" t="s">
        <v>30</v>
      </c>
      <c r="G133" s="22"/>
    </row>
    <row r="134" spans="1:7" ht="15.75" hidden="1" customHeight="1">
      <c r="A134" s="29" t="s">
        <v>576</v>
      </c>
      <c r="B134" s="22" t="s">
        <v>577</v>
      </c>
      <c r="C134" s="22">
        <v>52.151033333333331</v>
      </c>
      <c r="D134" s="22">
        <v>106.0808</v>
      </c>
      <c r="E134" s="22">
        <v>82</v>
      </c>
      <c r="F134" s="22" t="s">
        <v>30</v>
      </c>
      <c r="G134" s="22"/>
    </row>
    <row r="135" spans="1:7" ht="15.75" hidden="1" customHeight="1">
      <c r="A135" s="29" t="s">
        <v>580</v>
      </c>
      <c r="B135" s="22" t="s">
        <v>581</v>
      </c>
      <c r="C135" s="22">
        <v>52.135216666666665</v>
      </c>
      <c r="D135" s="22">
        <v>106.14798333333333</v>
      </c>
      <c r="E135" s="22">
        <v>17</v>
      </c>
      <c r="F135" s="22" t="s">
        <v>30</v>
      </c>
      <c r="G135" s="22"/>
    </row>
    <row r="136" spans="1:7" ht="15.75" hidden="1" customHeight="1">
      <c r="A136" s="29" t="s">
        <v>584</v>
      </c>
      <c r="B136" s="22" t="s">
        <v>585</v>
      </c>
      <c r="C136" s="22">
        <v>52.172400000000003</v>
      </c>
      <c r="D136" s="22">
        <v>106.0151</v>
      </c>
      <c r="E136" s="22">
        <v>117</v>
      </c>
      <c r="F136" s="22" t="s">
        <v>30</v>
      </c>
      <c r="G136" s="22"/>
    </row>
    <row r="137" spans="1:7" ht="15.75" customHeight="1"/>
    <row r="138" spans="1:7" ht="15.75" customHeight="1"/>
    <row r="139" spans="1:7" ht="15.75" customHeight="1"/>
    <row r="140" spans="1:7" ht="15.75" customHeight="1"/>
    <row r="141" spans="1:7" ht="15.75" customHeight="1"/>
    <row r="142" spans="1:7" ht="15.75" customHeight="1"/>
    <row r="143" spans="1:7" ht="15.75" customHeight="1"/>
    <row r="144" spans="1:7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G136" xr:uid="{00000000-0009-0000-0000-000001000000}">
    <filterColumn colId="4">
      <customFilters>
        <customFilter operator="greaterThanOrEqual" val="600"/>
      </customFilters>
    </filterColumn>
    <filterColumn colId="5">
      <filters>
        <filter val="north"/>
      </filters>
    </filterColumn>
  </autoFilter>
  <dataValidations count="1">
    <dataValidation type="list" allowBlank="1" sqref="B2:B12 B15 B22:B25 B85:B86" xr:uid="{00000000-0002-0000-0100-000000000000}">
      <formula1>$E$164:$E$276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StList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Blinov</dc:creator>
  <cp:lastModifiedBy>User</cp:lastModifiedBy>
  <dcterms:created xsi:type="dcterms:W3CDTF">2024-11-02T03:42:03Z</dcterms:created>
  <dcterms:modified xsi:type="dcterms:W3CDTF">2026-01-29T08:20:22Z</dcterms:modified>
</cp:coreProperties>
</file>